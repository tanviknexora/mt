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6C959A4-0F9B-4DC3-9196-1C40B26CDF8E}" xr6:coauthVersionLast="47" xr6:coauthVersionMax="47" xr10:uidLastSave="{00000000-0000-0000-0000-000000000000}"/>
  <bookViews>
    <workbookView xWindow="28680" yWindow="-120" windowWidth="29040" windowHeight="15720" firstSheet="3" activeTab="12" xr2:uid="{7CD6DBC2-53C8-45CE-9712-81DA4839E9B1}"/>
  </bookViews>
  <sheets>
    <sheet name="Realised Conversions" sheetId="1" r:id="rId1"/>
    <sheet name="Calendar" sheetId="5" r:id="rId2"/>
    <sheet name="Holidays" sheetId="6" r:id="rId3"/>
    <sheet name="FTD" sheetId="4" r:id="rId4"/>
    <sheet name="Attendance" sheetId="2" r:id="rId5"/>
    <sheet name="QA" sheetId="7" r:id="rId6"/>
    <sheet name="Call Tagging" sheetId="8" r:id="rId7"/>
    <sheet name="Avg Dials" sheetId="9" r:id="rId8"/>
    <sheet name="SOP" sheetId="10" r:id="rId9"/>
    <sheet name="3 month performance" sheetId="11" r:id="rId10"/>
    <sheet name="June Incentive" sheetId="12" r:id="rId11"/>
    <sheet name="May Incentive" sheetId="13" r:id="rId12"/>
    <sheet name="Report" sheetId="3" r:id="rId13"/>
  </sheets>
  <definedNames>
    <definedName name="_xlnm._FilterDatabase" localSheetId="4" hidden="1">Attendance!$A$1:$BP$48</definedName>
    <definedName name="_xlnm._FilterDatabase" localSheetId="1" hidden="1">Calendar!$A$1:$C$366</definedName>
    <definedName name="_xlnm._FilterDatabase" localSheetId="0" hidden="1">'Realised Conversions'!$M$2:$Q$691</definedName>
    <definedName name="_xlnm._FilterDatabase" localSheetId="12" hidden="1">Report!$A$2:$AP$49</definedName>
    <definedName name="_xlnm.Print_Titles" localSheetId="12">Report!$1:$2</definedName>
  </definedNames>
  <calcPr calcId="191029"/>
  <pivotCaches>
    <pivotCache cacheId="1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L38" i="3" l="1"/>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 i="3"/>
  <c r="AN35" i="3"/>
  <c r="AN36" i="3"/>
  <c r="AN37" i="3"/>
  <c r="AN38" i="3"/>
  <c r="AN39" i="3"/>
  <c r="AN40" i="3"/>
  <c r="AN41" i="3"/>
  <c r="AN42" i="3"/>
  <c r="AN43" i="3"/>
  <c r="AN44" i="3"/>
  <c r="AN45" i="3"/>
  <c r="AN46" i="3"/>
  <c r="AN47" i="3"/>
  <c r="AN48" i="3"/>
  <c r="AN49" i="3"/>
  <c r="AN34" i="3"/>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2" i="11"/>
  <c r="E10" i="11"/>
  <c r="E14" i="11"/>
  <c r="E15" i="11"/>
  <c r="E29" i="11"/>
  <c r="E30" i="11"/>
  <c r="E34" i="11"/>
  <c r="E35" i="11"/>
  <c r="E2" i="11"/>
  <c r="C3" i="11"/>
  <c r="E3" i="11" s="1"/>
  <c r="C4" i="11"/>
  <c r="E4" i="11" s="1"/>
  <c r="C5" i="11"/>
  <c r="E5" i="11" s="1"/>
  <c r="C6" i="11"/>
  <c r="E6" i="11" s="1"/>
  <c r="C7" i="11"/>
  <c r="E7" i="11" s="1"/>
  <c r="C8" i="11"/>
  <c r="C9" i="11"/>
  <c r="C10" i="11"/>
  <c r="C11" i="11"/>
  <c r="C12" i="11"/>
  <c r="C13" i="11"/>
  <c r="C14" i="11"/>
  <c r="C15" i="11"/>
  <c r="C16" i="11"/>
  <c r="C17" i="11"/>
  <c r="C18" i="11"/>
  <c r="C19" i="11"/>
  <c r="C20" i="11"/>
  <c r="C21" i="11"/>
  <c r="C22" i="11"/>
  <c r="C23" i="11"/>
  <c r="E23" i="11" s="1"/>
  <c r="C24" i="11"/>
  <c r="E24" i="11" s="1"/>
  <c r="C25" i="11"/>
  <c r="E25" i="11" s="1"/>
  <c r="C26" i="11"/>
  <c r="E26" i="11" s="1"/>
  <c r="C27" i="11"/>
  <c r="E27" i="11" s="1"/>
  <c r="C28" i="11"/>
  <c r="E28" i="11" s="1"/>
  <c r="C29" i="11"/>
  <c r="C30" i="11"/>
  <c r="C31" i="11"/>
  <c r="C32" i="11"/>
  <c r="C33" i="11"/>
  <c r="C34" i="11"/>
  <c r="C35" i="11"/>
  <c r="C36" i="11"/>
  <c r="C37" i="11"/>
  <c r="C38" i="11"/>
  <c r="C39" i="11"/>
  <c r="C40" i="11"/>
  <c r="C41" i="11"/>
  <c r="C42" i="11"/>
  <c r="C43" i="11"/>
  <c r="C44" i="11"/>
  <c r="E44" i="11" s="1"/>
  <c r="C45" i="11"/>
  <c r="E45" i="11" s="1"/>
  <c r="C46" i="11"/>
  <c r="E46" i="11" s="1"/>
  <c r="C47" i="11"/>
  <c r="E47" i="11" s="1"/>
  <c r="C48" i="11"/>
  <c r="E48" i="11" s="1"/>
  <c r="C2" i="11"/>
  <c r="D3" i="11"/>
  <c r="D4" i="11"/>
  <c r="D5" i="11"/>
  <c r="D6" i="11"/>
  <c r="D7" i="11"/>
  <c r="D8" i="11"/>
  <c r="E8" i="11" s="1"/>
  <c r="D9" i="11"/>
  <c r="E9" i="11" s="1"/>
  <c r="D10" i="11"/>
  <c r="D11" i="11"/>
  <c r="E11" i="11" s="1"/>
  <c r="D12" i="11"/>
  <c r="E12" i="11" s="1"/>
  <c r="D13" i="11"/>
  <c r="E13" i="11" s="1"/>
  <c r="D14" i="11"/>
  <c r="D15" i="11"/>
  <c r="D16" i="11"/>
  <c r="E16" i="11" s="1"/>
  <c r="D17" i="11"/>
  <c r="E17" i="11" s="1"/>
  <c r="D18" i="11"/>
  <c r="E18" i="11" s="1"/>
  <c r="D19" i="11"/>
  <c r="E19" i="11" s="1"/>
  <c r="D20" i="11"/>
  <c r="E20" i="11" s="1"/>
  <c r="D21" i="11"/>
  <c r="E21" i="11" s="1"/>
  <c r="D22" i="11"/>
  <c r="E22" i="11" s="1"/>
  <c r="D23" i="11"/>
  <c r="D24" i="11"/>
  <c r="D25" i="11"/>
  <c r="D26" i="11"/>
  <c r="D27" i="11"/>
  <c r="D28" i="11"/>
  <c r="D29" i="11"/>
  <c r="D30" i="11"/>
  <c r="D31" i="11"/>
  <c r="E31" i="11" s="1"/>
  <c r="D32" i="11"/>
  <c r="E32" i="11" s="1"/>
  <c r="D33" i="11"/>
  <c r="E33" i="11" s="1"/>
  <c r="D34" i="11"/>
  <c r="D35" i="11"/>
  <c r="D36" i="11"/>
  <c r="E36" i="11" s="1"/>
  <c r="D37" i="11"/>
  <c r="E37" i="11" s="1"/>
  <c r="D38" i="11"/>
  <c r="E38" i="11" s="1"/>
  <c r="D39" i="11"/>
  <c r="E39" i="11" s="1"/>
  <c r="D40" i="11"/>
  <c r="E40" i="11" s="1"/>
  <c r="D41" i="11"/>
  <c r="E41" i="11" s="1"/>
  <c r="D42" i="11"/>
  <c r="E42" i="11" s="1"/>
  <c r="D43" i="11"/>
  <c r="E43" i="11" s="1"/>
  <c r="D44" i="11"/>
  <c r="D45" i="11"/>
  <c r="D46" i="11"/>
  <c r="D47" i="11"/>
  <c r="D48" i="11"/>
  <c r="D2" i="11"/>
  <c r="BQ3" i="2"/>
  <c r="BQ4" i="2"/>
  <c r="BQ5" i="2"/>
  <c r="BQ6" i="2"/>
  <c r="BQ7" i="2"/>
  <c r="BQ8" i="2"/>
  <c r="BQ9" i="2"/>
  <c r="BQ10" i="2"/>
  <c r="BQ11" i="2"/>
  <c r="BQ12" i="2"/>
  <c r="BQ13" i="2"/>
  <c r="BQ14" i="2"/>
  <c r="BQ15" i="2"/>
  <c r="BQ16" i="2"/>
  <c r="BQ17" i="2"/>
  <c r="BQ18" i="2"/>
  <c r="BQ19" i="2"/>
  <c r="BQ20" i="2"/>
  <c r="BQ21" i="2"/>
  <c r="BQ22" i="2"/>
  <c r="BQ23" i="2"/>
  <c r="BQ24" i="2"/>
  <c r="BQ25" i="2"/>
  <c r="BQ26" i="2"/>
  <c r="BQ27" i="2"/>
  <c r="BQ28" i="2"/>
  <c r="BQ29" i="2"/>
  <c r="BQ30" i="2"/>
  <c r="BQ31" i="2"/>
  <c r="BQ32" i="2"/>
  <c r="BQ33" i="2"/>
  <c r="BQ34" i="2"/>
  <c r="BQ35" i="2"/>
  <c r="BQ36" i="2"/>
  <c r="BQ37" i="2"/>
  <c r="BQ38" i="2"/>
  <c r="BQ39" i="2"/>
  <c r="BQ40" i="2"/>
  <c r="BQ41" i="2"/>
  <c r="BQ42" i="2"/>
  <c r="BQ43" i="2"/>
  <c r="BQ44" i="2"/>
  <c r="BQ45" i="2"/>
  <c r="BQ46" i="2"/>
  <c r="BQ47" i="2"/>
  <c r="BQ48" i="2"/>
  <c r="BQ2" i="2"/>
  <c r="AJ4" i="3" l="1"/>
  <c r="AJ5" i="3"/>
  <c r="AO5" i="3" s="1"/>
  <c r="AJ6" i="3"/>
  <c r="AJ7" i="3"/>
  <c r="AJ8" i="3"/>
  <c r="AO8" i="3" s="1"/>
  <c r="AJ9" i="3"/>
  <c r="AJ10" i="3"/>
  <c r="AJ11" i="3"/>
  <c r="AJ12" i="3"/>
  <c r="AJ13" i="3"/>
  <c r="AO13" i="3" s="1"/>
  <c r="AJ14" i="3"/>
  <c r="AO14" i="3" s="1"/>
  <c r="AJ15" i="3"/>
  <c r="AO15" i="3" s="1"/>
  <c r="AJ16" i="3"/>
  <c r="AO16" i="3" s="1"/>
  <c r="AJ17" i="3"/>
  <c r="AO17" i="3" s="1"/>
  <c r="AJ18" i="3"/>
  <c r="AO18" i="3" s="1"/>
  <c r="AJ19" i="3"/>
  <c r="AO19" i="3" s="1"/>
  <c r="AJ20" i="3"/>
  <c r="AO20" i="3" s="1"/>
  <c r="AJ21" i="3"/>
  <c r="AO21" i="3" s="1"/>
  <c r="AJ22" i="3"/>
  <c r="AO22" i="3" s="1"/>
  <c r="AJ23" i="3"/>
  <c r="AJ24" i="3"/>
  <c r="AJ25" i="3"/>
  <c r="AJ26" i="3"/>
  <c r="AJ27" i="3"/>
  <c r="AJ28" i="3"/>
  <c r="AO28" i="3" s="1"/>
  <c r="AJ29" i="3"/>
  <c r="AO29" i="3" s="1"/>
  <c r="AJ30" i="3"/>
  <c r="AJ31" i="3"/>
  <c r="AO31" i="3" s="1"/>
  <c r="AJ32" i="3"/>
  <c r="AO32" i="3" s="1"/>
  <c r="AJ33" i="3"/>
  <c r="AO33" i="3" s="1"/>
  <c r="AJ34" i="3"/>
  <c r="AJ35" i="3"/>
  <c r="AJ36" i="3"/>
  <c r="AO36" i="3" s="1"/>
  <c r="AJ37" i="3"/>
  <c r="AO37" i="3" s="1"/>
  <c r="AJ38" i="3"/>
  <c r="AO38" i="3" s="1"/>
  <c r="AJ39" i="3"/>
  <c r="AO39" i="3" s="1"/>
  <c r="AJ40" i="3"/>
  <c r="AO40" i="3" s="1"/>
  <c r="AJ41" i="3"/>
  <c r="AO41" i="3" s="1"/>
  <c r="AJ42" i="3"/>
  <c r="AO42" i="3" s="1"/>
  <c r="AJ43" i="3"/>
  <c r="AJ44" i="3"/>
  <c r="AJ45" i="3"/>
  <c r="AO45" i="3" s="1"/>
  <c r="AJ46" i="3"/>
  <c r="AJ47" i="3"/>
  <c r="AJ48" i="3"/>
  <c r="AO48" i="3" s="1"/>
  <c r="AJ49" i="3"/>
  <c r="AO49" i="3" s="1"/>
  <c r="AJ3" i="3"/>
  <c r="AO3" i="3" s="1"/>
  <c r="AO30" i="3" l="1"/>
  <c r="AO11" i="3"/>
  <c r="AO9" i="3"/>
  <c r="AO12" i="3"/>
  <c r="AO10" i="3"/>
  <c r="AO35" i="3"/>
  <c r="AO34" i="3"/>
  <c r="AO43" i="3"/>
  <c r="AO23" i="3"/>
  <c r="AO47" i="3"/>
  <c r="AO27" i="3"/>
  <c r="AO7" i="3"/>
  <c r="AO46" i="3"/>
  <c r="AO26" i="3"/>
  <c r="AO6" i="3"/>
  <c r="AO25" i="3"/>
  <c r="AO44" i="3"/>
  <c r="AO24" i="3"/>
  <c r="AO4" i="3"/>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2" i="10"/>
  <c r="R4" i="1" l="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3" i="1"/>
  <c r="I9" i="1"/>
  <c r="I13" i="1"/>
  <c r="I17" i="1"/>
  <c r="I18" i="1"/>
  <c r="I28" i="1"/>
  <c r="I29" i="1"/>
  <c r="I32" i="1"/>
  <c r="I33" i="1"/>
  <c r="I69" i="1"/>
  <c r="I70" i="1"/>
  <c r="I71" i="1"/>
  <c r="I72" i="1"/>
  <c r="I73" i="1"/>
  <c r="I77" i="1"/>
  <c r="I78" i="1"/>
  <c r="I80" i="1"/>
  <c r="I81" i="1"/>
  <c r="I89" i="1"/>
  <c r="I109" i="1"/>
  <c r="I111" i="1"/>
  <c r="I112" i="1"/>
  <c r="I132" i="1"/>
  <c r="I133" i="1"/>
  <c r="I137" i="1"/>
  <c r="I138" i="1"/>
  <c r="I140" i="1"/>
  <c r="I141" i="1"/>
  <c r="I188" i="1"/>
  <c r="I189" i="1"/>
  <c r="I191" i="1"/>
  <c r="I192" i="1"/>
  <c r="I193" i="1"/>
  <c r="I228" i="1"/>
  <c r="I229" i="1"/>
  <c r="I231" i="1"/>
  <c r="I232" i="1"/>
  <c r="I233" i="1"/>
  <c r="I237" i="1"/>
  <c r="I238" i="1"/>
  <c r="I240" i="1"/>
  <c r="I241" i="1"/>
  <c r="I252" i="1"/>
  <c r="I268" i="1"/>
  <c r="I269" i="1"/>
  <c r="I271" i="1"/>
  <c r="I272" i="1"/>
  <c r="I292" i="1"/>
  <c r="I293" i="1"/>
  <c r="I297" i="1"/>
  <c r="I298" i="1"/>
  <c r="I300" i="1"/>
  <c r="I301" i="1"/>
  <c r="I348" i="1"/>
  <c r="I349" i="1"/>
  <c r="I351" i="1"/>
  <c r="I352" i="1"/>
  <c r="I353" i="1"/>
  <c r="I388" i="1"/>
  <c r="I389" i="1"/>
  <c r="I391" i="1"/>
  <c r="I392" i="1"/>
  <c r="I393" i="1"/>
  <c r="I397" i="1"/>
  <c r="I398" i="1"/>
  <c r="I400" i="1"/>
  <c r="I401" i="1"/>
  <c r="I412" i="1"/>
  <c r="I428" i="1"/>
  <c r="I429" i="1"/>
  <c r="I431" i="1"/>
  <c r="I432" i="1"/>
  <c r="I452" i="1"/>
  <c r="I453" i="1"/>
  <c r="I457" i="1"/>
  <c r="I458" i="1"/>
  <c r="I460" i="1"/>
  <c r="I461" i="1"/>
  <c r="I508" i="1"/>
  <c r="I509" i="1"/>
  <c r="I511" i="1"/>
  <c r="I512" i="1"/>
  <c r="I513" i="1"/>
  <c r="I548" i="1"/>
  <c r="I549" i="1"/>
  <c r="I551" i="1"/>
  <c r="I552" i="1"/>
  <c r="I553" i="1"/>
  <c r="I557" i="1"/>
  <c r="I558" i="1"/>
  <c r="I560" i="1"/>
  <c r="I561" i="1"/>
  <c r="I572" i="1"/>
  <c r="I588" i="1"/>
  <c r="I589" i="1"/>
  <c r="I591" i="1"/>
  <c r="I592" i="1"/>
  <c r="I612" i="1"/>
  <c r="I613" i="1"/>
  <c r="I617" i="1"/>
  <c r="I618" i="1"/>
  <c r="I620" i="1"/>
  <c r="I621" i="1"/>
  <c r="I668" i="1"/>
  <c r="I669" i="1"/>
  <c r="I671" i="1"/>
  <c r="I672" i="1"/>
  <c r="I673"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2" i="1"/>
  <c r="E3" i="1"/>
  <c r="I3" i="1" s="1"/>
  <c r="E4" i="1"/>
  <c r="I4" i="1" s="1"/>
  <c r="E5" i="1"/>
  <c r="I5" i="1" s="1"/>
  <c r="E6" i="1"/>
  <c r="I6" i="1" s="1"/>
  <c r="E7" i="1"/>
  <c r="I7" i="1" s="1"/>
  <c r="E8" i="1"/>
  <c r="I8" i="1" s="1"/>
  <c r="E9" i="1"/>
  <c r="E10" i="1"/>
  <c r="I10" i="1" s="1"/>
  <c r="E11" i="1"/>
  <c r="I11" i="1" s="1"/>
  <c r="E12" i="1"/>
  <c r="I12" i="1" s="1"/>
  <c r="E13" i="1"/>
  <c r="E14" i="1"/>
  <c r="I14" i="1" s="1"/>
  <c r="E15" i="1"/>
  <c r="I15" i="1" s="1"/>
  <c r="E16" i="1"/>
  <c r="I16" i="1" s="1"/>
  <c r="E17" i="1"/>
  <c r="E18" i="1"/>
  <c r="E19" i="1"/>
  <c r="I19" i="1" s="1"/>
  <c r="E20" i="1"/>
  <c r="I20" i="1" s="1"/>
  <c r="E21" i="1"/>
  <c r="I21" i="1" s="1"/>
  <c r="E22" i="1"/>
  <c r="I22" i="1" s="1"/>
  <c r="E23" i="1"/>
  <c r="I23" i="1" s="1"/>
  <c r="E24" i="1"/>
  <c r="I24" i="1" s="1"/>
  <c r="E25" i="1"/>
  <c r="I25" i="1" s="1"/>
  <c r="E26" i="1"/>
  <c r="I26" i="1" s="1"/>
  <c r="E27" i="1"/>
  <c r="I27" i="1" s="1"/>
  <c r="E28" i="1"/>
  <c r="E29" i="1"/>
  <c r="E30" i="1"/>
  <c r="I30" i="1" s="1"/>
  <c r="E31" i="1"/>
  <c r="I31" i="1" s="1"/>
  <c r="E32" i="1"/>
  <c r="E33" i="1"/>
  <c r="E34" i="1"/>
  <c r="I34" i="1" s="1"/>
  <c r="E35" i="1"/>
  <c r="I35" i="1" s="1"/>
  <c r="E36" i="1"/>
  <c r="I36" i="1" s="1"/>
  <c r="E37" i="1"/>
  <c r="I37" i="1" s="1"/>
  <c r="E38" i="1"/>
  <c r="I38" i="1" s="1"/>
  <c r="E39" i="1"/>
  <c r="I39" i="1" s="1"/>
  <c r="E40" i="1"/>
  <c r="I40" i="1" s="1"/>
  <c r="E41" i="1"/>
  <c r="I41" i="1" s="1"/>
  <c r="E42" i="1"/>
  <c r="I42" i="1" s="1"/>
  <c r="E43" i="1"/>
  <c r="I43" i="1" s="1"/>
  <c r="E44" i="1"/>
  <c r="I44" i="1" s="1"/>
  <c r="E45" i="1"/>
  <c r="I45" i="1" s="1"/>
  <c r="E46" i="1"/>
  <c r="I46" i="1" s="1"/>
  <c r="E47" i="1"/>
  <c r="I47" i="1" s="1"/>
  <c r="E48" i="1"/>
  <c r="I48" i="1" s="1"/>
  <c r="E49" i="1"/>
  <c r="I49" i="1" s="1"/>
  <c r="E50" i="1"/>
  <c r="I50" i="1" s="1"/>
  <c r="E51" i="1"/>
  <c r="I51" i="1" s="1"/>
  <c r="E52" i="1"/>
  <c r="I52" i="1" s="1"/>
  <c r="E53" i="1"/>
  <c r="I53" i="1" s="1"/>
  <c r="E54" i="1"/>
  <c r="I54" i="1" s="1"/>
  <c r="E55" i="1"/>
  <c r="I55" i="1" s="1"/>
  <c r="E56" i="1"/>
  <c r="I56" i="1" s="1"/>
  <c r="E57" i="1"/>
  <c r="I57" i="1" s="1"/>
  <c r="E58" i="1"/>
  <c r="I58" i="1" s="1"/>
  <c r="E59" i="1"/>
  <c r="I59" i="1" s="1"/>
  <c r="E60" i="1"/>
  <c r="I60" i="1" s="1"/>
  <c r="E61" i="1"/>
  <c r="I61" i="1" s="1"/>
  <c r="E62" i="1"/>
  <c r="I62" i="1" s="1"/>
  <c r="E63" i="1"/>
  <c r="I63" i="1" s="1"/>
  <c r="E64" i="1"/>
  <c r="I64" i="1" s="1"/>
  <c r="E65" i="1"/>
  <c r="I65" i="1" s="1"/>
  <c r="E66" i="1"/>
  <c r="I66" i="1" s="1"/>
  <c r="E67" i="1"/>
  <c r="I67" i="1" s="1"/>
  <c r="E68" i="1"/>
  <c r="I68" i="1" s="1"/>
  <c r="E69" i="1"/>
  <c r="E70" i="1"/>
  <c r="E71" i="1"/>
  <c r="E72" i="1"/>
  <c r="E73" i="1"/>
  <c r="E74" i="1"/>
  <c r="I74" i="1" s="1"/>
  <c r="E75" i="1"/>
  <c r="I75" i="1" s="1"/>
  <c r="E76" i="1"/>
  <c r="I76" i="1" s="1"/>
  <c r="E77" i="1"/>
  <c r="E78" i="1"/>
  <c r="E79" i="1"/>
  <c r="I79" i="1" s="1"/>
  <c r="E80" i="1"/>
  <c r="E81" i="1"/>
  <c r="E82" i="1"/>
  <c r="I82" i="1" s="1"/>
  <c r="E83" i="1"/>
  <c r="I83" i="1" s="1"/>
  <c r="E84" i="1"/>
  <c r="I84" i="1" s="1"/>
  <c r="E85" i="1"/>
  <c r="I85" i="1" s="1"/>
  <c r="E86" i="1"/>
  <c r="I86" i="1" s="1"/>
  <c r="E87" i="1"/>
  <c r="I87" i="1" s="1"/>
  <c r="E88" i="1"/>
  <c r="I88" i="1" s="1"/>
  <c r="E89" i="1"/>
  <c r="E90" i="1"/>
  <c r="I90" i="1" s="1"/>
  <c r="E91" i="1"/>
  <c r="I91" i="1" s="1"/>
  <c r="E92" i="1"/>
  <c r="I92" i="1" s="1"/>
  <c r="E93" i="1"/>
  <c r="I93" i="1" s="1"/>
  <c r="E94" i="1"/>
  <c r="I94" i="1" s="1"/>
  <c r="E95" i="1"/>
  <c r="I95" i="1" s="1"/>
  <c r="E96" i="1"/>
  <c r="I96" i="1" s="1"/>
  <c r="E97" i="1"/>
  <c r="I97" i="1" s="1"/>
  <c r="E98" i="1"/>
  <c r="I98" i="1" s="1"/>
  <c r="E99" i="1"/>
  <c r="I99" i="1" s="1"/>
  <c r="E100" i="1"/>
  <c r="I100" i="1" s="1"/>
  <c r="E101" i="1"/>
  <c r="I101" i="1" s="1"/>
  <c r="E102" i="1"/>
  <c r="I102" i="1" s="1"/>
  <c r="E103" i="1"/>
  <c r="I103" i="1" s="1"/>
  <c r="E104" i="1"/>
  <c r="I104" i="1" s="1"/>
  <c r="E105" i="1"/>
  <c r="I105" i="1" s="1"/>
  <c r="E106" i="1"/>
  <c r="I106" i="1" s="1"/>
  <c r="E107" i="1"/>
  <c r="I107" i="1" s="1"/>
  <c r="E108" i="1"/>
  <c r="I108" i="1" s="1"/>
  <c r="E109" i="1"/>
  <c r="E110" i="1"/>
  <c r="I110" i="1" s="1"/>
  <c r="E111" i="1"/>
  <c r="E112" i="1"/>
  <c r="E113" i="1"/>
  <c r="I113" i="1" s="1"/>
  <c r="E114" i="1"/>
  <c r="I114" i="1" s="1"/>
  <c r="E115" i="1"/>
  <c r="I115" i="1" s="1"/>
  <c r="E116" i="1"/>
  <c r="I116" i="1" s="1"/>
  <c r="E117" i="1"/>
  <c r="I117" i="1" s="1"/>
  <c r="E118" i="1"/>
  <c r="I118" i="1" s="1"/>
  <c r="E119" i="1"/>
  <c r="I119" i="1" s="1"/>
  <c r="E120" i="1"/>
  <c r="I120" i="1" s="1"/>
  <c r="E121" i="1"/>
  <c r="I121" i="1" s="1"/>
  <c r="E122" i="1"/>
  <c r="I122" i="1" s="1"/>
  <c r="E123" i="1"/>
  <c r="I123" i="1" s="1"/>
  <c r="E124" i="1"/>
  <c r="I124" i="1" s="1"/>
  <c r="E125" i="1"/>
  <c r="I125" i="1" s="1"/>
  <c r="E126" i="1"/>
  <c r="I126" i="1" s="1"/>
  <c r="E127" i="1"/>
  <c r="I127" i="1" s="1"/>
  <c r="E128" i="1"/>
  <c r="I128" i="1" s="1"/>
  <c r="E129" i="1"/>
  <c r="I129" i="1" s="1"/>
  <c r="E130" i="1"/>
  <c r="I130" i="1" s="1"/>
  <c r="E131" i="1"/>
  <c r="I131" i="1" s="1"/>
  <c r="E132" i="1"/>
  <c r="E133" i="1"/>
  <c r="E134" i="1"/>
  <c r="I134" i="1" s="1"/>
  <c r="E135" i="1"/>
  <c r="I135" i="1" s="1"/>
  <c r="E136" i="1"/>
  <c r="I136" i="1" s="1"/>
  <c r="E137" i="1"/>
  <c r="E138" i="1"/>
  <c r="E139" i="1"/>
  <c r="I139" i="1" s="1"/>
  <c r="E140" i="1"/>
  <c r="E141" i="1"/>
  <c r="E142" i="1"/>
  <c r="I142" i="1" s="1"/>
  <c r="E143" i="1"/>
  <c r="I143" i="1" s="1"/>
  <c r="E144" i="1"/>
  <c r="I144" i="1" s="1"/>
  <c r="E145" i="1"/>
  <c r="I145" i="1" s="1"/>
  <c r="E146" i="1"/>
  <c r="I146" i="1" s="1"/>
  <c r="E147" i="1"/>
  <c r="I147" i="1" s="1"/>
  <c r="E148" i="1"/>
  <c r="I148" i="1" s="1"/>
  <c r="E149" i="1"/>
  <c r="I149" i="1" s="1"/>
  <c r="E150" i="1"/>
  <c r="I150" i="1" s="1"/>
  <c r="E151" i="1"/>
  <c r="I151" i="1" s="1"/>
  <c r="E152" i="1"/>
  <c r="I152" i="1" s="1"/>
  <c r="E153" i="1"/>
  <c r="I153" i="1" s="1"/>
  <c r="E154" i="1"/>
  <c r="I154" i="1" s="1"/>
  <c r="E155" i="1"/>
  <c r="I155" i="1" s="1"/>
  <c r="E156" i="1"/>
  <c r="I156" i="1" s="1"/>
  <c r="E157" i="1"/>
  <c r="I157" i="1" s="1"/>
  <c r="E158" i="1"/>
  <c r="I158" i="1" s="1"/>
  <c r="E159" i="1"/>
  <c r="I159" i="1" s="1"/>
  <c r="E160" i="1"/>
  <c r="I160" i="1" s="1"/>
  <c r="E161" i="1"/>
  <c r="I161" i="1" s="1"/>
  <c r="E162" i="1"/>
  <c r="I162" i="1" s="1"/>
  <c r="E163" i="1"/>
  <c r="I163" i="1" s="1"/>
  <c r="E164" i="1"/>
  <c r="I164" i="1" s="1"/>
  <c r="E165" i="1"/>
  <c r="I165" i="1" s="1"/>
  <c r="E166" i="1"/>
  <c r="I166" i="1" s="1"/>
  <c r="E167" i="1"/>
  <c r="I167" i="1" s="1"/>
  <c r="E168" i="1"/>
  <c r="I168" i="1" s="1"/>
  <c r="E169" i="1"/>
  <c r="I169" i="1" s="1"/>
  <c r="E170" i="1"/>
  <c r="I170" i="1" s="1"/>
  <c r="E171" i="1"/>
  <c r="I171" i="1" s="1"/>
  <c r="E172" i="1"/>
  <c r="I172" i="1" s="1"/>
  <c r="E173" i="1"/>
  <c r="I173" i="1" s="1"/>
  <c r="E174" i="1"/>
  <c r="I174" i="1" s="1"/>
  <c r="E175" i="1"/>
  <c r="I175" i="1" s="1"/>
  <c r="E176" i="1"/>
  <c r="I176" i="1" s="1"/>
  <c r="E177" i="1"/>
  <c r="I177" i="1" s="1"/>
  <c r="E178" i="1"/>
  <c r="I178" i="1" s="1"/>
  <c r="E179" i="1"/>
  <c r="I179" i="1" s="1"/>
  <c r="E180" i="1"/>
  <c r="I180" i="1" s="1"/>
  <c r="E181" i="1"/>
  <c r="I181" i="1" s="1"/>
  <c r="E182" i="1"/>
  <c r="I182" i="1" s="1"/>
  <c r="E183" i="1"/>
  <c r="I183" i="1" s="1"/>
  <c r="E184" i="1"/>
  <c r="I184" i="1" s="1"/>
  <c r="E185" i="1"/>
  <c r="I185" i="1" s="1"/>
  <c r="E186" i="1"/>
  <c r="I186" i="1" s="1"/>
  <c r="E187" i="1"/>
  <c r="I187" i="1" s="1"/>
  <c r="E188" i="1"/>
  <c r="E189" i="1"/>
  <c r="E190" i="1"/>
  <c r="I190" i="1" s="1"/>
  <c r="E191" i="1"/>
  <c r="E192" i="1"/>
  <c r="E193" i="1"/>
  <c r="E194" i="1"/>
  <c r="I194" i="1" s="1"/>
  <c r="E195" i="1"/>
  <c r="I195" i="1" s="1"/>
  <c r="E196" i="1"/>
  <c r="I196" i="1" s="1"/>
  <c r="E197" i="1"/>
  <c r="I197" i="1" s="1"/>
  <c r="E198" i="1"/>
  <c r="I198" i="1" s="1"/>
  <c r="E199" i="1"/>
  <c r="I199" i="1" s="1"/>
  <c r="E200" i="1"/>
  <c r="I200" i="1" s="1"/>
  <c r="E201" i="1"/>
  <c r="I201" i="1" s="1"/>
  <c r="E202" i="1"/>
  <c r="I202" i="1" s="1"/>
  <c r="E203" i="1"/>
  <c r="I203" i="1" s="1"/>
  <c r="E204" i="1"/>
  <c r="I204" i="1" s="1"/>
  <c r="E205" i="1"/>
  <c r="I205" i="1" s="1"/>
  <c r="E206" i="1"/>
  <c r="I206" i="1" s="1"/>
  <c r="E207" i="1"/>
  <c r="I207" i="1" s="1"/>
  <c r="E208" i="1"/>
  <c r="I208" i="1" s="1"/>
  <c r="E209" i="1"/>
  <c r="I209" i="1" s="1"/>
  <c r="E210" i="1"/>
  <c r="I210" i="1" s="1"/>
  <c r="E211" i="1"/>
  <c r="I211" i="1" s="1"/>
  <c r="E212" i="1"/>
  <c r="I212" i="1" s="1"/>
  <c r="E213" i="1"/>
  <c r="I213" i="1" s="1"/>
  <c r="E214" i="1"/>
  <c r="I214" i="1" s="1"/>
  <c r="E215" i="1"/>
  <c r="I215" i="1" s="1"/>
  <c r="E216" i="1"/>
  <c r="I216" i="1" s="1"/>
  <c r="E217" i="1"/>
  <c r="I217" i="1" s="1"/>
  <c r="E218" i="1"/>
  <c r="I218" i="1" s="1"/>
  <c r="E219" i="1"/>
  <c r="I219" i="1" s="1"/>
  <c r="E220" i="1"/>
  <c r="I220" i="1" s="1"/>
  <c r="E221" i="1"/>
  <c r="I221" i="1" s="1"/>
  <c r="E222" i="1"/>
  <c r="I222" i="1" s="1"/>
  <c r="E223" i="1"/>
  <c r="I223" i="1" s="1"/>
  <c r="E224" i="1"/>
  <c r="I224" i="1" s="1"/>
  <c r="E225" i="1"/>
  <c r="I225" i="1" s="1"/>
  <c r="E226" i="1"/>
  <c r="I226" i="1" s="1"/>
  <c r="E227" i="1"/>
  <c r="I227" i="1" s="1"/>
  <c r="E228" i="1"/>
  <c r="E229" i="1"/>
  <c r="E230" i="1"/>
  <c r="I230" i="1" s="1"/>
  <c r="E231" i="1"/>
  <c r="E232" i="1"/>
  <c r="E233" i="1"/>
  <c r="E234" i="1"/>
  <c r="I234" i="1" s="1"/>
  <c r="E235" i="1"/>
  <c r="I235" i="1" s="1"/>
  <c r="E236" i="1"/>
  <c r="I236" i="1" s="1"/>
  <c r="E237" i="1"/>
  <c r="E238" i="1"/>
  <c r="E239" i="1"/>
  <c r="I239" i="1" s="1"/>
  <c r="E240" i="1"/>
  <c r="E241" i="1"/>
  <c r="E242" i="1"/>
  <c r="I242" i="1" s="1"/>
  <c r="E243" i="1"/>
  <c r="I243" i="1" s="1"/>
  <c r="E244" i="1"/>
  <c r="I244" i="1" s="1"/>
  <c r="E245" i="1"/>
  <c r="I245" i="1" s="1"/>
  <c r="E246" i="1"/>
  <c r="I246" i="1" s="1"/>
  <c r="E247" i="1"/>
  <c r="I247" i="1" s="1"/>
  <c r="E248" i="1"/>
  <c r="I248" i="1" s="1"/>
  <c r="E249" i="1"/>
  <c r="I249" i="1" s="1"/>
  <c r="E250" i="1"/>
  <c r="I250" i="1" s="1"/>
  <c r="E251" i="1"/>
  <c r="I251" i="1" s="1"/>
  <c r="E252" i="1"/>
  <c r="E253" i="1"/>
  <c r="I253" i="1" s="1"/>
  <c r="E254" i="1"/>
  <c r="I254" i="1" s="1"/>
  <c r="E255" i="1"/>
  <c r="I255" i="1" s="1"/>
  <c r="E256" i="1"/>
  <c r="I256" i="1" s="1"/>
  <c r="E257" i="1"/>
  <c r="I257" i="1" s="1"/>
  <c r="E258" i="1"/>
  <c r="I258" i="1" s="1"/>
  <c r="E259" i="1"/>
  <c r="I259" i="1" s="1"/>
  <c r="E260" i="1"/>
  <c r="I260" i="1" s="1"/>
  <c r="E261" i="1"/>
  <c r="I261" i="1" s="1"/>
  <c r="E262" i="1"/>
  <c r="I262" i="1" s="1"/>
  <c r="E263" i="1"/>
  <c r="I263" i="1" s="1"/>
  <c r="E264" i="1"/>
  <c r="I264" i="1" s="1"/>
  <c r="E265" i="1"/>
  <c r="I265" i="1" s="1"/>
  <c r="E266" i="1"/>
  <c r="I266" i="1" s="1"/>
  <c r="E267" i="1"/>
  <c r="I267" i="1" s="1"/>
  <c r="E268" i="1"/>
  <c r="E269" i="1"/>
  <c r="E270" i="1"/>
  <c r="I270" i="1" s="1"/>
  <c r="E271" i="1"/>
  <c r="E272" i="1"/>
  <c r="E273" i="1"/>
  <c r="I273" i="1" s="1"/>
  <c r="E274" i="1"/>
  <c r="I274" i="1" s="1"/>
  <c r="E275" i="1"/>
  <c r="I275" i="1" s="1"/>
  <c r="E276" i="1"/>
  <c r="I276" i="1" s="1"/>
  <c r="E277" i="1"/>
  <c r="I277" i="1" s="1"/>
  <c r="E278" i="1"/>
  <c r="I278" i="1" s="1"/>
  <c r="E279" i="1"/>
  <c r="I279" i="1" s="1"/>
  <c r="E280" i="1"/>
  <c r="I280" i="1" s="1"/>
  <c r="E281" i="1"/>
  <c r="I281" i="1" s="1"/>
  <c r="E282" i="1"/>
  <c r="I282" i="1" s="1"/>
  <c r="E283" i="1"/>
  <c r="I283" i="1" s="1"/>
  <c r="E284" i="1"/>
  <c r="I284" i="1" s="1"/>
  <c r="E285" i="1"/>
  <c r="I285" i="1" s="1"/>
  <c r="E286" i="1"/>
  <c r="I286" i="1" s="1"/>
  <c r="E287" i="1"/>
  <c r="I287" i="1" s="1"/>
  <c r="E288" i="1"/>
  <c r="I288" i="1" s="1"/>
  <c r="E289" i="1"/>
  <c r="I289" i="1" s="1"/>
  <c r="E290" i="1"/>
  <c r="I290" i="1" s="1"/>
  <c r="E291" i="1"/>
  <c r="I291" i="1" s="1"/>
  <c r="E292" i="1"/>
  <c r="E293" i="1"/>
  <c r="E294" i="1"/>
  <c r="I294" i="1" s="1"/>
  <c r="E295" i="1"/>
  <c r="I295" i="1" s="1"/>
  <c r="E296" i="1"/>
  <c r="I296" i="1" s="1"/>
  <c r="E297" i="1"/>
  <c r="E298" i="1"/>
  <c r="E299" i="1"/>
  <c r="I299" i="1" s="1"/>
  <c r="E300" i="1"/>
  <c r="E301" i="1"/>
  <c r="E302" i="1"/>
  <c r="I302" i="1" s="1"/>
  <c r="E303" i="1"/>
  <c r="I303" i="1" s="1"/>
  <c r="E304" i="1"/>
  <c r="I304" i="1" s="1"/>
  <c r="E305" i="1"/>
  <c r="I305" i="1" s="1"/>
  <c r="E306" i="1"/>
  <c r="I306" i="1" s="1"/>
  <c r="E307" i="1"/>
  <c r="I307" i="1" s="1"/>
  <c r="E308" i="1"/>
  <c r="I308" i="1" s="1"/>
  <c r="E309" i="1"/>
  <c r="I309" i="1" s="1"/>
  <c r="E310" i="1"/>
  <c r="I310" i="1" s="1"/>
  <c r="E311" i="1"/>
  <c r="I311" i="1" s="1"/>
  <c r="E312" i="1"/>
  <c r="I312" i="1" s="1"/>
  <c r="E313" i="1"/>
  <c r="I313" i="1" s="1"/>
  <c r="E314" i="1"/>
  <c r="I314" i="1" s="1"/>
  <c r="E315" i="1"/>
  <c r="I315" i="1" s="1"/>
  <c r="E316" i="1"/>
  <c r="I316" i="1" s="1"/>
  <c r="E317" i="1"/>
  <c r="I317" i="1" s="1"/>
  <c r="E318" i="1"/>
  <c r="I318" i="1" s="1"/>
  <c r="E319" i="1"/>
  <c r="I319" i="1" s="1"/>
  <c r="E320" i="1"/>
  <c r="I320" i="1" s="1"/>
  <c r="E321" i="1"/>
  <c r="I321" i="1" s="1"/>
  <c r="E322" i="1"/>
  <c r="I322" i="1" s="1"/>
  <c r="E323" i="1"/>
  <c r="I323" i="1" s="1"/>
  <c r="E324" i="1"/>
  <c r="I324" i="1" s="1"/>
  <c r="E325" i="1"/>
  <c r="I325" i="1" s="1"/>
  <c r="E326" i="1"/>
  <c r="I326" i="1" s="1"/>
  <c r="E327" i="1"/>
  <c r="I327" i="1" s="1"/>
  <c r="E328" i="1"/>
  <c r="I328" i="1" s="1"/>
  <c r="E329" i="1"/>
  <c r="I329" i="1" s="1"/>
  <c r="E330" i="1"/>
  <c r="I330" i="1" s="1"/>
  <c r="E331" i="1"/>
  <c r="I331" i="1" s="1"/>
  <c r="E332" i="1"/>
  <c r="I332" i="1" s="1"/>
  <c r="E333" i="1"/>
  <c r="I333" i="1" s="1"/>
  <c r="E334" i="1"/>
  <c r="I334" i="1" s="1"/>
  <c r="E335" i="1"/>
  <c r="I335" i="1" s="1"/>
  <c r="E336" i="1"/>
  <c r="I336" i="1" s="1"/>
  <c r="E337" i="1"/>
  <c r="I337" i="1" s="1"/>
  <c r="E338" i="1"/>
  <c r="I338" i="1" s="1"/>
  <c r="E339" i="1"/>
  <c r="I339" i="1" s="1"/>
  <c r="E340" i="1"/>
  <c r="I340" i="1" s="1"/>
  <c r="E341" i="1"/>
  <c r="I341" i="1" s="1"/>
  <c r="E342" i="1"/>
  <c r="I342" i="1" s="1"/>
  <c r="E343" i="1"/>
  <c r="I343" i="1" s="1"/>
  <c r="E344" i="1"/>
  <c r="I344" i="1" s="1"/>
  <c r="E345" i="1"/>
  <c r="I345" i="1" s="1"/>
  <c r="E346" i="1"/>
  <c r="I346" i="1" s="1"/>
  <c r="E347" i="1"/>
  <c r="I347" i="1" s="1"/>
  <c r="E348" i="1"/>
  <c r="E349" i="1"/>
  <c r="E350" i="1"/>
  <c r="I350" i="1" s="1"/>
  <c r="E351" i="1"/>
  <c r="E352" i="1"/>
  <c r="E353" i="1"/>
  <c r="E354" i="1"/>
  <c r="I354" i="1" s="1"/>
  <c r="E355" i="1"/>
  <c r="I355" i="1" s="1"/>
  <c r="E356" i="1"/>
  <c r="I356" i="1" s="1"/>
  <c r="E357" i="1"/>
  <c r="I357" i="1" s="1"/>
  <c r="E358" i="1"/>
  <c r="I358" i="1" s="1"/>
  <c r="E359" i="1"/>
  <c r="I359" i="1" s="1"/>
  <c r="E360" i="1"/>
  <c r="I360" i="1" s="1"/>
  <c r="E361" i="1"/>
  <c r="I361" i="1" s="1"/>
  <c r="E362" i="1"/>
  <c r="I362" i="1" s="1"/>
  <c r="E363" i="1"/>
  <c r="I363" i="1" s="1"/>
  <c r="E364" i="1"/>
  <c r="I364" i="1" s="1"/>
  <c r="E365" i="1"/>
  <c r="I365" i="1" s="1"/>
  <c r="E366" i="1"/>
  <c r="I366" i="1" s="1"/>
  <c r="E367" i="1"/>
  <c r="I367" i="1" s="1"/>
  <c r="E368" i="1"/>
  <c r="I368" i="1" s="1"/>
  <c r="E369" i="1"/>
  <c r="I369" i="1" s="1"/>
  <c r="E370" i="1"/>
  <c r="I370" i="1" s="1"/>
  <c r="E371" i="1"/>
  <c r="I371" i="1" s="1"/>
  <c r="E372" i="1"/>
  <c r="I372" i="1" s="1"/>
  <c r="E373" i="1"/>
  <c r="I373" i="1" s="1"/>
  <c r="E374" i="1"/>
  <c r="I374" i="1" s="1"/>
  <c r="E375" i="1"/>
  <c r="I375" i="1" s="1"/>
  <c r="E376" i="1"/>
  <c r="I376" i="1" s="1"/>
  <c r="E377" i="1"/>
  <c r="I377" i="1" s="1"/>
  <c r="E378" i="1"/>
  <c r="I378" i="1" s="1"/>
  <c r="E379" i="1"/>
  <c r="I379" i="1" s="1"/>
  <c r="E380" i="1"/>
  <c r="I380" i="1" s="1"/>
  <c r="E381" i="1"/>
  <c r="I381" i="1" s="1"/>
  <c r="E382" i="1"/>
  <c r="I382" i="1" s="1"/>
  <c r="E383" i="1"/>
  <c r="I383" i="1" s="1"/>
  <c r="E384" i="1"/>
  <c r="I384" i="1" s="1"/>
  <c r="E385" i="1"/>
  <c r="I385" i="1" s="1"/>
  <c r="E386" i="1"/>
  <c r="I386" i="1" s="1"/>
  <c r="E387" i="1"/>
  <c r="I387" i="1" s="1"/>
  <c r="E388" i="1"/>
  <c r="E389" i="1"/>
  <c r="E390" i="1"/>
  <c r="I390" i="1" s="1"/>
  <c r="E391" i="1"/>
  <c r="E392" i="1"/>
  <c r="E393" i="1"/>
  <c r="E394" i="1"/>
  <c r="I394" i="1" s="1"/>
  <c r="E395" i="1"/>
  <c r="I395" i="1" s="1"/>
  <c r="E396" i="1"/>
  <c r="I396" i="1" s="1"/>
  <c r="E397" i="1"/>
  <c r="E398" i="1"/>
  <c r="E399" i="1"/>
  <c r="I399" i="1" s="1"/>
  <c r="E400" i="1"/>
  <c r="E401" i="1"/>
  <c r="E402" i="1"/>
  <c r="I402" i="1" s="1"/>
  <c r="E403" i="1"/>
  <c r="I403" i="1" s="1"/>
  <c r="E404" i="1"/>
  <c r="I404" i="1" s="1"/>
  <c r="E405" i="1"/>
  <c r="I405" i="1" s="1"/>
  <c r="E406" i="1"/>
  <c r="I406" i="1" s="1"/>
  <c r="E407" i="1"/>
  <c r="I407" i="1" s="1"/>
  <c r="E408" i="1"/>
  <c r="I408" i="1" s="1"/>
  <c r="E409" i="1"/>
  <c r="I409" i="1" s="1"/>
  <c r="E410" i="1"/>
  <c r="I410" i="1" s="1"/>
  <c r="E411" i="1"/>
  <c r="I411" i="1" s="1"/>
  <c r="E412" i="1"/>
  <c r="E413" i="1"/>
  <c r="I413" i="1" s="1"/>
  <c r="E414" i="1"/>
  <c r="I414" i="1" s="1"/>
  <c r="E415" i="1"/>
  <c r="I415" i="1" s="1"/>
  <c r="E416" i="1"/>
  <c r="I416" i="1" s="1"/>
  <c r="E417" i="1"/>
  <c r="I417" i="1" s="1"/>
  <c r="E418" i="1"/>
  <c r="I418" i="1" s="1"/>
  <c r="E419" i="1"/>
  <c r="I419" i="1" s="1"/>
  <c r="E420" i="1"/>
  <c r="I420" i="1" s="1"/>
  <c r="E421" i="1"/>
  <c r="I421" i="1" s="1"/>
  <c r="E422" i="1"/>
  <c r="I422" i="1" s="1"/>
  <c r="E423" i="1"/>
  <c r="I423" i="1" s="1"/>
  <c r="E424" i="1"/>
  <c r="I424" i="1" s="1"/>
  <c r="E425" i="1"/>
  <c r="I425" i="1" s="1"/>
  <c r="E426" i="1"/>
  <c r="I426" i="1" s="1"/>
  <c r="E427" i="1"/>
  <c r="I427" i="1" s="1"/>
  <c r="E428" i="1"/>
  <c r="E429" i="1"/>
  <c r="E430" i="1"/>
  <c r="I430" i="1" s="1"/>
  <c r="E431" i="1"/>
  <c r="E432" i="1"/>
  <c r="E433" i="1"/>
  <c r="I433" i="1" s="1"/>
  <c r="E434" i="1"/>
  <c r="I434" i="1" s="1"/>
  <c r="E435" i="1"/>
  <c r="I435" i="1" s="1"/>
  <c r="E436" i="1"/>
  <c r="I436" i="1" s="1"/>
  <c r="E437" i="1"/>
  <c r="I437" i="1" s="1"/>
  <c r="E438" i="1"/>
  <c r="I438" i="1" s="1"/>
  <c r="E439" i="1"/>
  <c r="I439" i="1" s="1"/>
  <c r="E440" i="1"/>
  <c r="I440" i="1" s="1"/>
  <c r="E441" i="1"/>
  <c r="I441" i="1" s="1"/>
  <c r="E442" i="1"/>
  <c r="I442" i="1" s="1"/>
  <c r="E443" i="1"/>
  <c r="I443" i="1" s="1"/>
  <c r="E444" i="1"/>
  <c r="I444" i="1" s="1"/>
  <c r="E445" i="1"/>
  <c r="I445" i="1" s="1"/>
  <c r="E446" i="1"/>
  <c r="I446" i="1" s="1"/>
  <c r="E447" i="1"/>
  <c r="I447" i="1" s="1"/>
  <c r="E448" i="1"/>
  <c r="I448" i="1" s="1"/>
  <c r="E449" i="1"/>
  <c r="I449" i="1" s="1"/>
  <c r="E450" i="1"/>
  <c r="I450" i="1" s="1"/>
  <c r="E451" i="1"/>
  <c r="I451" i="1" s="1"/>
  <c r="E452" i="1"/>
  <c r="E453" i="1"/>
  <c r="E454" i="1"/>
  <c r="I454" i="1" s="1"/>
  <c r="E455" i="1"/>
  <c r="I455" i="1" s="1"/>
  <c r="E456" i="1"/>
  <c r="I456" i="1" s="1"/>
  <c r="E457" i="1"/>
  <c r="E458" i="1"/>
  <c r="E459" i="1"/>
  <c r="I459" i="1" s="1"/>
  <c r="E460" i="1"/>
  <c r="E461" i="1"/>
  <c r="E462" i="1"/>
  <c r="I462" i="1" s="1"/>
  <c r="E463" i="1"/>
  <c r="I463" i="1" s="1"/>
  <c r="E464" i="1"/>
  <c r="I464" i="1" s="1"/>
  <c r="E465" i="1"/>
  <c r="I465" i="1" s="1"/>
  <c r="E466" i="1"/>
  <c r="I466" i="1" s="1"/>
  <c r="E467" i="1"/>
  <c r="I467" i="1" s="1"/>
  <c r="E468" i="1"/>
  <c r="I468" i="1" s="1"/>
  <c r="E469" i="1"/>
  <c r="I469" i="1" s="1"/>
  <c r="E470" i="1"/>
  <c r="I470" i="1" s="1"/>
  <c r="E471" i="1"/>
  <c r="I471" i="1" s="1"/>
  <c r="E472" i="1"/>
  <c r="I472" i="1" s="1"/>
  <c r="E473" i="1"/>
  <c r="I473" i="1" s="1"/>
  <c r="E474" i="1"/>
  <c r="I474" i="1" s="1"/>
  <c r="E475" i="1"/>
  <c r="I475" i="1" s="1"/>
  <c r="E476" i="1"/>
  <c r="I476" i="1" s="1"/>
  <c r="E477" i="1"/>
  <c r="I477" i="1" s="1"/>
  <c r="E478" i="1"/>
  <c r="I478" i="1" s="1"/>
  <c r="E479" i="1"/>
  <c r="I479" i="1" s="1"/>
  <c r="E480" i="1"/>
  <c r="I480" i="1" s="1"/>
  <c r="E481" i="1"/>
  <c r="I481" i="1" s="1"/>
  <c r="E482" i="1"/>
  <c r="I482" i="1" s="1"/>
  <c r="E483" i="1"/>
  <c r="I483" i="1" s="1"/>
  <c r="E484" i="1"/>
  <c r="I484" i="1" s="1"/>
  <c r="E485" i="1"/>
  <c r="I485" i="1" s="1"/>
  <c r="E486" i="1"/>
  <c r="I486" i="1" s="1"/>
  <c r="E487" i="1"/>
  <c r="I487" i="1" s="1"/>
  <c r="E488" i="1"/>
  <c r="I488" i="1" s="1"/>
  <c r="E489" i="1"/>
  <c r="I489" i="1" s="1"/>
  <c r="E490" i="1"/>
  <c r="I490" i="1" s="1"/>
  <c r="E491" i="1"/>
  <c r="I491" i="1" s="1"/>
  <c r="E492" i="1"/>
  <c r="I492" i="1" s="1"/>
  <c r="E493" i="1"/>
  <c r="I493" i="1" s="1"/>
  <c r="E494" i="1"/>
  <c r="I494" i="1" s="1"/>
  <c r="E495" i="1"/>
  <c r="I495" i="1" s="1"/>
  <c r="E496" i="1"/>
  <c r="I496" i="1" s="1"/>
  <c r="E497" i="1"/>
  <c r="I497" i="1" s="1"/>
  <c r="E498" i="1"/>
  <c r="I498" i="1" s="1"/>
  <c r="E499" i="1"/>
  <c r="I499" i="1" s="1"/>
  <c r="E500" i="1"/>
  <c r="I500" i="1" s="1"/>
  <c r="E501" i="1"/>
  <c r="I501" i="1" s="1"/>
  <c r="E502" i="1"/>
  <c r="I502" i="1" s="1"/>
  <c r="E503" i="1"/>
  <c r="I503" i="1" s="1"/>
  <c r="E504" i="1"/>
  <c r="I504" i="1" s="1"/>
  <c r="E505" i="1"/>
  <c r="I505" i="1" s="1"/>
  <c r="E506" i="1"/>
  <c r="I506" i="1" s="1"/>
  <c r="E507" i="1"/>
  <c r="I507" i="1" s="1"/>
  <c r="E508" i="1"/>
  <c r="E509" i="1"/>
  <c r="E510" i="1"/>
  <c r="I510" i="1" s="1"/>
  <c r="E511" i="1"/>
  <c r="E512" i="1"/>
  <c r="E513" i="1"/>
  <c r="E514" i="1"/>
  <c r="I514" i="1" s="1"/>
  <c r="E515" i="1"/>
  <c r="I515" i="1" s="1"/>
  <c r="E516" i="1"/>
  <c r="I516" i="1" s="1"/>
  <c r="E517" i="1"/>
  <c r="I517" i="1" s="1"/>
  <c r="E518" i="1"/>
  <c r="I518" i="1" s="1"/>
  <c r="E519" i="1"/>
  <c r="I519" i="1" s="1"/>
  <c r="E520" i="1"/>
  <c r="I520" i="1" s="1"/>
  <c r="E521" i="1"/>
  <c r="I521" i="1" s="1"/>
  <c r="E522" i="1"/>
  <c r="I522" i="1" s="1"/>
  <c r="E523" i="1"/>
  <c r="I523" i="1" s="1"/>
  <c r="E524" i="1"/>
  <c r="I524" i="1" s="1"/>
  <c r="E525" i="1"/>
  <c r="I525" i="1" s="1"/>
  <c r="E526" i="1"/>
  <c r="I526" i="1" s="1"/>
  <c r="E527" i="1"/>
  <c r="I527" i="1" s="1"/>
  <c r="E528" i="1"/>
  <c r="I528" i="1" s="1"/>
  <c r="E529" i="1"/>
  <c r="I529" i="1" s="1"/>
  <c r="E530" i="1"/>
  <c r="I530" i="1" s="1"/>
  <c r="E531" i="1"/>
  <c r="I531" i="1" s="1"/>
  <c r="E532" i="1"/>
  <c r="I532" i="1" s="1"/>
  <c r="E533" i="1"/>
  <c r="I533" i="1" s="1"/>
  <c r="E534" i="1"/>
  <c r="I534" i="1" s="1"/>
  <c r="E535" i="1"/>
  <c r="I535" i="1" s="1"/>
  <c r="E536" i="1"/>
  <c r="I536" i="1" s="1"/>
  <c r="E537" i="1"/>
  <c r="I537" i="1" s="1"/>
  <c r="E538" i="1"/>
  <c r="I538" i="1" s="1"/>
  <c r="E539" i="1"/>
  <c r="I539" i="1" s="1"/>
  <c r="E540" i="1"/>
  <c r="I540" i="1" s="1"/>
  <c r="E541" i="1"/>
  <c r="I541" i="1" s="1"/>
  <c r="E542" i="1"/>
  <c r="I542" i="1" s="1"/>
  <c r="E543" i="1"/>
  <c r="I543" i="1" s="1"/>
  <c r="E544" i="1"/>
  <c r="I544" i="1" s="1"/>
  <c r="E545" i="1"/>
  <c r="I545" i="1" s="1"/>
  <c r="E546" i="1"/>
  <c r="I546" i="1" s="1"/>
  <c r="E547" i="1"/>
  <c r="I547" i="1" s="1"/>
  <c r="E548" i="1"/>
  <c r="E549" i="1"/>
  <c r="E550" i="1"/>
  <c r="I550" i="1" s="1"/>
  <c r="E551" i="1"/>
  <c r="E552" i="1"/>
  <c r="E553" i="1"/>
  <c r="E554" i="1"/>
  <c r="I554" i="1" s="1"/>
  <c r="E555" i="1"/>
  <c r="I555" i="1" s="1"/>
  <c r="E556" i="1"/>
  <c r="I556" i="1" s="1"/>
  <c r="E557" i="1"/>
  <c r="E558" i="1"/>
  <c r="E559" i="1"/>
  <c r="I559" i="1" s="1"/>
  <c r="E560" i="1"/>
  <c r="E561" i="1"/>
  <c r="E562" i="1"/>
  <c r="I562" i="1" s="1"/>
  <c r="E563" i="1"/>
  <c r="I563" i="1" s="1"/>
  <c r="E564" i="1"/>
  <c r="I564" i="1" s="1"/>
  <c r="E565" i="1"/>
  <c r="I565" i="1" s="1"/>
  <c r="E566" i="1"/>
  <c r="I566" i="1" s="1"/>
  <c r="E567" i="1"/>
  <c r="I567" i="1" s="1"/>
  <c r="E568" i="1"/>
  <c r="I568" i="1" s="1"/>
  <c r="E569" i="1"/>
  <c r="I569" i="1" s="1"/>
  <c r="E570" i="1"/>
  <c r="I570" i="1" s="1"/>
  <c r="E571" i="1"/>
  <c r="I571" i="1" s="1"/>
  <c r="E572" i="1"/>
  <c r="E573" i="1"/>
  <c r="I573" i="1" s="1"/>
  <c r="E574" i="1"/>
  <c r="I574" i="1" s="1"/>
  <c r="E575" i="1"/>
  <c r="I575" i="1" s="1"/>
  <c r="E576" i="1"/>
  <c r="I576" i="1" s="1"/>
  <c r="E577" i="1"/>
  <c r="I577" i="1" s="1"/>
  <c r="E578" i="1"/>
  <c r="I578" i="1" s="1"/>
  <c r="E579" i="1"/>
  <c r="I579" i="1" s="1"/>
  <c r="E580" i="1"/>
  <c r="I580" i="1" s="1"/>
  <c r="E581" i="1"/>
  <c r="I581" i="1" s="1"/>
  <c r="E582" i="1"/>
  <c r="I582" i="1" s="1"/>
  <c r="E583" i="1"/>
  <c r="I583" i="1" s="1"/>
  <c r="E584" i="1"/>
  <c r="I584" i="1" s="1"/>
  <c r="E585" i="1"/>
  <c r="I585" i="1" s="1"/>
  <c r="E586" i="1"/>
  <c r="I586" i="1" s="1"/>
  <c r="E587" i="1"/>
  <c r="I587" i="1" s="1"/>
  <c r="E588" i="1"/>
  <c r="E589" i="1"/>
  <c r="E590" i="1"/>
  <c r="I590" i="1" s="1"/>
  <c r="E591" i="1"/>
  <c r="E592" i="1"/>
  <c r="E593" i="1"/>
  <c r="I593" i="1" s="1"/>
  <c r="E594" i="1"/>
  <c r="I594" i="1" s="1"/>
  <c r="E595" i="1"/>
  <c r="I595" i="1" s="1"/>
  <c r="E596" i="1"/>
  <c r="I596" i="1" s="1"/>
  <c r="E597" i="1"/>
  <c r="I597" i="1" s="1"/>
  <c r="E598" i="1"/>
  <c r="I598" i="1" s="1"/>
  <c r="E599" i="1"/>
  <c r="I599" i="1" s="1"/>
  <c r="E600" i="1"/>
  <c r="I600" i="1" s="1"/>
  <c r="E601" i="1"/>
  <c r="I601" i="1" s="1"/>
  <c r="E602" i="1"/>
  <c r="I602" i="1" s="1"/>
  <c r="E603" i="1"/>
  <c r="I603" i="1" s="1"/>
  <c r="E604" i="1"/>
  <c r="I604" i="1" s="1"/>
  <c r="E605" i="1"/>
  <c r="I605" i="1" s="1"/>
  <c r="E606" i="1"/>
  <c r="I606" i="1" s="1"/>
  <c r="E607" i="1"/>
  <c r="I607" i="1" s="1"/>
  <c r="E608" i="1"/>
  <c r="I608" i="1" s="1"/>
  <c r="E609" i="1"/>
  <c r="I609" i="1" s="1"/>
  <c r="E610" i="1"/>
  <c r="I610" i="1" s="1"/>
  <c r="E611" i="1"/>
  <c r="I611" i="1" s="1"/>
  <c r="E612" i="1"/>
  <c r="E613" i="1"/>
  <c r="E614" i="1"/>
  <c r="I614" i="1" s="1"/>
  <c r="E615" i="1"/>
  <c r="I615" i="1" s="1"/>
  <c r="E616" i="1"/>
  <c r="I616" i="1" s="1"/>
  <c r="E617" i="1"/>
  <c r="E618" i="1"/>
  <c r="E619" i="1"/>
  <c r="I619" i="1" s="1"/>
  <c r="E620" i="1"/>
  <c r="E621" i="1"/>
  <c r="E622" i="1"/>
  <c r="I622" i="1" s="1"/>
  <c r="E623" i="1"/>
  <c r="I623" i="1" s="1"/>
  <c r="E624" i="1"/>
  <c r="I624" i="1" s="1"/>
  <c r="E625" i="1"/>
  <c r="I625" i="1" s="1"/>
  <c r="E626" i="1"/>
  <c r="I626" i="1" s="1"/>
  <c r="E627" i="1"/>
  <c r="I627" i="1" s="1"/>
  <c r="E628" i="1"/>
  <c r="I628" i="1" s="1"/>
  <c r="E629" i="1"/>
  <c r="I629" i="1" s="1"/>
  <c r="E630" i="1"/>
  <c r="I630" i="1" s="1"/>
  <c r="E631" i="1"/>
  <c r="I631" i="1" s="1"/>
  <c r="E632" i="1"/>
  <c r="I632" i="1" s="1"/>
  <c r="E633" i="1"/>
  <c r="I633" i="1" s="1"/>
  <c r="E634" i="1"/>
  <c r="I634" i="1" s="1"/>
  <c r="E635" i="1"/>
  <c r="I635" i="1" s="1"/>
  <c r="E636" i="1"/>
  <c r="I636" i="1" s="1"/>
  <c r="E637" i="1"/>
  <c r="I637" i="1" s="1"/>
  <c r="E638" i="1"/>
  <c r="I638" i="1" s="1"/>
  <c r="E639" i="1"/>
  <c r="I639" i="1" s="1"/>
  <c r="E640" i="1"/>
  <c r="I640" i="1" s="1"/>
  <c r="E641" i="1"/>
  <c r="I641" i="1" s="1"/>
  <c r="E642" i="1"/>
  <c r="I642" i="1" s="1"/>
  <c r="E643" i="1"/>
  <c r="I643" i="1" s="1"/>
  <c r="E644" i="1"/>
  <c r="I644" i="1" s="1"/>
  <c r="E645" i="1"/>
  <c r="I645" i="1" s="1"/>
  <c r="E646" i="1"/>
  <c r="I646" i="1" s="1"/>
  <c r="E647" i="1"/>
  <c r="I647" i="1" s="1"/>
  <c r="E648" i="1"/>
  <c r="I648" i="1" s="1"/>
  <c r="E649" i="1"/>
  <c r="I649" i="1" s="1"/>
  <c r="E650" i="1"/>
  <c r="I650" i="1" s="1"/>
  <c r="E651" i="1"/>
  <c r="I651" i="1" s="1"/>
  <c r="E652" i="1"/>
  <c r="I652" i="1" s="1"/>
  <c r="E653" i="1"/>
  <c r="I653" i="1" s="1"/>
  <c r="E654" i="1"/>
  <c r="I654" i="1" s="1"/>
  <c r="E655" i="1"/>
  <c r="I655" i="1" s="1"/>
  <c r="E656" i="1"/>
  <c r="I656" i="1" s="1"/>
  <c r="E657" i="1"/>
  <c r="I657" i="1" s="1"/>
  <c r="E658" i="1"/>
  <c r="I658" i="1" s="1"/>
  <c r="E659" i="1"/>
  <c r="I659" i="1" s="1"/>
  <c r="E660" i="1"/>
  <c r="I660" i="1" s="1"/>
  <c r="E661" i="1"/>
  <c r="I661" i="1" s="1"/>
  <c r="E662" i="1"/>
  <c r="I662" i="1" s="1"/>
  <c r="E663" i="1"/>
  <c r="I663" i="1" s="1"/>
  <c r="E664" i="1"/>
  <c r="I664" i="1" s="1"/>
  <c r="E665" i="1"/>
  <c r="I665" i="1" s="1"/>
  <c r="E666" i="1"/>
  <c r="I666" i="1" s="1"/>
  <c r="E667" i="1"/>
  <c r="I667" i="1" s="1"/>
  <c r="E668" i="1"/>
  <c r="E669" i="1"/>
  <c r="E670" i="1"/>
  <c r="I670" i="1" s="1"/>
  <c r="E671" i="1"/>
  <c r="E672" i="1"/>
  <c r="E673" i="1"/>
  <c r="E674" i="1"/>
  <c r="I674" i="1" s="1"/>
  <c r="E675" i="1"/>
  <c r="I675" i="1" s="1"/>
  <c r="E676" i="1"/>
  <c r="I676" i="1" s="1"/>
  <c r="E677" i="1"/>
  <c r="I677" i="1" s="1"/>
  <c r="E678" i="1"/>
  <c r="I678" i="1" s="1"/>
  <c r="E679" i="1"/>
  <c r="I679" i="1" s="1"/>
  <c r="E680" i="1"/>
  <c r="I680" i="1" s="1"/>
  <c r="E681" i="1"/>
  <c r="I681" i="1" s="1"/>
  <c r="E682" i="1"/>
  <c r="I682" i="1" s="1"/>
  <c r="E683" i="1"/>
  <c r="I683" i="1" s="1"/>
  <c r="E684" i="1"/>
  <c r="I684" i="1" s="1"/>
  <c r="E685" i="1"/>
  <c r="I685" i="1" s="1"/>
  <c r="E686" i="1"/>
  <c r="I686" i="1" s="1"/>
  <c r="E687" i="1"/>
  <c r="I687" i="1" s="1"/>
  <c r="E688" i="1"/>
  <c r="I688" i="1" s="1"/>
  <c r="E689" i="1"/>
  <c r="I689" i="1" s="1"/>
  <c r="E690" i="1"/>
  <c r="I690" i="1" s="1"/>
  <c r="E691" i="1"/>
  <c r="I691" i="1" s="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2" i="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2" i="5"/>
  <c r="H3" i="1" a="1"/>
  <c r="H3" i="1" s="1"/>
  <c r="H4" i="1" a="1"/>
  <c r="H4" i="1"/>
  <c r="H5" i="1" a="1"/>
  <c r="H5" i="1"/>
  <c r="H6" i="1" a="1"/>
  <c r="H6" i="1"/>
  <c r="H7" i="1" a="1"/>
  <c r="H7" i="1" s="1"/>
  <c r="H8" i="1" a="1"/>
  <c r="H8" i="1" s="1"/>
  <c r="H9" i="1" a="1"/>
  <c r="H9" i="1"/>
  <c r="H10" i="1" a="1"/>
  <c r="H10" i="1" s="1"/>
  <c r="H11" i="1" a="1"/>
  <c r="H11" i="1"/>
  <c r="H12" i="1" a="1"/>
  <c r="H12" i="1" s="1"/>
  <c r="H13" i="1" a="1"/>
  <c r="H13" i="1" s="1"/>
  <c r="H14" i="1" a="1"/>
  <c r="H14" i="1"/>
  <c r="H15" i="1" a="1"/>
  <c r="H15" i="1" s="1"/>
  <c r="H16" i="1" a="1"/>
  <c r="H16" i="1" s="1"/>
  <c r="H17" i="1" a="1"/>
  <c r="H17" i="1"/>
  <c r="H18" i="1" a="1"/>
  <c r="H18" i="1" s="1"/>
  <c r="H19" i="1" a="1"/>
  <c r="H19" i="1"/>
  <c r="H20" i="1" a="1"/>
  <c r="H20" i="1" s="1"/>
  <c r="H21" i="1" a="1"/>
  <c r="H21" i="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c r="H36" i="1" a="1"/>
  <c r="H36" i="1" s="1"/>
  <c r="H37" i="1" a="1"/>
  <c r="H37" i="1" s="1"/>
  <c r="H38" i="1" a="1"/>
  <c r="H38" i="1"/>
  <c r="H39" i="1" a="1"/>
  <c r="H39" i="1" s="1"/>
  <c r="H40" i="1" a="1"/>
  <c r="H40" i="1" s="1"/>
  <c r="H41" i="1" a="1"/>
  <c r="H41" i="1"/>
  <c r="H42" i="1" a="1"/>
  <c r="H42" i="1"/>
  <c r="H43" i="1" a="1"/>
  <c r="H43" i="1" s="1"/>
  <c r="H44" i="1" a="1"/>
  <c r="H44" i="1"/>
  <c r="H45" i="1" a="1"/>
  <c r="H45" i="1" s="1"/>
  <c r="H46" i="1" a="1"/>
  <c r="H46" i="1"/>
  <c r="H47" i="1" a="1"/>
  <c r="H47" i="1"/>
  <c r="H48" i="1" a="1"/>
  <c r="H48" i="1" s="1"/>
  <c r="H49" i="1" a="1"/>
  <c r="H49" i="1" s="1"/>
  <c r="H50" i="1" a="1"/>
  <c r="H50" i="1" s="1"/>
  <c r="H51" i="1" a="1"/>
  <c r="H51" i="1" s="1"/>
  <c r="H52" i="1" a="1"/>
  <c r="H52" i="1"/>
  <c r="H53" i="1" a="1"/>
  <c r="H53" i="1" s="1"/>
  <c r="H54" i="1" a="1"/>
  <c r="H54" i="1" s="1"/>
  <c r="H55" i="1" a="1"/>
  <c r="H55" i="1"/>
  <c r="H56" i="1" a="1"/>
  <c r="H56" i="1"/>
  <c r="H57" i="1" a="1"/>
  <c r="H57" i="1"/>
  <c r="H58" i="1" a="1"/>
  <c r="H58" i="1" s="1"/>
  <c r="H59" i="1" a="1"/>
  <c r="H59" i="1" s="1"/>
  <c r="H60" i="1" a="1"/>
  <c r="H60" i="1" s="1"/>
  <c r="H61" i="1" a="1"/>
  <c r="H61" i="1"/>
  <c r="H62" i="1" a="1"/>
  <c r="H62" i="1" s="1"/>
  <c r="H63" i="1" a="1"/>
  <c r="H63" i="1" s="1"/>
  <c r="H64" i="1" a="1"/>
  <c r="H64" i="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c r="H78" i="1" a="1"/>
  <c r="H78" i="1" s="1"/>
  <c r="H79" i="1" a="1"/>
  <c r="H79" i="1" s="1"/>
  <c r="H80" i="1" a="1"/>
  <c r="H80" i="1" s="1"/>
  <c r="H81" i="1" a="1"/>
  <c r="H81" i="1" s="1"/>
  <c r="H82" i="1" a="1"/>
  <c r="H82" i="1"/>
  <c r="H83" i="1" a="1"/>
  <c r="H83" i="1" s="1"/>
  <c r="H84" i="1" a="1"/>
  <c r="H84" i="1" s="1"/>
  <c r="H85" i="1" a="1"/>
  <c r="H85" i="1" s="1"/>
  <c r="H86" i="1" a="1"/>
  <c r="H86" i="1"/>
  <c r="H87" i="1" a="1"/>
  <c r="H87" i="1" s="1"/>
  <c r="H88" i="1" a="1"/>
  <c r="H88" i="1"/>
  <c r="H89" i="1" a="1"/>
  <c r="H89" i="1" s="1"/>
  <c r="H90" i="1" a="1"/>
  <c r="H90" i="1"/>
  <c r="H91" i="1" a="1"/>
  <c r="H91" i="1" s="1"/>
  <c r="H92" i="1" a="1"/>
  <c r="H92" i="1" s="1"/>
  <c r="H93" i="1" a="1"/>
  <c r="H93" i="1" s="1"/>
  <c r="H94" i="1" a="1"/>
  <c r="H94" i="1" s="1"/>
  <c r="H95" i="1" a="1"/>
  <c r="H95" i="1"/>
  <c r="H96" i="1" a="1"/>
  <c r="H96" i="1" s="1"/>
  <c r="H97" i="1" a="1"/>
  <c r="H97" i="1" s="1"/>
  <c r="H98" i="1" a="1"/>
  <c r="H98" i="1"/>
  <c r="H99" i="1" a="1"/>
  <c r="H99" i="1" s="1"/>
  <c r="H100" i="1" a="1"/>
  <c r="H100" i="1"/>
  <c r="H101" i="1" a="1"/>
  <c r="H101" i="1" s="1"/>
  <c r="H102" i="1" a="1"/>
  <c r="H102" i="1"/>
  <c r="H103" i="1" a="1"/>
  <c r="H103" i="1" s="1"/>
  <c r="H104" i="1" a="1"/>
  <c r="H104" i="1" s="1"/>
  <c r="H105" i="1" a="1"/>
  <c r="H105" i="1" s="1"/>
  <c r="H106" i="1" a="1"/>
  <c r="H106" i="1"/>
  <c r="H107" i="1" a="1"/>
  <c r="H107" i="1"/>
  <c r="H108" i="1" a="1"/>
  <c r="H108" i="1" s="1"/>
  <c r="H109" i="1" a="1"/>
  <c r="H109" i="1"/>
  <c r="H110" i="1" a="1"/>
  <c r="H110" i="1"/>
  <c r="H111" i="1" a="1"/>
  <c r="H111" i="1"/>
  <c r="H112" i="1" a="1"/>
  <c r="H112" i="1" s="1"/>
  <c r="H113" i="1" a="1"/>
  <c r="H113" i="1" s="1"/>
  <c r="H114" i="1" a="1"/>
  <c r="H114" i="1"/>
  <c r="H115" i="1" a="1"/>
  <c r="H115" i="1"/>
  <c r="H116" i="1" a="1"/>
  <c r="H116" i="1"/>
  <c r="H117" i="1" a="1"/>
  <c r="H117" i="1" s="1"/>
  <c r="H118" i="1" a="1"/>
  <c r="H118" i="1"/>
  <c r="H119" i="1" a="1"/>
  <c r="H119" i="1" s="1"/>
  <c r="H120" i="1" a="1"/>
  <c r="H120" i="1" s="1"/>
  <c r="H121" i="1" a="1"/>
  <c r="H121" i="1"/>
  <c r="H122" i="1" a="1"/>
  <c r="H122" i="1"/>
  <c r="H123" i="1" a="1"/>
  <c r="H123" i="1" s="1"/>
  <c r="H124" i="1" a="1"/>
  <c r="H124" i="1" s="1"/>
  <c r="H125" i="1" a="1"/>
  <c r="H125" i="1" s="1"/>
  <c r="H126" i="1" a="1"/>
  <c r="H126" i="1"/>
  <c r="H127" i="1" a="1"/>
  <c r="H127" i="1" s="1"/>
  <c r="H128" i="1" a="1"/>
  <c r="H128" i="1" s="1"/>
  <c r="H129" i="1" a="1"/>
  <c r="H129" i="1" s="1"/>
  <c r="H130" i="1" a="1"/>
  <c r="H130" i="1"/>
  <c r="H131" i="1" a="1"/>
  <c r="H131" i="1" s="1"/>
  <c r="H132" i="1" a="1"/>
  <c r="H132" i="1" s="1"/>
  <c r="H133" i="1" a="1"/>
  <c r="H133" i="1" s="1"/>
  <c r="H134" i="1" a="1"/>
  <c r="H134" i="1"/>
  <c r="H135" i="1" a="1"/>
  <c r="H135" i="1" s="1"/>
  <c r="H136" i="1" a="1"/>
  <c r="H136" i="1" s="1"/>
  <c r="H137" i="1" a="1"/>
  <c r="H137" i="1"/>
  <c r="H138" i="1" a="1"/>
  <c r="H138" i="1" s="1"/>
  <c r="H139" i="1" a="1"/>
  <c r="H139" i="1" s="1"/>
  <c r="H140" i="1" a="1"/>
  <c r="H140" i="1" s="1"/>
  <c r="H141" i="1" a="1"/>
  <c r="H141" i="1"/>
  <c r="H142" i="1" a="1"/>
  <c r="H142" i="1"/>
  <c r="H143" i="1" a="1"/>
  <c r="H143" i="1" s="1"/>
  <c r="H144" i="1" a="1"/>
  <c r="H144" i="1" s="1"/>
  <c r="H145" i="1" a="1"/>
  <c r="H145" i="1"/>
  <c r="H146" i="1" a="1"/>
  <c r="H146" i="1" s="1"/>
  <c r="H147" i="1" a="1"/>
  <c r="H147" i="1" s="1"/>
  <c r="H148" i="1" a="1"/>
  <c r="H148" i="1"/>
  <c r="H149" i="1" a="1"/>
  <c r="H149" i="1"/>
  <c r="H150" i="1" a="1"/>
  <c r="H150" i="1" s="1"/>
  <c r="H151" i="1" a="1"/>
  <c r="H151" i="1"/>
  <c r="H152" i="1" a="1"/>
  <c r="H152" i="1" s="1"/>
  <c r="H153" i="1" a="1"/>
  <c r="H153" i="1" s="1"/>
  <c r="H154" i="1" a="1"/>
  <c r="H154" i="1" s="1"/>
  <c r="H155" i="1" a="1"/>
  <c r="H155" i="1" s="1"/>
  <c r="H156" i="1" a="1"/>
  <c r="H156" i="1"/>
  <c r="H157" i="1" a="1"/>
  <c r="H157" i="1"/>
  <c r="H158" i="1" a="1"/>
  <c r="H158" i="1"/>
  <c r="H159" i="1" a="1"/>
  <c r="H159" i="1" s="1"/>
  <c r="H160" i="1" a="1"/>
  <c r="H160" i="1" s="1"/>
  <c r="H161" i="1" a="1"/>
  <c r="H161" i="1"/>
  <c r="H162" i="1" a="1"/>
  <c r="H162" i="1" s="1"/>
  <c r="H163" i="1" a="1"/>
  <c r="H163" i="1" s="1"/>
  <c r="H164" i="1" a="1"/>
  <c r="H164" i="1" s="1"/>
  <c r="H165" i="1" a="1"/>
  <c r="H165" i="1" s="1"/>
  <c r="H166" i="1" a="1"/>
  <c r="H166" i="1" s="1"/>
  <c r="H167" i="1" a="1"/>
  <c r="H167" i="1" s="1"/>
  <c r="H168" i="1" a="1"/>
  <c r="H168" i="1" s="1"/>
  <c r="H169" i="1" a="1"/>
  <c r="H169" i="1" s="1"/>
  <c r="H170" i="1" a="1"/>
  <c r="H170" i="1"/>
  <c r="H171" i="1" a="1"/>
  <c r="H171" i="1" s="1"/>
  <c r="H172" i="1" a="1"/>
  <c r="H172" i="1"/>
  <c r="H173" i="1" a="1"/>
  <c r="H173" i="1" s="1"/>
  <c r="H174" i="1" a="1"/>
  <c r="H174" i="1"/>
  <c r="H175" i="1" a="1"/>
  <c r="H175" i="1" s="1"/>
  <c r="H176" i="1" a="1"/>
  <c r="H176" i="1" s="1"/>
  <c r="H177" i="1" a="1"/>
  <c r="H177" i="1"/>
  <c r="H178" i="1" a="1"/>
  <c r="H178" i="1" s="1"/>
  <c r="H179" i="1" a="1"/>
  <c r="H179" i="1" s="1"/>
  <c r="H180" i="1" a="1"/>
  <c r="H180" i="1" s="1"/>
  <c r="H181" i="1" a="1"/>
  <c r="H181" i="1" s="1"/>
  <c r="H182" i="1" a="1"/>
  <c r="H182" i="1"/>
  <c r="H183" i="1" a="1"/>
  <c r="H183" i="1" s="1"/>
  <c r="H184" i="1" a="1"/>
  <c r="H184" i="1" s="1"/>
  <c r="H185" i="1" a="1"/>
  <c r="H185" i="1"/>
  <c r="H186" i="1" a="1"/>
  <c r="H186" i="1" s="1"/>
  <c r="H187" i="1" a="1"/>
  <c r="H187" i="1" s="1"/>
  <c r="H188" i="1" a="1"/>
  <c r="H188" i="1" s="1"/>
  <c r="H189" i="1" a="1"/>
  <c r="H189" i="1" s="1"/>
  <c r="H190" i="1" a="1"/>
  <c r="H190" i="1" s="1"/>
  <c r="H191" i="1" a="1"/>
  <c r="H191" i="1" s="1"/>
  <c r="H192" i="1" a="1"/>
  <c r="H192" i="1" s="1"/>
  <c r="H193" i="1" a="1"/>
  <c r="H193" i="1" s="1"/>
  <c r="H194" i="1" a="1"/>
  <c r="H194" i="1"/>
  <c r="H195" i="1" a="1"/>
  <c r="H195" i="1" s="1"/>
  <c r="H196" i="1" a="1"/>
  <c r="H196" i="1"/>
  <c r="H197" i="1" a="1"/>
  <c r="H197" i="1"/>
  <c r="H198" i="1" a="1"/>
  <c r="H198" i="1" s="1"/>
  <c r="H199" i="1" a="1"/>
  <c r="H199" i="1" s="1"/>
  <c r="H200" i="1" a="1"/>
  <c r="H200" i="1"/>
  <c r="H201" i="1" a="1"/>
  <c r="H201" i="1" s="1"/>
  <c r="H202" i="1" a="1"/>
  <c r="H202" i="1" s="1"/>
  <c r="H203" i="1" a="1"/>
  <c r="H203" i="1" s="1"/>
  <c r="H204" i="1" a="1"/>
  <c r="H204" i="1"/>
  <c r="H205" i="1" a="1"/>
  <c r="H205" i="1"/>
  <c r="H206" i="1" a="1"/>
  <c r="H206" i="1"/>
  <c r="H207" i="1" a="1"/>
  <c r="H207" i="1" s="1"/>
  <c r="H208" i="1" a="1"/>
  <c r="H208" i="1"/>
  <c r="H209" i="1" a="1"/>
  <c r="H209" i="1"/>
  <c r="H210" i="1" a="1"/>
  <c r="H210" i="1" s="1"/>
  <c r="H211" i="1" a="1"/>
  <c r="H211" i="1" s="1"/>
  <c r="H212" i="1" a="1"/>
  <c r="H212" i="1"/>
  <c r="H213" i="1" a="1"/>
  <c r="H213" i="1" s="1"/>
  <c r="H214" i="1" a="1"/>
  <c r="H214" i="1" s="1"/>
  <c r="H215" i="1" a="1"/>
  <c r="H215" i="1"/>
  <c r="H216" i="1" a="1"/>
  <c r="H216" i="1"/>
  <c r="H217" i="1" a="1"/>
  <c r="H217" i="1" s="1"/>
  <c r="H218" i="1" a="1"/>
  <c r="H218" i="1" s="1"/>
  <c r="H219" i="1" a="1"/>
  <c r="H219" i="1"/>
  <c r="H220" i="1" a="1"/>
  <c r="H220" i="1" s="1"/>
  <c r="H221" i="1" a="1"/>
  <c r="H221" i="1" s="1"/>
  <c r="H222" i="1" a="1"/>
  <c r="H222" i="1" s="1"/>
  <c r="H223" i="1" a="1"/>
  <c r="H223" i="1" s="1"/>
  <c r="H224" i="1" a="1"/>
  <c r="H224" i="1" s="1"/>
  <c r="H225" i="1" a="1"/>
  <c r="H225" i="1"/>
  <c r="H226" i="1" a="1"/>
  <c r="H226" i="1" s="1"/>
  <c r="H227" i="1" a="1"/>
  <c r="H227" i="1" s="1"/>
  <c r="H228" i="1" a="1"/>
  <c r="H228" i="1" s="1"/>
  <c r="H229" i="1" a="1"/>
  <c r="H229" i="1" s="1"/>
  <c r="H230" i="1" a="1"/>
  <c r="H230" i="1"/>
  <c r="H231" i="1" a="1"/>
  <c r="H231" i="1" s="1"/>
  <c r="H232" i="1" a="1"/>
  <c r="H232" i="1"/>
  <c r="H233" i="1" a="1"/>
  <c r="H233" i="1" s="1"/>
  <c r="H234" i="1" a="1"/>
  <c r="H234" i="1" s="1"/>
  <c r="H235" i="1" a="1"/>
  <c r="H235" i="1" s="1"/>
  <c r="H236" i="1" a="1"/>
  <c r="H236" i="1"/>
  <c r="H237" i="1" a="1"/>
  <c r="H237" i="1" s="1"/>
  <c r="H238" i="1" a="1"/>
  <c r="H238" i="1" s="1"/>
  <c r="H239" i="1" a="1"/>
  <c r="H239" i="1"/>
  <c r="H240" i="1" a="1"/>
  <c r="H240" i="1" s="1"/>
  <c r="H241" i="1" a="1"/>
  <c r="H241" i="1" s="1"/>
  <c r="H242" i="1" a="1"/>
  <c r="H242" i="1" s="1"/>
  <c r="H243" i="1" a="1"/>
  <c r="H243" i="1" s="1"/>
  <c r="H244" i="1" a="1"/>
  <c r="H244" i="1"/>
  <c r="H245" i="1" a="1"/>
  <c r="H245" i="1" s="1"/>
  <c r="H246" i="1" a="1"/>
  <c r="H246" i="1"/>
  <c r="H247" i="1" a="1"/>
  <c r="H247" i="1" s="1"/>
  <c r="H248" i="1" a="1"/>
  <c r="H248" i="1" s="1"/>
  <c r="H249" i="1" a="1"/>
  <c r="H249" i="1" s="1"/>
  <c r="H250" i="1" a="1"/>
  <c r="H250" i="1" s="1"/>
  <c r="H251" i="1" a="1"/>
  <c r="H251" i="1"/>
  <c r="H252" i="1" a="1"/>
  <c r="H252" i="1"/>
  <c r="H253" i="1" a="1"/>
  <c r="H253" i="1" s="1"/>
  <c r="H254" i="1" a="1"/>
  <c r="H254" i="1" s="1"/>
  <c r="H255" i="1" a="1"/>
  <c r="H255" i="1" s="1"/>
  <c r="H256" i="1" a="1"/>
  <c r="H256" i="1" s="1"/>
  <c r="H257" i="1" a="1"/>
  <c r="H257" i="1" s="1"/>
  <c r="H258" i="1" a="1"/>
  <c r="H258" i="1"/>
  <c r="H259" i="1" a="1"/>
  <c r="H259" i="1" s="1"/>
  <c r="H260" i="1" a="1"/>
  <c r="H260" i="1"/>
  <c r="H261" i="1" a="1"/>
  <c r="H261" i="1" s="1"/>
  <c r="H262" i="1" a="1"/>
  <c r="H262" i="1" s="1"/>
  <c r="H263" i="1" a="1"/>
  <c r="H263" i="1" s="1"/>
  <c r="H264" i="1" a="1"/>
  <c r="H264" i="1"/>
  <c r="H265" i="1" a="1"/>
  <c r="H265" i="1"/>
  <c r="H266" i="1" a="1"/>
  <c r="H266" i="1" s="1"/>
  <c r="H267" i="1" a="1"/>
  <c r="H267" i="1" s="1"/>
  <c r="H268" i="1" a="1"/>
  <c r="H268" i="1"/>
  <c r="H269" i="1" a="1"/>
  <c r="H269" i="1" s="1"/>
  <c r="H270" i="1" a="1"/>
  <c r="H270" i="1" s="1"/>
  <c r="H271" i="1" a="1"/>
  <c r="H271" i="1" s="1"/>
  <c r="H272" i="1" a="1"/>
  <c r="H272" i="1"/>
  <c r="H273" i="1" a="1"/>
  <c r="H273" i="1" s="1"/>
  <c r="H274" i="1" a="1"/>
  <c r="H274" i="1" s="1"/>
  <c r="H275" i="1" a="1"/>
  <c r="H275" i="1" s="1"/>
  <c r="H276" i="1" a="1"/>
  <c r="H276" i="1" s="1"/>
  <c r="H277" i="1" a="1"/>
  <c r="H277" i="1" s="1"/>
  <c r="H278" i="1" a="1"/>
  <c r="H278" i="1" s="1"/>
  <c r="H279" i="1" a="1"/>
  <c r="H279" i="1"/>
  <c r="H280" i="1" a="1"/>
  <c r="H280" i="1"/>
  <c r="H281" i="1" a="1"/>
  <c r="H281" i="1" s="1"/>
  <c r="H282" i="1" a="1"/>
  <c r="H282" i="1" s="1"/>
  <c r="H283" i="1" a="1"/>
  <c r="H283" i="1" s="1"/>
  <c r="H284" i="1" a="1"/>
  <c r="H284" i="1" s="1"/>
  <c r="H285" i="1" a="1"/>
  <c r="H285" i="1" s="1"/>
  <c r="H286" i="1" a="1"/>
  <c r="H286" i="1" s="1"/>
  <c r="H287" i="1" a="1"/>
  <c r="H287" i="1" s="1"/>
  <c r="H288" i="1" a="1"/>
  <c r="H288" i="1"/>
  <c r="H289" i="1" a="1"/>
  <c r="H289" i="1" s="1"/>
  <c r="H290" i="1" a="1"/>
  <c r="H290" i="1"/>
  <c r="H291" i="1" a="1"/>
  <c r="H291" i="1" s="1"/>
  <c r="H292" i="1" a="1"/>
  <c r="H292" i="1"/>
  <c r="H293" i="1" a="1"/>
  <c r="H293" i="1" s="1"/>
  <c r="H294" i="1" a="1"/>
  <c r="H294" i="1" s="1"/>
  <c r="H295" i="1" a="1"/>
  <c r="H295" i="1"/>
  <c r="H296" i="1" a="1"/>
  <c r="H296" i="1" s="1"/>
  <c r="H297" i="1" a="1"/>
  <c r="H297" i="1"/>
  <c r="H298" i="1" a="1"/>
  <c r="H298" i="1"/>
  <c r="H299" i="1" a="1"/>
  <c r="H299" i="1" s="1"/>
  <c r="H300" i="1" a="1"/>
  <c r="H300" i="1"/>
  <c r="H301" i="1" a="1"/>
  <c r="H301" i="1" s="1"/>
  <c r="H302" i="1" a="1"/>
  <c r="H302" i="1"/>
  <c r="H303" i="1" a="1"/>
  <c r="H303" i="1" s="1"/>
  <c r="H304" i="1" a="1"/>
  <c r="H304" i="1"/>
  <c r="H305" i="1" a="1"/>
  <c r="H305" i="1" s="1"/>
  <c r="H306" i="1" a="1"/>
  <c r="H306" i="1"/>
  <c r="H307" i="1" a="1"/>
  <c r="H307" i="1" s="1"/>
  <c r="H308" i="1" a="1"/>
  <c r="H308" i="1" s="1"/>
  <c r="H309" i="1" a="1"/>
  <c r="H309" i="1"/>
  <c r="H310" i="1" a="1"/>
  <c r="H310" i="1" s="1"/>
  <c r="H311" i="1" a="1"/>
  <c r="H311" i="1" s="1"/>
  <c r="H312" i="1" a="1"/>
  <c r="H312" i="1" s="1"/>
  <c r="H313" i="1" a="1"/>
  <c r="H313" i="1" s="1"/>
  <c r="H314" i="1" a="1"/>
  <c r="H314" i="1" s="1"/>
  <c r="H315" i="1" a="1"/>
  <c r="H315" i="1"/>
  <c r="H316" i="1" a="1"/>
  <c r="H316" i="1"/>
  <c r="H317" i="1" a="1"/>
  <c r="H317" i="1" s="1"/>
  <c r="H318" i="1" a="1"/>
  <c r="H318" i="1"/>
  <c r="H319" i="1" a="1"/>
  <c r="H319" i="1" s="1"/>
  <c r="H320" i="1" a="1"/>
  <c r="H320" i="1" s="1"/>
  <c r="H321" i="1" a="1"/>
  <c r="H321" i="1" s="1"/>
  <c r="H322" i="1" a="1"/>
  <c r="H322" i="1" s="1"/>
  <c r="H323" i="1" a="1"/>
  <c r="H323" i="1" s="1"/>
  <c r="H324" i="1" a="1"/>
  <c r="H324" i="1" s="1"/>
  <c r="H325" i="1" a="1"/>
  <c r="H325" i="1"/>
  <c r="H326" i="1" a="1"/>
  <c r="H326" i="1"/>
  <c r="H327" i="1" a="1"/>
  <c r="H327" i="1" s="1"/>
  <c r="H328" i="1" a="1"/>
  <c r="H328" i="1"/>
  <c r="H329" i="1" a="1"/>
  <c r="H329" i="1" s="1"/>
  <c r="H330" i="1" a="1"/>
  <c r="H330" i="1" s="1"/>
  <c r="H331" i="1" a="1"/>
  <c r="H331" i="1" s="1"/>
  <c r="H332" i="1" a="1"/>
  <c r="H332" i="1"/>
  <c r="H333" i="1" a="1"/>
  <c r="H333" i="1" s="1"/>
  <c r="H334" i="1" a="1"/>
  <c r="H334" i="1" s="1"/>
  <c r="H335" i="1" a="1"/>
  <c r="H335" i="1" s="1"/>
  <c r="H336" i="1" a="1"/>
  <c r="H336" i="1" s="1"/>
  <c r="H337" i="1" a="1"/>
  <c r="H337" i="1" s="1"/>
  <c r="H338" i="1" a="1"/>
  <c r="H338" i="1" s="1"/>
  <c r="H339" i="1" a="1"/>
  <c r="H339" i="1" s="1"/>
  <c r="H340" i="1" a="1"/>
  <c r="H340" i="1"/>
  <c r="H341" i="1" a="1"/>
  <c r="H341" i="1" s="1"/>
  <c r="H342" i="1" a="1"/>
  <c r="H342" i="1"/>
  <c r="H343" i="1" a="1"/>
  <c r="H343" i="1" s="1"/>
  <c r="H344" i="1" a="1"/>
  <c r="H344" i="1" s="1"/>
  <c r="H345" i="1" a="1"/>
  <c r="H345" i="1"/>
  <c r="H346" i="1" a="1"/>
  <c r="H346" i="1" s="1"/>
  <c r="H347" i="1" a="1"/>
  <c r="H347" i="1" s="1"/>
  <c r="H348" i="1" a="1"/>
  <c r="H348" i="1" s="1"/>
  <c r="H349" i="1" a="1"/>
  <c r="H349" i="1"/>
  <c r="H350" i="1" a="1"/>
  <c r="H350" i="1" s="1"/>
  <c r="H351" i="1" a="1"/>
  <c r="H351" i="1" s="1"/>
  <c r="H352" i="1" a="1"/>
  <c r="H352" i="1"/>
  <c r="H353" i="1" a="1"/>
  <c r="H353" i="1" s="1"/>
  <c r="H354" i="1" a="1"/>
  <c r="H354" i="1" s="1"/>
  <c r="H355" i="1" a="1"/>
  <c r="H355" i="1" s="1"/>
  <c r="H356" i="1" a="1"/>
  <c r="H356" i="1"/>
  <c r="H357" i="1" a="1"/>
  <c r="H357" i="1" s="1"/>
  <c r="H358" i="1" a="1"/>
  <c r="H358" i="1" s="1"/>
  <c r="H359" i="1" a="1"/>
  <c r="H359" i="1" s="1"/>
  <c r="H360" i="1" a="1"/>
  <c r="H360" i="1"/>
  <c r="H361" i="1" a="1"/>
  <c r="H361" i="1"/>
  <c r="H362" i="1" a="1"/>
  <c r="H362" i="1" s="1"/>
  <c r="H363" i="1" a="1"/>
  <c r="H363" i="1" s="1"/>
  <c r="H364" i="1" a="1"/>
  <c r="H364" i="1" s="1"/>
  <c r="H365" i="1" a="1"/>
  <c r="H365" i="1" s="1"/>
  <c r="H366" i="1" a="1"/>
  <c r="H366" i="1" s="1"/>
  <c r="H367" i="1" a="1"/>
  <c r="H367" i="1" s="1"/>
  <c r="H368" i="1" a="1"/>
  <c r="H368" i="1"/>
  <c r="H369" i="1" a="1"/>
  <c r="H369" i="1" s="1"/>
  <c r="H370" i="1" a="1"/>
  <c r="H370" i="1" s="1"/>
  <c r="H371" i="1" a="1"/>
  <c r="H371" i="1" s="1"/>
  <c r="H372" i="1" a="1"/>
  <c r="H372" i="1" s="1"/>
  <c r="H373" i="1" a="1"/>
  <c r="H373" i="1" s="1"/>
  <c r="H374" i="1" a="1"/>
  <c r="H374" i="1"/>
  <c r="H375" i="1" a="1"/>
  <c r="H375" i="1" s="1"/>
  <c r="H376" i="1" a="1"/>
  <c r="H376" i="1"/>
  <c r="H377" i="1" a="1"/>
  <c r="H377" i="1" s="1"/>
  <c r="H378" i="1" a="1"/>
  <c r="H378" i="1"/>
  <c r="H379" i="1" a="1"/>
  <c r="H379" i="1" s="1"/>
  <c r="H380" i="1" a="1"/>
  <c r="H380" i="1" s="1"/>
  <c r="H381" i="1" a="1"/>
  <c r="H381" i="1"/>
  <c r="H382" i="1" a="1"/>
  <c r="H382" i="1" s="1"/>
  <c r="H383" i="1" a="1"/>
  <c r="H383" i="1" s="1"/>
  <c r="H384" i="1" a="1"/>
  <c r="H384" i="1"/>
  <c r="H385" i="1" a="1"/>
  <c r="H385" i="1" s="1"/>
  <c r="H386" i="1" a="1"/>
  <c r="H386" i="1" s="1"/>
  <c r="H387" i="1" a="1"/>
  <c r="H387" i="1"/>
  <c r="H388" i="1" a="1"/>
  <c r="H388" i="1"/>
  <c r="H389" i="1" a="1"/>
  <c r="H389" i="1" s="1"/>
  <c r="H390" i="1" a="1"/>
  <c r="H390" i="1" s="1"/>
  <c r="H391" i="1" a="1"/>
  <c r="H391" i="1" s="1"/>
  <c r="H392" i="1" a="1"/>
  <c r="H392" i="1" s="1"/>
  <c r="H393" i="1" a="1"/>
  <c r="H393" i="1" s="1"/>
  <c r="H394" i="1" a="1"/>
  <c r="H394" i="1" s="1"/>
  <c r="H395" i="1" a="1"/>
  <c r="H395" i="1"/>
  <c r="H396" i="1" a="1"/>
  <c r="H396" i="1" s="1"/>
  <c r="H397" i="1" a="1"/>
  <c r="H397" i="1" s="1"/>
  <c r="H398" i="1" a="1"/>
  <c r="H398" i="1" s="1"/>
  <c r="H399" i="1" a="1"/>
  <c r="H399" i="1" s="1"/>
  <c r="H400" i="1" a="1"/>
  <c r="H400" i="1"/>
  <c r="H401" i="1" a="1"/>
  <c r="H401" i="1" s="1"/>
  <c r="H402" i="1" a="1"/>
  <c r="H402" i="1" s="1"/>
  <c r="H403" i="1" a="1"/>
  <c r="H403" i="1" s="1"/>
  <c r="H404" i="1" a="1"/>
  <c r="H404" i="1" s="1"/>
  <c r="H405" i="1" a="1"/>
  <c r="H405" i="1" s="1"/>
  <c r="H406" i="1" a="1"/>
  <c r="H406" i="1" s="1"/>
  <c r="H407" i="1" a="1"/>
  <c r="H407" i="1" s="1"/>
  <c r="H408" i="1" a="1"/>
  <c r="H408" i="1"/>
  <c r="H409" i="1" a="1"/>
  <c r="H409" i="1"/>
  <c r="H410" i="1" a="1"/>
  <c r="H410" i="1" s="1"/>
  <c r="H411" i="1" a="1"/>
  <c r="H411" i="1"/>
  <c r="H412" i="1" a="1"/>
  <c r="H412" i="1" s="1"/>
  <c r="H413" i="1" a="1"/>
  <c r="H413" i="1" s="1"/>
  <c r="H414" i="1" a="1"/>
  <c r="H414" i="1" s="1"/>
  <c r="H415" i="1" a="1"/>
  <c r="H415" i="1"/>
  <c r="H416" i="1" a="1"/>
  <c r="H416" i="1" s="1"/>
  <c r="H417" i="1" a="1"/>
  <c r="H417" i="1"/>
  <c r="H418" i="1" a="1"/>
  <c r="H418" i="1"/>
  <c r="H419" i="1" a="1"/>
  <c r="H419" i="1" s="1"/>
  <c r="H420" i="1" a="1"/>
  <c r="H420" i="1" s="1"/>
  <c r="H421" i="1" a="1"/>
  <c r="H421" i="1" s="1"/>
  <c r="H422" i="1" a="1"/>
  <c r="H422" i="1" s="1"/>
  <c r="H423" i="1" a="1"/>
  <c r="H423" i="1" s="1"/>
  <c r="H424" i="1" a="1"/>
  <c r="H424" i="1" s="1"/>
  <c r="H425" i="1" a="1"/>
  <c r="H425" i="1" s="1"/>
  <c r="H426" i="1" a="1"/>
  <c r="H426" i="1" s="1"/>
  <c r="H427" i="1" a="1"/>
  <c r="H427" i="1"/>
  <c r="H428" i="1" a="1"/>
  <c r="H428" i="1" s="1"/>
  <c r="H429" i="1" a="1"/>
  <c r="H429" i="1" s="1"/>
  <c r="H430" i="1" a="1"/>
  <c r="H430" i="1" s="1"/>
  <c r="H431" i="1" a="1"/>
  <c r="H431" i="1"/>
  <c r="H432" i="1" a="1"/>
  <c r="H432" i="1" s="1"/>
  <c r="H433" i="1" a="1"/>
  <c r="H433" i="1" s="1"/>
  <c r="H434" i="1" a="1"/>
  <c r="H434" i="1" s="1"/>
  <c r="H435" i="1" a="1"/>
  <c r="H435" i="1"/>
  <c r="H436" i="1" a="1"/>
  <c r="H436" i="1" s="1"/>
  <c r="H437" i="1" a="1"/>
  <c r="H437" i="1" s="1"/>
  <c r="H438" i="1" a="1"/>
  <c r="H438" i="1" s="1"/>
  <c r="H439" i="1" a="1"/>
  <c r="H439" i="1"/>
  <c r="H440" i="1" a="1"/>
  <c r="H440" i="1" s="1"/>
  <c r="H441" i="1" a="1"/>
  <c r="H441" i="1"/>
  <c r="H442" i="1" a="1"/>
  <c r="H442" i="1"/>
  <c r="H443" i="1" a="1"/>
  <c r="H443" i="1" s="1"/>
  <c r="H444" i="1" a="1"/>
  <c r="H444" i="1"/>
  <c r="H445" i="1" a="1"/>
  <c r="H445" i="1" s="1"/>
  <c r="H446" i="1" a="1"/>
  <c r="H446" i="1"/>
  <c r="H447" i="1" a="1"/>
  <c r="H447" i="1" s="1"/>
  <c r="H448" i="1" a="1"/>
  <c r="H448" i="1" s="1"/>
  <c r="H449" i="1" a="1"/>
  <c r="H449" i="1" s="1"/>
  <c r="H450" i="1" a="1"/>
  <c r="H450" i="1" s="1"/>
  <c r="H451" i="1" a="1"/>
  <c r="H451" i="1"/>
  <c r="H452" i="1" a="1"/>
  <c r="H452" i="1" s="1"/>
  <c r="H453" i="1" a="1"/>
  <c r="H453" i="1" s="1"/>
  <c r="H454" i="1" a="1"/>
  <c r="H454" i="1" s="1"/>
  <c r="H455" i="1" a="1"/>
  <c r="H455" i="1"/>
  <c r="H456" i="1" a="1"/>
  <c r="H456" i="1"/>
  <c r="H457" i="1" a="1"/>
  <c r="H457" i="1"/>
  <c r="H458" i="1" a="1"/>
  <c r="H458" i="1"/>
  <c r="H459" i="1" a="1"/>
  <c r="H459" i="1" s="1"/>
  <c r="H460" i="1" a="1"/>
  <c r="H460" i="1" s="1"/>
  <c r="H461" i="1" a="1"/>
  <c r="H461" i="1" s="1"/>
  <c r="H462" i="1" a="1"/>
  <c r="H462" i="1" s="1"/>
  <c r="H463" i="1" a="1"/>
  <c r="H463" i="1" s="1"/>
  <c r="H464" i="1" a="1"/>
  <c r="H464" i="1"/>
  <c r="H465" i="1" a="1"/>
  <c r="H465" i="1" s="1"/>
  <c r="H466" i="1" a="1"/>
  <c r="H466" i="1" s="1"/>
  <c r="H467" i="1" a="1"/>
  <c r="H467" i="1" s="1"/>
  <c r="H468" i="1" a="1"/>
  <c r="H468" i="1"/>
  <c r="H469" i="1" a="1"/>
  <c r="H469" i="1" s="1"/>
  <c r="H470" i="1" a="1"/>
  <c r="H470" i="1" s="1"/>
  <c r="H471" i="1" a="1"/>
  <c r="H471" i="1" s="1"/>
  <c r="H472" i="1" a="1"/>
  <c r="H472" i="1" s="1"/>
  <c r="H473" i="1" a="1"/>
  <c r="H473" i="1" s="1"/>
  <c r="H474" i="1" a="1"/>
  <c r="H474" i="1" s="1"/>
  <c r="H475" i="1" a="1"/>
  <c r="H475" i="1" s="1"/>
  <c r="H476" i="1" a="1"/>
  <c r="H476" i="1" s="1"/>
  <c r="H477" i="1" a="1"/>
  <c r="H477" i="1" s="1"/>
  <c r="H478" i="1" a="1"/>
  <c r="H478" i="1"/>
  <c r="H479" i="1" a="1"/>
  <c r="H479" i="1" s="1"/>
  <c r="H480" i="1" a="1"/>
  <c r="H480" i="1"/>
  <c r="H481" i="1" a="1"/>
  <c r="H481" i="1" s="1"/>
  <c r="H482" i="1" a="1"/>
  <c r="H482" i="1" s="1"/>
  <c r="H483" i="1" a="1"/>
  <c r="H483" i="1" s="1"/>
  <c r="H484" i="1" a="1"/>
  <c r="H484" i="1"/>
  <c r="H485" i="1" a="1"/>
  <c r="H485" i="1"/>
  <c r="H486" i="1" a="1"/>
  <c r="H486" i="1" s="1"/>
  <c r="H487" i="1" a="1"/>
  <c r="H487" i="1" s="1"/>
  <c r="H488" i="1" a="1"/>
  <c r="H488" i="1"/>
  <c r="H489" i="1" a="1"/>
  <c r="H489" i="1" s="1"/>
  <c r="H490" i="1" a="1"/>
  <c r="H490" i="1"/>
  <c r="H491" i="1" a="1"/>
  <c r="H491" i="1" s="1"/>
  <c r="H492" i="1" a="1"/>
  <c r="H492" i="1"/>
  <c r="H493" i="1" a="1"/>
  <c r="H493" i="1" s="1"/>
  <c r="H494" i="1" a="1"/>
  <c r="H494" i="1" s="1"/>
  <c r="H495" i="1" a="1"/>
  <c r="H495" i="1" s="1"/>
  <c r="H496" i="1" a="1"/>
  <c r="H496" i="1" s="1"/>
  <c r="H497" i="1" a="1"/>
  <c r="H497" i="1" s="1"/>
  <c r="H498" i="1" a="1"/>
  <c r="H498" i="1" s="1"/>
  <c r="H499" i="1" a="1"/>
  <c r="H499" i="1"/>
  <c r="H500" i="1" a="1"/>
  <c r="H500" i="1"/>
  <c r="H501" i="1" a="1"/>
  <c r="H501" i="1" s="1"/>
  <c r="H502" i="1" a="1"/>
  <c r="H502" i="1" s="1"/>
  <c r="H503" i="1" a="1"/>
  <c r="H503" i="1" s="1"/>
  <c r="H504" i="1" a="1"/>
  <c r="H504" i="1"/>
  <c r="H505" i="1" a="1"/>
  <c r="H505" i="1" s="1"/>
  <c r="H506" i="1" a="1"/>
  <c r="H506" i="1"/>
  <c r="H507" i="1" a="1"/>
  <c r="H507" i="1"/>
  <c r="H508" i="1" a="1"/>
  <c r="H508" i="1" s="1"/>
  <c r="H509" i="1" a="1"/>
  <c r="H509" i="1"/>
  <c r="H510" i="1" a="1"/>
  <c r="H510" i="1" s="1"/>
  <c r="H511" i="1" a="1"/>
  <c r="H511" i="1"/>
  <c r="H512" i="1" a="1"/>
  <c r="H512" i="1" s="1"/>
  <c r="H513" i="1" a="1"/>
  <c r="H513" i="1" s="1"/>
  <c r="H514" i="1" a="1"/>
  <c r="H514" i="1"/>
  <c r="H515" i="1" a="1"/>
  <c r="H515" i="1" s="1"/>
  <c r="H516" i="1" a="1"/>
  <c r="H516" i="1" s="1"/>
  <c r="H517" i="1" a="1"/>
  <c r="H517" i="1" s="1"/>
  <c r="H518" i="1" a="1"/>
  <c r="H518" i="1" s="1"/>
  <c r="H519" i="1" a="1"/>
  <c r="H519" i="1" s="1"/>
  <c r="H520" i="1" a="1"/>
  <c r="H520" i="1" s="1"/>
  <c r="H521" i="1" a="1"/>
  <c r="H521" i="1"/>
  <c r="H522" i="1" a="1"/>
  <c r="H522" i="1" s="1"/>
  <c r="H523" i="1" a="1"/>
  <c r="H523" i="1" s="1"/>
  <c r="H524" i="1" a="1"/>
  <c r="H524" i="1"/>
  <c r="H525" i="1" a="1"/>
  <c r="H525" i="1" s="1"/>
  <c r="H526" i="1" a="1"/>
  <c r="H526" i="1"/>
  <c r="H527" i="1" a="1"/>
  <c r="H527" i="1" s="1"/>
  <c r="H528" i="1" a="1"/>
  <c r="H528" i="1"/>
  <c r="H529" i="1" a="1"/>
  <c r="H529" i="1" s="1"/>
  <c r="H530" i="1" a="1"/>
  <c r="H530" i="1" s="1"/>
  <c r="H531" i="1" a="1"/>
  <c r="H531" i="1"/>
  <c r="H532" i="1" a="1"/>
  <c r="H532" i="1" s="1"/>
  <c r="H533" i="1" a="1"/>
  <c r="H533" i="1" s="1"/>
  <c r="H534" i="1" a="1"/>
  <c r="H534" i="1" s="1"/>
  <c r="H535" i="1" a="1"/>
  <c r="H535" i="1"/>
  <c r="H536" i="1" a="1"/>
  <c r="H536" i="1" s="1"/>
  <c r="H537" i="1" a="1"/>
  <c r="H537" i="1"/>
  <c r="H538" i="1" a="1"/>
  <c r="H538" i="1" s="1"/>
  <c r="H539" i="1" a="1"/>
  <c r="H539" i="1" s="1"/>
  <c r="H540" i="1" a="1"/>
  <c r="H540" i="1"/>
  <c r="H541" i="1" a="1"/>
  <c r="H541" i="1" s="1"/>
  <c r="H542" i="1" a="1"/>
  <c r="H542" i="1"/>
  <c r="H543" i="1" a="1"/>
  <c r="H543" i="1" s="1"/>
  <c r="H544" i="1" a="1"/>
  <c r="H544" i="1" s="1"/>
  <c r="H545" i="1" a="1"/>
  <c r="H545" i="1"/>
  <c r="H546" i="1" a="1"/>
  <c r="H546" i="1" s="1"/>
  <c r="H547" i="1" a="1"/>
  <c r="H547" i="1"/>
  <c r="H548" i="1" a="1"/>
  <c r="H548" i="1" s="1"/>
  <c r="H549" i="1" a="1"/>
  <c r="H549" i="1"/>
  <c r="H550" i="1" a="1"/>
  <c r="H550" i="1" s="1"/>
  <c r="H551" i="1" a="1"/>
  <c r="H551" i="1"/>
  <c r="H552" i="1" a="1"/>
  <c r="H552" i="1"/>
  <c r="H553" i="1" a="1"/>
  <c r="H553" i="1" s="1"/>
  <c r="H554" i="1" a="1"/>
  <c r="H554" i="1"/>
  <c r="H555" i="1" a="1"/>
  <c r="H555" i="1"/>
  <c r="H556" i="1" a="1"/>
  <c r="H556" i="1" s="1"/>
  <c r="H557" i="1" a="1"/>
  <c r="H557" i="1" s="1"/>
  <c r="H558" i="1" a="1"/>
  <c r="H558" i="1"/>
  <c r="H559" i="1" a="1"/>
  <c r="H559" i="1" s="1"/>
  <c r="H560" i="1" a="1"/>
  <c r="H560" i="1" s="1"/>
  <c r="H561" i="1" a="1"/>
  <c r="H561" i="1" s="1"/>
  <c r="H562" i="1" a="1"/>
  <c r="H562" i="1" s="1"/>
  <c r="H563" i="1" a="1"/>
  <c r="H563" i="1" s="1"/>
  <c r="H564" i="1" a="1"/>
  <c r="H564" i="1" s="1"/>
  <c r="H565" i="1" a="1"/>
  <c r="H565" i="1" s="1"/>
  <c r="H566" i="1" a="1"/>
  <c r="H566" i="1" s="1"/>
  <c r="H567" i="1" a="1"/>
  <c r="H567" i="1"/>
  <c r="H568" i="1" a="1"/>
  <c r="H568" i="1"/>
  <c r="H569" i="1" a="1"/>
  <c r="H569" i="1" s="1"/>
  <c r="H570" i="1" a="1"/>
  <c r="H570" i="1"/>
  <c r="H571" i="1" a="1"/>
  <c r="H571" i="1" s="1"/>
  <c r="H572" i="1" a="1"/>
  <c r="H572" i="1" s="1"/>
  <c r="H573" i="1" a="1"/>
  <c r="H573" i="1" s="1"/>
  <c r="H574" i="1" a="1"/>
  <c r="H574" i="1"/>
  <c r="H575" i="1" a="1"/>
  <c r="H575" i="1"/>
  <c r="H576" i="1" a="1"/>
  <c r="H576" i="1" s="1"/>
  <c r="H577" i="1" a="1"/>
  <c r="H577" i="1" s="1"/>
  <c r="H578" i="1" a="1"/>
  <c r="H578" i="1"/>
  <c r="H579" i="1" a="1"/>
  <c r="H579" i="1" s="1"/>
  <c r="H580" i="1" a="1"/>
  <c r="H580" i="1" s="1"/>
  <c r="H581" i="1" a="1"/>
  <c r="H581" i="1" s="1"/>
  <c r="H582" i="1" a="1"/>
  <c r="H582" i="1"/>
  <c r="H583" i="1" a="1"/>
  <c r="H583" i="1" s="1"/>
  <c r="H584" i="1" a="1"/>
  <c r="H584" i="1" s="1"/>
  <c r="H585" i="1" a="1"/>
  <c r="H585" i="1"/>
  <c r="H586" i="1" a="1"/>
  <c r="H586" i="1" s="1"/>
  <c r="H587" i="1" a="1"/>
  <c r="H587" i="1"/>
  <c r="H588" i="1" a="1"/>
  <c r="H588" i="1"/>
  <c r="H589" i="1" a="1"/>
  <c r="H589" i="1"/>
  <c r="H590" i="1" a="1"/>
  <c r="H590" i="1" s="1"/>
  <c r="H591" i="1" a="1"/>
  <c r="H591" i="1" s="1"/>
  <c r="H592" i="1" a="1"/>
  <c r="H592" i="1" s="1"/>
  <c r="H593" i="1" a="1"/>
  <c r="H593" i="1" s="1"/>
  <c r="H594" i="1" a="1"/>
  <c r="H594" i="1"/>
  <c r="H595" i="1" a="1"/>
  <c r="H595" i="1"/>
  <c r="H596" i="1" a="1"/>
  <c r="H596" i="1" s="1"/>
  <c r="H597" i="1" a="1"/>
  <c r="H597" i="1" s="1"/>
  <c r="H598" i="1" a="1"/>
  <c r="H598" i="1" s="1"/>
  <c r="H599" i="1" a="1"/>
  <c r="H599" i="1"/>
  <c r="H600" i="1" a="1"/>
  <c r="H600" i="1" s="1"/>
  <c r="H601" i="1" a="1"/>
  <c r="H601" i="1" s="1"/>
  <c r="H602" i="1" a="1"/>
  <c r="H602" i="1"/>
  <c r="H603" i="1" a="1"/>
  <c r="H603" i="1" s="1"/>
  <c r="H604" i="1" a="1"/>
  <c r="H604" i="1" s="1"/>
  <c r="H605" i="1" a="1"/>
  <c r="H605" i="1" s="1"/>
  <c r="H606" i="1" a="1"/>
  <c r="H606" i="1" s="1"/>
  <c r="H607" i="1" a="1"/>
  <c r="H607" i="1" s="1"/>
  <c r="H608" i="1" a="1"/>
  <c r="H608" i="1" s="1"/>
  <c r="H609" i="1" a="1"/>
  <c r="H609" i="1"/>
  <c r="H610" i="1" a="1"/>
  <c r="H610" i="1"/>
  <c r="H611" i="1" a="1"/>
  <c r="H611" i="1" s="1"/>
  <c r="H612" i="1" a="1"/>
  <c r="H612" i="1"/>
  <c r="H613" i="1" a="1"/>
  <c r="H613" i="1" s="1"/>
  <c r="H614" i="1" a="1"/>
  <c r="H614" i="1" s="1"/>
  <c r="H615" i="1" a="1"/>
  <c r="H615" i="1"/>
  <c r="H616" i="1" a="1"/>
  <c r="H616" i="1" s="1"/>
  <c r="H617" i="1" a="1"/>
  <c r="H617" i="1" s="1"/>
  <c r="H618" i="1" a="1"/>
  <c r="H618" i="1"/>
  <c r="H619" i="1" a="1"/>
  <c r="H619" i="1" s="1"/>
  <c r="H620" i="1" a="1"/>
  <c r="H620" i="1"/>
  <c r="H621" i="1" a="1"/>
  <c r="H621" i="1" s="1"/>
  <c r="H622" i="1" a="1"/>
  <c r="H622" i="1"/>
  <c r="H623" i="1" a="1"/>
  <c r="H623" i="1" s="1"/>
  <c r="H624" i="1" a="1"/>
  <c r="H624" i="1" s="1"/>
  <c r="H625" i="1" a="1"/>
  <c r="H625" i="1"/>
  <c r="H626" i="1" a="1"/>
  <c r="H626" i="1"/>
  <c r="H627" i="1" a="1"/>
  <c r="H627" i="1" s="1"/>
  <c r="H628" i="1" a="1"/>
  <c r="H628" i="1" s="1"/>
  <c r="H629" i="1" a="1"/>
  <c r="H629" i="1" s="1"/>
  <c r="H630" i="1" a="1"/>
  <c r="H630" i="1"/>
  <c r="H631" i="1" a="1"/>
  <c r="H631" i="1" s="1"/>
  <c r="H632" i="1" a="1"/>
  <c r="H632" i="1"/>
  <c r="H633" i="1" a="1"/>
  <c r="H633" i="1" s="1"/>
  <c r="H634" i="1" a="1"/>
  <c r="H634" i="1"/>
  <c r="H635" i="1" a="1"/>
  <c r="H635" i="1" s="1"/>
  <c r="H636" i="1" a="1"/>
  <c r="H636" i="1"/>
  <c r="H637" i="1" a="1"/>
  <c r="H637" i="1"/>
  <c r="H638" i="1" a="1"/>
  <c r="H638" i="1" s="1"/>
  <c r="H639" i="1" a="1"/>
  <c r="H639" i="1" s="1"/>
  <c r="H640" i="1" a="1"/>
  <c r="H640" i="1" s="1"/>
  <c r="H641" i="1" a="1"/>
  <c r="H641" i="1" s="1"/>
  <c r="H642" i="1" a="1"/>
  <c r="H642" i="1" s="1"/>
  <c r="H643" i="1" a="1"/>
  <c r="H643" i="1" s="1"/>
  <c r="H644" i="1" a="1"/>
  <c r="H644" i="1"/>
  <c r="H645" i="1" a="1"/>
  <c r="H645" i="1" s="1"/>
  <c r="H646" i="1" a="1"/>
  <c r="H646" i="1"/>
  <c r="H647" i="1" a="1"/>
  <c r="H647" i="1" s="1"/>
  <c r="H648" i="1" a="1"/>
  <c r="H648" i="1" s="1"/>
  <c r="H649" i="1" a="1"/>
  <c r="H649" i="1" s="1"/>
  <c r="H650" i="1" a="1"/>
  <c r="H650" i="1"/>
  <c r="H651" i="1" a="1"/>
  <c r="H651" i="1" s="1"/>
  <c r="H652" i="1" a="1"/>
  <c r="H652" i="1"/>
  <c r="H653" i="1" a="1"/>
  <c r="H653" i="1" s="1"/>
  <c r="H654" i="1" a="1"/>
  <c r="H654" i="1" s="1"/>
  <c r="H655" i="1" a="1"/>
  <c r="H655" i="1" s="1"/>
  <c r="H656" i="1" a="1"/>
  <c r="H656" i="1" s="1"/>
  <c r="H657" i="1" a="1"/>
  <c r="H657" i="1"/>
  <c r="H658" i="1" a="1"/>
  <c r="H658" i="1" s="1"/>
  <c r="H659" i="1" a="1"/>
  <c r="H659" i="1" s="1"/>
  <c r="H660" i="1" a="1"/>
  <c r="H660" i="1"/>
  <c r="H661" i="1" a="1"/>
  <c r="H661" i="1" s="1"/>
  <c r="H662" i="1" a="1"/>
  <c r="H662" i="1" s="1"/>
  <c r="H663" i="1" a="1"/>
  <c r="H663" i="1" s="1"/>
  <c r="H664" i="1" a="1"/>
  <c r="H664" i="1"/>
  <c r="H665" i="1" a="1"/>
  <c r="H665" i="1" s="1"/>
  <c r="H666" i="1" a="1"/>
  <c r="H666" i="1" s="1"/>
  <c r="H667" i="1" a="1"/>
  <c r="H667" i="1" s="1"/>
  <c r="H668" i="1" a="1"/>
  <c r="H668" i="1"/>
  <c r="H669" i="1" a="1"/>
  <c r="H669" i="1"/>
  <c r="H670" i="1" a="1"/>
  <c r="H670" i="1" s="1"/>
  <c r="H671" i="1" a="1"/>
  <c r="H671" i="1"/>
  <c r="H672" i="1" a="1"/>
  <c r="H672" i="1" s="1"/>
  <c r="H673" i="1" a="1"/>
  <c r="H673" i="1" s="1"/>
  <c r="H674" i="1" a="1"/>
  <c r="H674" i="1" s="1"/>
  <c r="H675" i="1" a="1"/>
  <c r="H675" i="1" s="1"/>
  <c r="H676" i="1" a="1"/>
  <c r="H676" i="1"/>
  <c r="H677" i="1" a="1"/>
  <c r="H677" i="1" s="1"/>
  <c r="H678" i="1" a="1"/>
  <c r="H678" i="1"/>
  <c r="H679" i="1" a="1"/>
  <c r="H679" i="1" s="1"/>
  <c r="H680" i="1" a="1"/>
  <c r="H680" i="1"/>
  <c r="H681" i="1" a="1"/>
  <c r="H681" i="1" s="1"/>
  <c r="H682" i="1" a="1"/>
  <c r="H682" i="1"/>
  <c r="H683" i="1" a="1"/>
  <c r="H683" i="1" s="1"/>
  <c r="H684" i="1" a="1"/>
  <c r="H684" i="1" s="1"/>
  <c r="H685" i="1" a="1"/>
  <c r="H685" i="1"/>
  <c r="H686" i="1" a="1"/>
  <c r="H686" i="1" s="1"/>
  <c r="H687" i="1" a="1"/>
  <c r="H687" i="1" s="1"/>
  <c r="H688" i="1" a="1"/>
  <c r="H688" i="1" s="1"/>
  <c r="H689" i="1" a="1"/>
  <c r="H689" i="1" s="1"/>
  <c r="H690" i="1" a="1"/>
  <c r="H690" i="1"/>
  <c r="H691" i="1" a="1"/>
  <c r="H691" i="1" s="1"/>
  <c r="H692" i="1" a="1"/>
  <c r="H692" i="1"/>
  <c r="H693" i="1" a="1"/>
  <c r="H693" i="1" s="1"/>
  <c r="H694" i="1" a="1"/>
  <c r="H694" i="1" s="1"/>
  <c r="H695" i="1" a="1"/>
  <c r="H695" i="1" s="1"/>
  <c r="H696" i="1" a="1"/>
  <c r="H696" i="1"/>
  <c r="H697" i="1" a="1"/>
  <c r="H697" i="1" s="1"/>
  <c r="H698" i="1" a="1"/>
  <c r="H698" i="1" s="1"/>
  <c r="H699" i="1" a="1"/>
  <c r="H699" i="1" s="1"/>
  <c r="H700" i="1" a="1"/>
  <c r="H700" i="1"/>
  <c r="H701" i="1" a="1"/>
  <c r="H701" i="1" s="1"/>
  <c r="H702" i="1" a="1"/>
  <c r="H702" i="1"/>
  <c r="H703" i="1" a="1"/>
  <c r="H703" i="1" s="1"/>
  <c r="H704" i="1" a="1"/>
  <c r="H704" i="1"/>
  <c r="H705" i="1" a="1"/>
  <c r="H705" i="1"/>
  <c r="H706" i="1" a="1"/>
  <c r="H706" i="1" s="1"/>
  <c r="H707" i="1" a="1"/>
  <c r="H707" i="1"/>
  <c r="H708" i="1" a="1"/>
  <c r="H708" i="1" s="1"/>
  <c r="H709" i="1" a="1"/>
  <c r="H709" i="1" s="1"/>
  <c r="H710" i="1" a="1"/>
  <c r="H710" i="1" s="1"/>
  <c r="H711" i="1" a="1"/>
  <c r="H711" i="1" s="1"/>
  <c r="H712" i="1" a="1"/>
  <c r="H712" i="1" s="1"/>
  <c r="H713" i="1" a="1"/>
  <c r="H713" i="1" s="1"/>
  <c r="H714" i="1" a="1"/>
  <c r="H714" i="1" s="1"/>
  <c r="H715" i="1" a="1"/>
  <c r="H715" i="1"/>
  <c r="H716" i="1" a="1"/>
  <c r="H716" i="1"/>
  <c r="H717" i="1" a="1"/>
  <c r="H717" i="1" s="1"/>
  <c r="H718" i="1" a="1"/>
  <c r="H718" i="1"/>
  <c r="H719" i="1" a="1"/>
  <c r="H719" i="1"/>
  <c r="H720" i="1" a="1"/>
  <c r="H720" i="1"/>
  <c r="H721" i="1" a="1"/>
  <c r="H721" i="1" s="1"/>
  <c r="H722" i="1" a="1"/>
  <c r="H722" i="1"/>
  <c r="H723" i="1" a="1"/>
  <c r="H723" i="1" s="1"/>
  <c r="H724" i="1" a="1"/>
  <c r="H724" i="1"/>
  <c r="H725" i="1" a="1"/>
  <c r="H725" i="1"/>
  <c r="H726" i="1" a="1"/>
  <c r="H726" i="1" s="1"/>
  <c r="H727" i="1" a="1"/>
  <c r="H727" i="1"/>
  <c r="H728" i="1" a="1"/>
  <c r="H728" i="1" s="1"/>
  <c r="H729" i="1" a="1"/>
  <c r="H729" i="1" s="1"/>
  <c r="H730" i="1" a="1"/>
  <c r="H730" i="1"/>
  <c r="H731" i="1" a="1"/>
  <c r="H731" i="1"/>
  <c r="H732" i="1" a="1"/>
  <c r="H732" i="1" s="1"/>
  <c r="H733" i="1" a="1"/>
  <c r="H733" i="1" s="1"/>
  <c r="H734" i="1" a="1"/>
  <c r="H734" i="1" s="1"/>
  <c r="H735" i="1" a="1"/>
  <c r="H735" i="1" s="1"/>
  <c r="H736" i="1" a="1"/>
  <c r="H736" i="1"/>
  <c r="H737" i="1" a="1"/>
  <c r="H737" i="1"/>
  <c r="H738" i="1" a="1"/>
  <c r="H738" i="1" s="1"/>
  <c r="H739" i="1" a="1"/>
  <c r="H739" i="1" s="1"/>
  <c r="H740" i="1" a="1"/>
  <c r="H740" i="1"/>
  <c r="H741" i="1" a="1"/>
  <c r="H741" i="1"/>
  <c r="H742" i="1" a="1"/>
  <c r="H742" i="1" s="1"/>
  <c r="H743" i="1" a="1"/>
  <c r="H743" i="1" s="1"/>
  <c r="H744" i="1" a="1"/>
  <c r="H744" i="1"/>
  <c r="H745" i="1" a="1"/>
  <c r="H745" i="1" s="1"/>
  <c r="H746" i="1" a="1"/>
  <c r="H746" i="1" s="1"/>
  <c r="H747" i="1" a="1"/>
  <c r="H747" i="1"/>
  <c r="H748" i="1" a="1"/>
  <c r="H748" i="1"/>
  <c r="H749" i="1" a="1"/>
  <c r="H749" i="1" s="1"/>
  <c r="H750" i="1" a="1"/>
  <c r="H750" i="1" s="1"/>
  <c r="H751" i="1" a="1"/>
  <c r="H751" i="1"/>
  <c r="H752" i="1" a="1"/>
  <c r="H752" i="1"/>
  <c r="H753" i="1" a="1"/>
  <c r="H753" i="1" s="1"/>
  <c r="H754" i="1" a="1"/>
  <c r="H754" i="1" s="1"/>
  <c r="H755" i="1" a="1"/>
  <c r="H755" i="1"/>
  <c r="H756" i="1" a="1"/>
  <c r="H756" i="1"/>
  <c r="H757" i="1" a="1"/>
  <c r="H757" i="1" s="1"/>
  <c r="H758" i="1" a="1"/>
  <c r="H758" i="1" s="1"/>
  <c r="H759" i="1" a="1"/>
  <c r="H759" i="1"/>
  <c r="H760" i="1" a="1"/>
  <c r="H760" i="1" s="1"/>
  <c r="H761" i="1" a="1"/>
  <c r="H761" i="1" s="1"/>
  <c r="H762" i="1" a="1"/>
  <c r="H762" i="1"/>
  <c r="H763" i="1" a="1"/>
  <c r="H763" i="1" s="1"/>
  <c r="H764" i="1" a="1"/>
  <c r="H764" i="1"/>
  <c r="H765" i="1" a="1"/>
  <c r="H765" i="1"/>
  <c r="H766" i="1" a="1"/>
  <c r="H766" i="1"/>
  <c r="H767" i="1" a="1"/>
  <c r="H767" i="1"/>
  <c r="H768" i="1" a="1"/>
  <c r="H768" i="1" s="1"/>
  <c r="H769" i="1" a="1"/>
  <c r="H769" i="1" s="1"/>
  <c r="H770" i="1" a="1"/>
  <c r="H770" i="1"/>
  <c r="H771" i="1" a="1"/>
  <c r="H771" i="1" s="1"/>
  <c r="H772" i="1" a="1"/>
  <c r="H772" i="1" s="1"/>
  <c r="H773" i="1" a="1"/>
  <c r="H773" i="1" s="1"/>
  <c r="H774" i="1" a="1"/>
  <c r="H774" i="1"/>
  <c r="H775" i="1" a="1"/>
  <c r="H775" i="1"/>
  <c r="H776" i="1" a="1"/>
  <c r="H776" i="1"/>
  <c r="H777" i="1" a="1"/>
  <c r="H777" i="1"/>
  <c r="H778" i="1" a="1"/>
  <c r="H778" i="1"/>
  <c r="H779" i="1" a="1"/>
  <c r="H779" i="1" s="1"/>
  <c r="H780" i="1" a="1"/>
  <c r="H780" i="1" s="1"/>
  <c r="H781" i="1" a="1"/>
  <c r="H781" i="1"/>
  <c r="H782" i="1" a="1"/>
  <c r="H782" i="1"/>
  <c r="H783" i="1" a="1"/>
  <c r="H783" i="1" s="1"/>
  <c r="H784" i="1" a="1"/>
  <c r="H784" i="1"/>
  <c r="H785" i="1" a="1"/>
  <c r="H785" i="1"/>
  <c r="H786" i="1" a="1"/>
  <c r="H786" i="1" s="1"/>
  <c r="H787" i="1" a="1"/>
  <c r="H787" i="1"/>
  <c r="H788" i="1" a="1"/>
  <c r="H788" i="1"/>
  <c r="H789" i="1" a="1"/>
  <c r="H789" i="1"/>
  <c r="H790" i="1" a="1"/>
  <c r="H790" i="1" s="1"/>
  <c r="H791" i="1" a="1"/>
  <c r="H791" i="1" s="1"/>
  <c r="H792" i="1" a="1"/>
  <c r="H792" i="1" s="1"/>
  <c r="H793" i="1" a="1"/>
  <c r="H793" i="1" s="1"/>
  <c r="H794" i="1" a="1"/>
  <c r="H794" i="1"/>
  <c r="H795" i="1" a="1"/>
  <c r="H795" i="1" s="1"/>
  <c r="H796" i="1" a="1"/>
  <c r="H796" i="1"/>
  <c r="H797" i="1" a="1"/>
  <c r="H797" i="1" s="1"/>
  <c r="H798" i="1" a="1"/>
  <c r="H798" i="1"/>
  <c r="H799" i="1" a="1"/>
  <c r="H799" i="1" s="1"/>
  <c r="H800" i="1" a="1"/>
  <c r="H800" i="1"/>
  <c r="H801" i="1" a="1"/>
  <c r="H801" i="1"/>
  <c r="H802" i="1" a="1"/>
  <c r="H802" i="1"/>
  <c r="H803" i="1" a="1"/>
  <c r="H803" i="1" s="1"/>
  <c r="H804" i="1" a="1"/>
  <c r="H804" i="1" s="1"/>
  <c r="H805" i="1" a="1"/>
  <c r="H805" i="1"/>
  <c r="H806" i="1" a="1"/>
  <c r="H806" i="1" s="1"/>
  <c r="H807" i="1" a="1"/>
  <c r="H807" i="1"/>
  <c r="H808" i="1" a="1"/>
  <c r="H808" i="1"/>
  <c r="H809" i="1" a="1"/>
  <c r="H809" i="1"/>
  <c r="H810" i="1" a="1"/>
  <c r="H810" i="1" s="1"/>
  <c r="H811" i="1" a="1"/>
  <c r="H811" i="1"/>
  <c r="H812" i="1" a="1"/>
  <c r="H812" i="1"/>
  <c r="H813" i="1" a="1"/>
  <c r="H813" i="1" s="1"/>
  <c r="H814" i="1" a="1"/>
  <c r="H814" i="1" s="1"/>
  <c r="H815" i="1" a="1"/>
  <c r="H815" i="1"/>
  <c r="H816" i="1" a="1"/>
  <c r="H816" i="1"/>
  <c r="H817" i="1" a="1"/>
  <c r="H817" i="1" s="1"/>
  <c r="H818" i="1" a="1"/>
  <c r="H818" i="1" s="1"/>
  <c r="H819" i="1" a="1"/>
  <c r="H819" i="1"/>
  <c r="H820" i="1" a="1"/>
  <c r="H820" i="1"/>
  <c r="H821" i="1" a="1"/>
  <c r="H821" i="1" s="1"/>
  <c r="H822" i="1" a="1"/>
  <c r="H822" i="1"/>
  <c r="H823" i="1" a="1"/>
  <c r="H823" i="1" s="1"/>
  <c r="H824" i="1" a="1"/>
  <c r="H824" i="1" s="1"/>
  <c r="H825" i="1" a="1"/>
  <c r="H825" i="1" s="1"/>
  <c r="H826" i="1" a="1"/>
  <c r="H826" i="1" s="1"/>
  <c r="H827" i="1" a="1"/>
  <c r="H827" i="1"/>
  <c r="H828" i="1" a="1"/>
  <c r="H828" i="1"/>
  <c r="H829" i="1" a="1"/>
  <c r="H829" i="1" s="1"/>
  <c r="H830" i="1" a="1"/>
  <c r="H830" i="1"/>
  <c r="H831" i="1" a="1"/>
  <c r="H831" i="1"/>
  <c r="H832" i="1" a="1"/>
  <c r="H832" i="1"/>
  <c r="H833" i="1" a="1"/>
  <c r="H833" i="1" s="1"/>
  <c r="H834" i="1" a="1"/>
  <c r="H834" i="1"/>
  <c r="H835" i="1" a="1"/>
  <c r="H835" i="1"/>
  <c r="H836" i="1" a="1"/>
  <c r="H836" i="1" s="1"/>
  <c r="H837" i="1" a="1"/>
  <c r="H837" i="1"/>
  <c r="H838" i="1" a="1"/>
  <c r="H838" i="1" s="1"/>
  <c r="H839" i="1" a="1"/>
  <c r="H839" i="1"/>
  <c r="H840" i="1" a="1"/>
  <c r="H840" i="1" s="1"/>
  <c r="H841" i="1" a="1"/>
  <c r="H841" i="1"/>
  <c r="H842" i="1" a="1"/>
  <c r="H842" i="1"/>
  <c r="H843" i="1" a="1"/>
  <c r="H843" i="1" s="1"/>
  <c r="H844" i="1" a="1"/>
  <c r="H844" i="1"/>
  <c r="H845" i="1" a="1"/>
  <c r="H845" i="1" s="1"/>
  <c r="H846" i="1" a="1"/>
  <c r="H846" i="1"/>
  <c r="H847" i="1" a="1"/>
  <c r="H847" i="1" s="1"/>
  <c r="H848" i="1" a="1"/>
  <c r="H848" i="1" s="1"/>
  <c r="H849" i="1" a="1"/>
  <c r="H849" i="1" s="1"/>
  <c r="H850" i="1" a="1"/>
  <c r="H850" i="1"/>
  <c r="H851" i="1" a="1"/>
  <c r="H851" i="1"/>
  <c r="H852" i="1" a="1"/>
  <c r="H852" i="1" s="1"/>
  <c r="H853" i="1" a="1"/>
  <c r="H853" i="1"/>
  <c r="H854" i="1" a="1"/>
  <c r="H854" i="1"/>
  <c r="H855" i="1" a="1"/>
  <c r="H855" i="1" s="1"/>
  <c r="H856" i="1" a="1"/>
  <c r="H856" i="1" s="1"/>
  <c r="H857" i="1" a="1"/>
  <c r="H857" i="1" s="1"/>
  <c r="H858" i="1" a="1"/>
  <c r="H858" i="1"/>
  <c r="H859" i="1" a="1"/>
  <c r="H859" i="1" s="1"/>
  <c r="H860" i="1" a="1"/>
  <c r="H860" i="1" s="1"/>
  <c r="H861" i="1" a="1"/>
  <c r="H861" i="1" s="1"/>
  <c r="H862" i="1" a="1"/>
  <c r="H862" i="1"/>
  <c r="H863" i="1" a="1"/>
  <c r="H863" i="1" s="1"/>
  <c r="H864" i="1" a="1"/>
  <c r="H864" i="1"/>
  <c r="H865" i="1" a="1"/>
  <c r="H865" i="1" s="1"/>
  <c r="H866" i="1" a="1"/>
  <c r="H866" i="1"/>
  <c r="H867" i="1" a="1"/>
  <c r="H867" i="1"/>
  <c r="H868" i="1" a="1"/>
  <c r="H868" i="1" s="1"/>
  <c r="H869" i="1" a="1"/>
  <c r="H869" i="1"/>
  <c r="H870" i="1" a="1"/>
  <c r="H870" i="1"/>
  <c r="H871" i="1" a="1"/>
  <c r="H871" i="1"/>
  <c r="H872" i="1" a="1"/>
  <c r="H872" i="1" s="1"/>
  <c r="H873" i="1" a="1"/>
  <c r="H873" i="1"/>
  <c r="H874" i="1" a="1"/>
  <c r="H874" i="1"/>
  <c r="H875" i="1" a="1"/>
  <c r="H875" i="1" s="1"/>
  <c r="H876" i="1" a="1"/>
  <c r="H876" i="1"/>
  <c r="H877" i="1" a="1"/>
  <c r="H877" i="1"/>
  <c r="H878" i="1" a="1"/>
  <c r="H878" i="1" s="1"/>
  <c r="H879" i="1" a="1"/>
  <c r="H879" i="1"/>
  <c r="H880" i="1" a="1"/>
  <c r="H880" i="1"/>
  <c r="H881" i="1" a="1"/>
  <c r="H881" i="1"/>
  <c r="H882" i="1" a="1"/>
  <c r="H882" i="1" s="1"/>
  <c r="H883" i="1" a="1"/>
  <c r="H883" i="1" s="1"/>
  <c r="H884" i="1" a="1"/>
  <c r="H884" i="1"/>
  <c r="H885" i="1" a="1"/>
  <c r="H885" i="1" s="1"/>
  <c r="H886" i="1" a="1"/>
  <c r="H886" i="1" s="1"/>
  <c r="H887" i="1" a="1"/>
  <c r="H887" i="1"/>
  <c r="H888" i="1" a="1"/>
  <c r="H888" i="1"/>
  <c r="H889" i="1" a="1"/>
  <c r="H889" i="1" s="1"/>
  <c r="H890" i="1" a="1"/>
  <c r="H890" i="1"/>
  <c r="H891" i="1" a="1"/>
  <c r="H891" i="1"/>
  <c r="H892" i="1" a="1"/>
  <c r="H892" i="1"/>
  <c r="H893" i="1" a="1"/>
  <c r="H893" i="1" s="1"/>
  <c r="H894" i="1" a="1"/>
  <c r="H894" i="1"/>
  <c r="H895" i="1" a="1"/>
  <c r="H895" i="1" s="1"/>
  <c r="H896" i="1" a="1"/>
  <c r="H896" i="1"/>
  <c r="H897" i="1" a="1"/>
  <c r="H897" i="1"/>
  <c r="H898" i="1" a="1"/>
  <c r="H898" i="1" s="1"/>
  <c r="H899" i="1" a="1"/>
  <c r="H899" i="1" s="1"/>
  <c r="H900" i="1" a="1"/>
  <c r="H900" i="1"/>
  <c r="H901" i="1" a="1"/>
  <c r="H901" i="1"/>
  <c r="H902" i="1" a="1"/>
  <c r="H902" i="1" s="1"/>
  <c r="H903" i="1" a="1"/>
  <c r="H903" i="1"/>
  <c r="H904" i="1" a="1"/>
  <c r="H904" i="1"/>
  <c r="H905" i="1" a="1"/>
  <c r="H905" i="1" s="1"/>
  <c r="H906" i="1" a="1"/>
  <c r="H906" i="1" s="1"/>
  <c r="H907" i="1" a="1"/>
  <c r="H907" i="1"/>
  <c r="H908" i="1" a="1"/>
  <c r="H908" i="1"/>
  <c r="H909" i="1" a="1"/>
  <c r="H909" i="1" s="1"/>
  <c r="H910" i="1" a="1"/>
  <c r="H910" i="1" s="1"/>
  <c r="H911" i="1" a="1"/>
  <c r="H911" i="1"/>
  <c r="H912" i="1" a="1"/>
  <c r="H912" i="1"/>
  <c r="H913" i="1" a="1"/>
  <c r="H913" i="1" s="1"/>
  <c r="H914" i="1" a="1"/>
  <c r="H914" i="1" s="1"/>
  <c r="H915" i="1" a="1"/>
  <c r="H915" i="1" s="1"/>
  <c r="H916" i="1" a="1"/>
  <c r="H916" i="1"/>
  <c r="H917" i="1" a="1"/>
  <c r="H917" i="1"/>
  <c r="H918" i="1" a="1"/>
  <c r="H918" i="1" s="1"/>
  <c r="H919" i="1" a="1"/>
  <c r="H919" i="1"/>
  <c r="H920" i="1" a="1"/>
  <c r="H920" i="1" s="1"/>
  <c r="H921" i="1" a="1"/>
  <c r="H921" i="1" s="1"/>
  <c r="H922" i="1" a="1"/>
  <c r="H922" i="1"/>
  <c r="H923" i="1" a="1"/>
  <c r="H923" i="1"/>
  <c r="H924" i="1" a="1"/>
  <c r="H924" i="1"/>
  <c r="H925" i="1" a="1"/>
  <c r="H925" i="1" s="1"/>
  <c r="H926" i="1" a="1"/>
  <c r="H926" i="1"/>
  <c r="H927" i="1" a="1"/>
  <c r="H927" i="1"/>
  <c r="H928" i="1" a="1"/>
  <c r="H928" i="1"/>
  <c r="H929" i="1" a="1"/>
  <c r="H929" i="1" s="1"/>
  <c r="H930" i="1" a="1"/>
  <c r="H930" i="1"/>
  <c r="H931" i="1" a="1"/>
  <c r="H931" i="1" s="1"/>
  <c r="H932" i="1" a="1"/>
  <c r="H932" i="1" s="1"/>
  <c r="H933" i="1" a="1"/>
  <c r="H933" i="1"/>
  <c r="H934" i="1" a="1"/>
  <c r="H934" i="1"/>
  <c r="H935" i="1" a="1"/>
  <c r="H935" i="1" s="1"/>
  <c r="H936" i="1" a="1"/>
  <c r="H936" i="1" s="1"/>
  <c r="H937" i="1" a="1"/>
  <c r="H937" i="1"/>
  <c r="H938" i="1" a="1"/>
  <c r="H938" i="1"/>
  <c r="H939" i="1" a="1"/>
  <c r="H939" i="1"/>
  <c r="H940" i="1" a="1"/>
  <c r="H940" i="1" s="1"/>
  <c r="H941" i="1" a="1"/>
  <c r="H941" i="1" s="1"/>
  <c r="H942" i="1" a="1"/>
  <c r="H942" i="1"/>
  <c r="H943" i="1" a="1"/>
  <c r="H943" i="1" s="1"/>
  <c r="H944" i="1" a="1"/>
  <c r="H944" i="1"/>
  <c r="H945" i="1" a="1"/>
  <c r="H945" i="1" s="1"/>
  <c r="H946" i="1" a="1"/>
  <c r="H946" i="1" s="1"/>
  <c r="H947" i="1" a="1"/>
  <c r="H947" i="1"/>
  <c r="H948" i="1" a="1"/>
  <c r="H948" i="1"/>
  <c r="H949" i="1" a="1"/>
  <c r="H949" i="1"/>
  <c r="H950" i="1" a="1"/>
  <c r="H950" i="1" s="1"/>
  <c r="H951" i="1" a="1"/>
  <c r="H951" i="1" s="1"/>
  <c r="H952" i="1" a="1"/>
  <c r="H952" i="1" s="1"/>
  <c r="H953" i="1" a="1"/>
  <c r="H953" i="1"/>
  <c r="H954" i="1" a="1"/>
  <c r="H954" i="1" s="1"/>
  <c r="H955" i="1" a="1"/>
  <c r="H955" i="1" s="1"/>
  <c r="H956" i="1" a="1"/>
  <c r="H956" i="1"/>
  <c r="H957" i="1" a="1"/>
  <c r="H957" i="1"/>
  <c r="H958" i="1" a="1"/>
  <c r="H958" i="1"/>
  <c r="H959" i="1" a="1"/>
  <c r="H959" i="1"/>
  <c r="H960" i="1" a="1"/>
  <c r="H960" i="1"/>
  <c r="H961" i="1" a="1"/>
  <c r="H961" i="1" s="1"/>
  <c r="H962" i="1" a="1"/>
  <c r="H962" i="1" s="1"/>
  <c r="H963" i="1" a="1"/>
  <c r="H963" i="1" s="1"/>
  <c r="H964" i="1" a="1"/>
  <c r="H964" i="1"/>
  <c r="H965" i="1" a="1"/>
  <c r="H965" i="1" s="1"/>
  <c r="H966" i="1" a="1"/>
  <c r="H966" i="1" s="1"/>
  <c r="H967" i="1" a="1"/>
  <c r="H967" i="1" s="1"/>
  <c r="H968" i="1" a="1"/>
  <c r="H968" i="1"/>
  <c r="H969" i="1" a="1"/>
  <c r="H969" i="1"/>
  <c r="H970" i="1" a="1"/>
  <c r="H970" i="1" s="1"/>
  <c r="H971" i="1" a="1"/>
  <c r="H971" i="1"/>
  <c r="H972" i="1" a="1"/>
  <c r="H972" i="1"/>
  <c r="H973" i="1" a="1"/>
  <c r="H973" i="1" s="1"/>
  <c r="H974" i="1" a="1"/>
  <c r="H974" i="1" s="1"/>
  <c r="H975" i="1" a="1"/>
  <c r="H975" i="1" s="1"/>
  <c r="H976" i="1" a="1"/>
  <c r="H976" i="1"/>
  <c r="H977" i="1" a="1"/>
  <c r="H977" i="1" s="1"/>
  <c r="H978" i="1" a="1"/>
  <c r="H978" i="1"/>
  <c r="H979" i="1" a="1"/>
  <c r="H979" i="1"/>
  <c r="H980" i="1" a="1"/>
  <c r="H980" i="1"/>
  <c r="H981" i="1" a="1"/>
  <c r="H981" i="1" s="1"/>
  <c r="H982" i="1" a="1"/>
  <c r="H982" i="1"/>
  <c r="H983" i="1" a="1"/>
  <c r="H983" i="1" s="1"/>
  <c r="H984" i="1" a="1"/>
  <c r="H984" i="1" s="1"/>
  <c r="H985" i="1" a="1"/>
  <c r="H985" i="1" s="1"/>
  <c r="H986" i="1" a="1"/>
  <c r="H986" i="1" s="1"/>
  <c r="H987" i="1" a="1"/>
  <c r="H987" i="1"/>
  <c r="H988" i="1" a="1"/>
  <c r="H988" i="1" s="1"/>
  <c r="H989" i="1" a="1"/>
  <c r="H989" i="1" s="1"/>
  <c r="H990" i="1" a="1"/>
  <c r="H990" i="1"/>
  <c r="H991" i="1" a="1"/>
  <c r="H991" i="1"/>
  <c r="H992" i="1" a="1"/>
  <c r="H992" i="1"/>
  <c r="H993" i="1" a="1"/>
  <c r="H993" i="1"/>
  <c r="H994" i="1" a="1"/>
  <c r="H994" i="1" s="1"/>
  <c r="H995" i="1" a="1"/>
  <c r="H995" i="1" s="1"/>
  <c r="H996" i="1" a="1"/>
  <c r="H996" i="1" s="1"/>
  <c r="H997" i="1" a="1"/>
  <c r="H997" i="1" s="1"/>
  <c r="H998" i="1" a="1"/>
  <c r="H998" i="1"/>
  <c r="H999" i="1" a="1"/>
  <c r="H999" i="1"/>
  <c r="H1000" i="1" a="1"/>
  <c r="H1000" i="1" s="1"/>
  <c r="H1001" i="1" a="1"/>
  <c r="H1001" i="1"/>
  <c r="H1002" i="1" a="1"/>
  <c r="H1002" i="1"/>
  <c r="H1003" i="1" a="1"/>
  <c r="H1003" i="1"/>
  <c r="H1004" i="1" a="1"/>
  <c r="H1004" i="1" s="1"/>
  <c r="H1005" i="1" a="1"/>
  <c r="H1005" i="1" s="1"/>
  <c r="H1006" i="1" a="1"/>
  <c r="H1006" i="1"/>
  <c r="H1007" i="1" a="1"/>
  <c r="H1007" i="1" s="1"/>
  <c r="H1008" i="1" a="1"/>
  <c r="H1008" i="1" s="1"/>
  <c r="H1009" i="1" a="1"/>
  <c r="H1009" i="1" s="1"/>
  <c r="H1010" i="1" a="1"/>
  <c r="H1010" i="1"/>
  <c r="H1011" i="1" a="1"/>
  <c r="H1011" i="1" s="1"/>
  <c r="H1012" i="1" a="1"/>
  <c r="H1012" i="1"/>
  <c r="H1013" i="1" a="1"/>
  <c r="H1013" i="1"/>
  <c r="H1014" i="1" a="1"/>
  <c r="H1014" i="1"/>
  <c r="H1015" i="1" a="1"/>
  <c r="H1015" i="1" s="1"/>
  <c r="H1016" i="1" a="1"/>
  <c r="H1016" i="1"/>
  <c r="H1017" i="1" a="1"/>
  <c r="H1017" i="1"/>
  <c r="H1018" i="1" a="1"/>
  <c r="H1018" i="1" s="1"/>
  <c r="H1019" i="1" a="1"/>
  <c r="H1019" i="1" s="1"/>
  <c r="H1020" i="1" a="1"/>
  <c r="H1020" i="1"/>
  <c r="H1021" i="1" a="1"/>
  <c r="H1021" i="1"/>
  <c r="H1022" i="1" a="1"/>
  <c r="H1022" i="1" s="1"/>
  <c r="H1023" i="1" a="1"/>
  <c r="H1023" i="1"/>
  <c r="H1024" i="1" a="1"/>
  <c r="H1024" i="1"/>
  <c r="H1025" i="1" a="1"/>
  <c r="H1025" i="1" s="1"/>
  <c r="H1026" i="1" a="1"/>
  <c r="H1026" i="1" s="1"/>
  <c r="H1027" i="1" a="1"/>
  <c r="H1027" i="1"/>
  <c r="H1028" i="1" a="1"/>
  <c r="H1028" i="1"/>
  <c r="H1029" i="1" a="1"/>
  <c r="H1029" i="1" s="1"/>
  <c r="H1030" i="1" a="1"/>
  <c r="H1030" i="1" s="1"/>
  <c r="H1031" i="1" a="1"/>
  <c r="H1031" i="1" s="1"/>
  <c r="H1032" i="1" a="1"/>
  <c r="H1032" i="1"/>
  <c r="H1033" i="1" a="1"/>
  <c r="H1033" i="1" s="1"/>
  <c r="H1034" i="1" a="1"/>
  <c r="H1034" i="1"/>
  <c r="H1035" i="1" a="1"/>
  <c r="H1035" i="1" s="1"/>
  <c r="H1036" i="1" a="1"/>
  <c r="H1036" i="1" s="1"/>
  <c r="H1037" i="1" a="1"/>
  <c r="H1037" i="1"/>
  <c r="H1038" i="1" a="1"/>
  <c r="H1038" i="1" s="1"/>
  <c r="H1039" i="1" a="1"/>
  <c r="H1039" i="1"/>
  <c r="H1040" i="1" a="1"/>
  <c r="H1040" i="1"/>
  <c r="H1041" i="1" a="1"/>
  <c r="H1041" i="1"/>
  <c r="H1042" i="1" a="1"/>
  <c r="H1042" i="1" s="1"/>
  <c r="H1043" i="1" a="1"/>
  <c r="H1043" i="1"/>
  <c r="H1044" i="1" a="1"/>
  <c r="H1044" i="1" s="1"/>
  <c r="H1045" i="1" a="1"/>
  <c r="H1045" i="1" s="1"/>
  <c r="H1046" i="1" a="1"/>
  <c r="H1046" i="1"/>
  <c r="H1047" i="1" a="1"/>
  <c r="H1047" i="1" s="1"/>
  <c r="H1048" i="1" a="1"/>
  <c r="H1048" i="1"/>
  <c r="H1049" i="1" a="1"/>
  <c r="H1049" i="1" s="1"/>
  <c r="H1050" i="1" a="1"/>
  <c r="H1050" i="1"/>
  <c r="H1051" i="1" a="1"/>
  <c r="H1051" i="1" s="1"/>
  <c r="H1052" i="1" a="1"/>
  <c r="H1052" i="1" s="1"/>
  <c r="H1053" i="1" a="1"/>
  <c r="H1053" i="1" s="1"/>
  <c r="H1054" i="1" a="1"/>
  <c r="H1054" i="1"/>
  <c r="H1055" i="1" a="1"/>
  <c r="H1055" i="1" s="1"/>
  <c r="H1056" i="1" a="1"/>
  <c r="H1056" i="1" s="1"/>
  <c r="H1057" i="1" a="1"/>
  <c r="H1057" i="1" s="1"/>
  <c r="H1058" i="1" a="1"/>
  <c r="H1058" i="1"/>
  <c r="H1059" i="1" a="1"/>
  <c r="H1059" i="1"/>
  <c r="H1060" i="1" a="1"/>
  <c r="H1060" i="1"/>
  <c r="H1061" i="1" a="1"/>
  <c r="H1061" i="1"/>
  <c r="H1062" i="1" a="1"/>
  <c r="H1062" i="1"/>
  <c r="H1063" i="1" a="1"/>
  <c r="H1063" i="1" s="1"/>
  <c r="H1064" i="1" a="1"/>
  <c r="H1064" i="1" s="1"/>
  <c r="H1065" i="1" a="1"/>
  <c r="H1065" i="1" s="1"/>
  <c r="H1066" i="1" a="1"/>
  <c r="H1066" i="1"/>
  <c r="H1067" i="1" a="1"/>
  <c r="H1067" i="1" s="1"/>
  <c r="H1068" i="1" a="1"/>
  <c r="H1068" i="1" s="1"/>
  <c r="H1069" i="1" a="1"/>
  <c r="H1069" i="1"/>
  <c r="H1070" i="1" a="1"/>
  <c r="H1070" i="1"/>
  <c r="H1071" i="1" a="1"/>
  <c r="H1071" i="1"/>
  <c r="H1072" i="1" a="1"/>
  <c r="H1072" i="1" s="1"/>
  <c r="H1073" i="1" a="1"/>
  <c r="H1073" i="1"/>
  <c r="H1074" i="1" a="1"/>
  <c r="H1074" i="1"/>
  <c r="H1075" i="1" a="1"/>
  <c r="H1075" i="1" s="1"/>
  <c r="H1076" i="1" a="1"/>
  <c r="H1076" i="1" s="1"/>
  <c r="H1077" i="1" a="1"/>
  <c r="H1077" i="1"/>
  <c r="H1078" i="1" a="1"/>
  <c r="H1078" i="1" s="1"/>
  <c r="H1079" i="1" a="1"/>
  <c r="H1079" i="1" s="1"/>
  <c r="H1080" i="1" a="1"/>
  <c r="H1080" i="1"/>
  <c r="H1081" i="1" a="1"/>
  <c r="H1081" i="1"/>
  <c r="H1082" i="1" a="1"/>
  <c r="H1082" i="1"/>
  <c r="H1083" i="1" a="1"/>
  <c r="H1083" i="1" s="1"/>
  <c r="H1084" i="1" a="1"/>
  <c r="H1084" i="1"/>
  <c r="H1085" i="1" a="1"/>
  <c r="H1085" i="1" s="1"/>
  <c r="H1086" i="1" a="1"/>
  <c r="H1086" i="1" s="1"/>
  <c r="H1087" i="1" a="1"/>
  <c r="H1087" i="1" s="1"/>
  <c r="H1088" i="1" a="1"/>
  <c r="H1088" i="1"/>
  <c r="H1089" i="1" a="1"/>
  <c r="H1089" i="1" s="1"/>
  <c r="H1090" i="1" a="1"/>
  <c r="H1090" i="1" s="1"/>
  <c r="H1091" i="1" a="1"/>
  <c r="H1091" i="1"/>
  <c r="H1092" i="1" a="1"/>
  <c r="H1092" i="1"/>
  <c r="H1093" i="1" a="1"/>
  <c r="H1093" i="1" s="1"/>
  <c r="H1094" i="1" a="1"/>
  <c r="H1094" i="1"/>
  <c r="H1095" i="1" a="1"/>
  <c r="H1095" i="1" s="1"/>
  <c r="H1096" i="1" a="1"/>
  <c r="H1096" i="1"/>
  <c r="H1097" i="1" a="1"/>
  <c r="H1097" i="1"/>
  <c r="H1098" i="1" a="1"/>
  <c r="H1098" i="1"/>
  <c r="H1099" i="1" a="1"/>
  <c r="H1099" i="1" s="1"/>
  <c r="H1100" i="1" a="1"/>
  <c r="H1100" i="1"/>
  <c r="H1101" i="1" a="1"/>
  <c r="H1101" i="1"/>
  <c r="H1102" i="1" a="1"/>
  <c r="H1102" i="1" s="1"/>
  <c r="H1103" i="1" a="1"/>
  <c r="H1103" i="1"/>
  <c r="H1104" i="1" a="1"/>
  <c r="H1104" i="1"/>
  <c r="H1105" i="1" a="1"/>
  <c r="H1105" i="1" s="1"/>
  <c r="H1106" i="1" a="1"/>
  <c r="H1106" i="1" s="1"/>
  <c r="H1107" i="1" a="1"/>
  <c r="H1107" i="1"/>
  <c r="H1108" i="1" a="1"/>
  <c r="H1108" i="1"/>
  <c r="H1109" i="1" a="1"/>
  <c r="H1109" i="1"/>
  <c r="H1110" i="1" a="1"/>
  <c r="H1110" i="1" s="1"/>
  <c r="H1111" i="1" a="1"/>
  <c r="H1111" i="1"/>
  <c r="H1112" i="1" a="1"/>
  <c r="H1112" i="1"/>
  <c r="H1113" i="1" a="1"/>
  <c r="H1113" i="1" s="1"/>
  <c r="H1114" i="1" a="1"/>
  <c r="H1114" i="1" s="1"/>
  <c r="H1115" i="1" a="1"/>
  <c r="H1115" i="1" s="1"/>
  <c r="H1116" i="1" a="1"/>
  <c r="H1116" i="1"/>
  <c r="H1117" i="1" a="1"/>
  <c r="H1117" i="1"/>
  <c r="H1118" i="1" a="1"/>
  <c r="H1118" i="1"/>
  <c r="H1119" i="1" a="1"/>
  <c r="H1119" i="1"/>
  <c r="H1120" i="1" a="1"/>
  <c r="H1120" i="1" s="1"/>
  <c r="H1121" i="1" a="1"/>
  <c r="H1121" i="1"/>
  <c r="H1122" i="1" a="1"/>
  <c r="H1122" i="1" s="1"/>
  <c r="H1123" i="1" a="1"/>
  <c r="H1123" i="1"/>
  <c r="H1124" i="1" a="1"/>
  <c r="H1124" i="1" s="1"/>
  <c r="H1125" i="1" a="1"/>
  <c r="H1125" i="1" s="1"/>
  <c r="H1126" i="1" a="1"/>
  <c r="H1126" i="1"/>
  <c r="H1127" i="1" a="1"/>
  <c r="H1127" i="1"/>
  <c r="H1128" i="1" a="1"/>
  <c r="H1128" i="1"/>
  <c r="H1129" i="1" a="1"/>
  <c r="H1129" i="1"/>
  <c r="H1130" i="1" a="1"/>
  <c r="H1130" i="1"/>
  <c r="H1131" i="1" a="1"/>
  <c r="H1131" i="1" s="1"/>
  <c r="H1132" i="1" a="1"/>
  <c r="H1132" i="1"/>
  <c r="H1133" i="1" a="1"/>
  <c r="H1133" i="1" s="1"/>
  <c r="H1134" i="1" a="1"/>
  <c r="H1134" i="1"/>
  <c r="H1135" i="1" a="1"/>
  <c r="H1135" i="1" s="1"/>
  <c r="H1136" i="1" a="1"/>
  <c r="H1136" i="1" s="1"/>
  <c r="H1137" i="1" a="1"/>
  <c r="H1137" i="1"/>
  <c r="H1138" i="1" a="1"/>
  <c r="H1138" i="1"/>
  <c r="H1139" i="1" a="1"/>
  <c r="H1139" i="1"/>
  <c r="H1140" i="1" a="1"/>
  <c r="H1140" i="1"/>
  <c r="H1141" i="1" a="1"/>
  <c r="H1141" i="1" s="1"/>
  <c r="H1142" i="1" a="1"/>
  <c r="H1142" i="1"/>
  <c r="H1143" i="1" a="1"/>
  <c r="H1143" i="1"/>
  <c r="H1144" i="1" a="1"/>
  <c r="H1144" i="1" s="1"/>
  <c r="H1145" i="1" a="1"/>
  <c r="H1145" i="1" s="1"/>
  <c r="H1146" i="1" a="1"/>
  <c r="H1146" i="1" s="1"/>
  <c r="H1147" i="1" a="1"/>
  <c r="H1147" i="1" s="1"/>
  <c r="H1148" i="1" a="1"/>
  <c r="H1148" i="1"/>
  <c r="H1149" i="1" a="1"/>
  <c r="H1149" i="1"/>
  <c r="H1150" i="1" a="1"/>
  <c r="H1150" i="1"/>
  <c r="H1151" i="1" a="1"/>
  <c r="H1151" i="1" s="1"/>
  <c r="H1152" i="1" a="1"/>
  <c r="H1152" i="1" s="1"/>
  <c r="H1153" i="1" a="1"/>
  <c r="H1153" i="1"/>
  <c r="H1154" i="1" a="1"/>
  <c r="H1154" i="1" s="1"/>
  <c r="H1155" i="1" a="1"/>
  <c r="H1155" i="1" s="1"/>
  <c r="H1156" i="1" a="1"/>
  <c r="H1156" i="1" s="1"/>
  <c r="H1157" i="1" a="1"/>
  <c r="H1157" i="1"/>
  <c r="H1158" i="1" a="1"/>
  <c r="H1158" i="1" s="1"/>
  <c r="H1159" i="1" a="1"/>
  <c r="H1159" i="1"/>
  <c r="H1160" i="1" a="1"/>
  <c r="H1160" i="1"/>
  <c r="H1161" i="1" a="1"/>
  <c r="H1161" i="1"/>
  <c r="H1162" i="1" a="1"/>
  <c r="H1162" i="1" s="1"/>
  <c r="H1163" i="1" a="1"/>
  <c r="H1163" i="1"/>
  <c r="H1164" i="1" a="1"/>
  <c r="H1164" i="1"/>
  <c r="H1165" i="1" a="1"/>
  <c r="H1165" i="1" s="1"/>
  <c r="H1166" i="1" a="1"/>
  <c r="H1166" i="1"/>
  <c r="H1167" i="1" a="1"/>
  <c r="H1167" i="1" s="1"/>
  <c r="H1168" i="1" a="1"/>
  <c r="H1168" i="1"/>
  <c r="H1169" i="1" a="1"/>
  <c r="H1169" i="1"/>
  <c r="H1170" i="1" a="1"/>
  <c r="H1170" i="1" s="1"/>
  <c r="H1171" i="1" a="1"/>
  <c r="H1171" i="1"/>
  <c r="H1172" i="1" a="1"/>
  <c r="H1172" i="1"/>
  <c r="H1173" i="1" a="1"/>
  <c r="H1173" i="1" s="1"/>
  <c r="H1174" i="1" a="1"/>
  <c r="H1174" i="1" s="1"/>
  <c r="H1175" i="1" a="1"/>
  <c r="H1175" i="1" s="1"/>
  <c r="H1176" i="1" a="1"/>
  <c r="H1176" i="1"/>
  <c r="H1177" i="1" a="1"/>
  <c r="H1177" i="1" s="1"/>
  <c r="H1178" i="1" a="1"/>
  <c r="H1178" i="1" s="1"/>
  <c r="H1179" i="1" a="1"/>
  <c r="H1179" i="1"/>
  <c r="H1180" i="1" a="1"/>
  <c r="H1180" i="1"/>
  <c r="H1181" i="1" a="1"/>
  <c r="H1181" i="1" s="1"/>
  <c r="H1182" i="1" a="1"/>
  <c r="H1182" i="1"/>
  <c r="H1183" i="1" a="1"/>
  <c r="H1183" i="1" s="1"/>
  <c r="H1184" i="1" a="1"/>
  <c r="H1184" i="1"/>
  <c r="H1185" i="1" a="1"/>
  <c r="H1185" i="1" s="1"/>
  <c r="H1186" i="1" a="1"/>
  <c r="H1186" i="1"/>
  <c r="H1187" i="1" a="1"/>
  <c r="H1187" i="1"/>
  <c r="H1188" i="1" a="1"/>
  <c r="H1188" i="1" s="1"/>
  <c r="H1189" i="1" a="1"/>
  <c r="H1189" i="1"/>
  <c r="H1190" i="1" a="1"/>
  <c r="H1190" i="1" s="1"/>
  <c r="H1191" i="1" a="1"/>
  <c r="H1191" i="1"/>
  <c r="H1192" i="1" a="1"/>
  <c r="H1192" i="1" s="1"/>
  <c r="H1193" i="1" a="1"/>
  <c r="H1193" i="1"/>
  <c r="H1194" i="1" a="1"/>
  <c r="H1194" i="1" s="1"/>
  <c r="H1195" i="1" a="1"/>
  <c r="H1195" i="1" s="1"/>
  <c r="H1196" i="1" a="1"/>
  <c r="H1196" i="1"/>
  <c r="H1197" i="1" a="1"/>
  <c r="H1197" i="1" s="1"/>
  <c r="H1198" i="1" a="1"/>
  <c r="H1198" i="1"/>
  <c r="H1199" i="1" a="1"/>
  <c r="H1199" i="1"/>
  <c r="H1200" i="1" a="1"/>
  <c r="H1200" i="1"/>
  <c r="H1201" i="1" a="1"/>
  <c r="H1201" i="1" s="1"/>
  <c r="H1202" i="1" a="1"/>
  <c r="H1202" i="1"/>
  <c r="H1203" i="1" a="1"/>
  <c r="H1203" i="1" s="1"/>
  <c r="H1204" i="1" a="1"/>
  <c r="H1204" i="1" s="1"/>
  <c r="H1205" i="1" a="1"/>
  <c r="H1205" i="1" s="1"/>
  <c r="H1206" i="1" a="1"/>
  <c r="H1206" i="1"/>
  <c r="H1207" i="1" a="1"/>
  <c r="H1207" i="1"/>
  <c r="H1208" i="1" a="1"/>
  <c r="H1208" i="1" s="1"/>
  <c r="H1209" i="1" a="1"/>
  <c r="H1209" i="1" s="1"/>
  <c r="H1210" i="1" a="1"/>
  <c r="H1210" i="1"/>
  <c r="H1211" i="1" a="1"/>
  <c r="H1211" i="1" s="1"/>
  <c r="H1212" i="1" a="1"/>
  <c r="H1212" i="1" s="1"/>
  <c r="H1213" i="1" a="1"/>
  <c r="H1213" i="1"/>
  <c r="H1214" i="1" a="1"/>
  <c r="H1214" i="1"/>
  <c r="H1215" i="1" a="1"/>
  <c r="H1215" i="1" s="1"/>
  <c r="H1216" i="1" a="1"/>
  <c r="H1216" i="1"/>
  <c r="H1217" i="1" a="1"/>
  <c r="H1217" i="1"/>
  <c r="H1218" i="1" a="1"/>
  <c r="H1218" i="1"/>
  <c r="H1219" i="1" a="1"/>
  <c r="H1219" i="1" s="1"/>
  <c r="H1220" i="1" a="1"/>
  <c r="H1220" i="1"/>
  <c r="H1221" i="1" a="1"/>
  <c r="H1221" i="1"/>
  <c r="H1222" i="1" a="1"/>
  <c r="H1222" i="1"/>
  <c r="H1223" i="1" a="1"/>
  <c r="H1223" i="1" s="1"/>
  <c r="H1224" i="1" a="1"/>
  <c r="H1224" i="1"/>
  <c r="H1225" i="1" a="1"/>
  <c r="H1225" i="1" s="1"/>
  <c r="H1226" i="1" a="1"/>
  <c r="H1226" i="1" s="1"/>
  <c r="H1227" i="1" a="1"/>
  <c r="H1227" i="1"/>
  <c r="H1228" i="1" a="1"/>
  <c r="H1228" i="1"/>
  <c r="H1229" i="1" a="1"/>
  <c r="H1229" i="1"/>
  <c r="H1230" i="1" a="1"/>
  <c r="H1230" i="1" s="1"/>
  <c r="H1231" i="1" a="1"/>
  <c r="H1231" i="1"/>
  <c r="H1232" i="1" a="1"/>
  <c r="H1232" i="1"/>
  <c r="H1233" i="1" a="1"/>
  <c r="H1233" i="1" s="1"/>
  <c r="H1234" i="1" a="1"/>
  <c r="H1234" i="1" s="1"/>
  <c r="H1235" i="1" a="1"/>
  <c r="H1235" i="1" s="1"/>
  <c r="H1236" i="1" a="1"/>
  <c r="H1236" i="1" s="1"/>
  <c r="H1237" i="1" a="1"/>
  <c r="H1237" i="1"/>
  <c r="H1238" i="1" a="1"/>
  <c r="H1238" i="1" s="1"/>
  <c r="H1239" i="1" a="1"/>
  <c r="H1239" i="1"/>
  <c r="H1240" i="1" a="1"/>
  <c r="H1240" i="1"/>
  <c r="H1241" i="1" a="1"/>
  <c r="H1241" i="1"/>
  <c r="H1242" i="1" a="1"/>
  <c r="H1242" i="1"/>
  <c r="H1243" i="1" a="1"/>
  <c r="H1243" i="1"/>
  <c r="H1244" i="1" a="1"/>
  <c r="H1244" i="1" s="1"/>
  <c r="H1245" i="1" a="1"/>
  <c r="H1245" i="1" s="1"/>
  <c r="H1246" i="1" a="1"/>
  <c r="H1246" i="1" s="1"/>
  <c r="H1247" i="1" a="1"/>
  <c r="H1247" i="1" s="1"/>
  <c r="H1248" i="1" a="1"/>
  <c r="H1248" i="1"/>
  <c r="H1249" i="1" a="1"/>
  <c r="H1249" i="1" s="1"/>
  <c r="H1250" i="1" a="1"/>
  <c r="H1250" i="1"/>
  <c r="H1251" i="1" a="1"/>
  <c r="H1251" i="1" s="1"/>
  <c r="H1252" i="1" a="1"/>
  <c r="H1252" i="1"/>
  <c r="H1253" i="1" a="1"/>
  <c r="H1253" i="1" s="1"/>
  <c r="H1254" i="1" a="1"/>
  <c r="H1254" i="1"/>
  <c r="H1255" i="1" a="1"/>
  <c r="H1255" i="1" s="1"/>
  <c r="H1256" i="1" a="1"/>
  <c r="H1256" i="1" s="1"/>
  <c r="H1257" i="1" a="1"/>
  <c r="H1257" i="1" s="1"/>
  <c r="H1258" i="1" a="1"/>
  <c r="H1258" i="1" s="1"/>
  <c r="H1259" i="1" a="1"/>
  <c r="H1259" i="1"/>
  <c r="H1260" i="1" a="1"/>
  <c r="H1260" i="1" s="1"/>
  <c r="H1261" i="1" a="1"/>
  <c r="H1261" i="1"/>
  <c r="H1262" i="1" a="1"/>
  <c r="H1262" i="1"/>
  <c r="H1263" i="1" a="1"/>
  <c r="H1263" i="1"/>
  <c r="H1264" i="1" a="1"/>
  <c r="H1264" i="1" s="1"/>
  <c r="H1265" i="1" a="1"/>
  <c r="H1265" i="1" s="1"/>
  <c r="H1266" i="1" a="1"/>
  <c r="H1266" i="1"/>
  <c r="H1267" i="1" a="1"/>
  <c r="H1267" i="1" s="1"/>
  <c r="H1268" i="1" a="1"/>
  <c r="H1268" i="1" s="1"/>
  <c r="H1269" i="1" a="1"/>
  <c r="H1269" i="1" s="1"/>
  <c r="H1270" i="1" a="1"/>
  <c r="H1270" i="1"/>
  <c r="H1271" i="1" a="1"/>
  <c r="H1271" i="1" s="1"/>
  <c r="H1272" i="1" a="1"/>
  <c r="H1272" i="1" s="1"/>
  <c r="H1273" i="1" a="1"/>
  <c r="H1273" i="1"/>
  <c r="H1274" i="1" a="1"/>
  <c r="H1274" i="1"/>
  <c r="H1275" i="1" a="1"/>
  <c r="H1275" i="1" s="1"/>
  <c r="H1276" i="1" a="1"/>
  <c r="H1276" i="1" s="1"/>
  <c r="H1277" i="1" a="1"/>
  <c r="H1277" i="1"/>
  <c r="H1278" i="1" a="1"/>
  <c r="H1278" i="1" s="1"/>
  <c r="H1279" i="1" a="1"/>
  <c r="H1279" i="1" s="1"/>
  <c r="H1280" i="1" a="1"/>
  <c r="H1280" i="1" s="1"/>
  <c r="H1281" i="1" a="1"/>
  <c r="H1281" i="1"/>
  <c r="H1282" i="1" a="1"/>
  <c r="H1282" i="1"/>
  <c r="H1283" i="1" a="1"/>
  <c r="H1283" i="1" s="1"/>
  <c r="H1284" i="1" a="1"/>
  <c r="H1284" i="1"/>
  <c r="H1285" i="1" a="1"/>
  <c r="H1285" i="1" s="1"/>
  <c r="H1286" i="1" a="1"/>
  <c r="H1286" i="1"/>
  <c r="H1287" i="1" a="1"/>
  <c r="H1287" i="1" s="1"/>
  <c r="H1288" i="1" a="1"/>
  <c r="H1288" i="1"/>
  <c r="H1289" i="1" a="1"/>
  <c r="H1289" i="1" s="1"/>
  <c r="H1290" i="1" a="1"/>
  <c r="H1290" i="1" s="1"/>
  <c r="H1291" i="1" a="1"/>
  <c r="H1291" i="1" s="1"/>
  <c r="H1292" i="1" a="1"/>
  <c r="H1292" i="1"/>
  <c r="H1293" i="1" a="1"/>
  <c r="H1293" i="1" s="1"/>
  <c r="H1294" i="1" a="1"/>
  <c r="H1294" i="1" s="1"/>
  <c r="H1295" i="1" a="1"/>
  <c r="H1295" i="1" s="1"/>
  <c r="H1296" i="1" a="1"/>
  <c r="H1296" i="1"/>
  <c r="H1297" i="1" a="1"/>
  <c r="H1297" i="1"/>
  <c r="H1298" i="1" a="1"/>
  <c r="H1298" i="1"/>
  <c r="H1299" i="1" a="1"/>
  <c r="H1299" i="1" s="1"/>
  <c r="H1300" i="1" a="1"/>
  <c r="H1300" i="1"/>
  <c r="H1301" i="1" a="1"/>
  <c r="H1301" i="1"/>
  <c r="H1302" i="1" a="1"/>
  <c r="H1302" i="1"/>
  <c r="H1303" i="1" a="1"/>
  <c r="H1303" i="1" s="1"/>
  <c r="H1304" i="1" a="1"/>
  <c r="H1304" i="1"/>
  <c r="H1305" i="1" a="1"/>
  <c r="H1305" i="1" s="1"/>
  <c r="H1306" i="1" a="1"/>
  <c r="H1306" i="1" s="1"/>
  <c r="H1307" i="1" a="1"/>
  <c r="H1307" i="1"/>
  <c r="H1308" i="1" a="1"/>
  <c r="H1308" i="1"/>
  <c r="H1309" i="1" a="1"/>
  <c r="H1309" i="1"/>
  <c r="H1310" i="1" a="1"/>
  <c r="H1310" i="1" s="1"/>
  <c r="H1311" i="1" a="1"/>
  <c r="H1311" i="1"/>
  <c r="H1312" i="1" a="1"/>
  <c r="H1312" i="1"/>
  <c r="H1313" i="1" a="1"/>
  <c r="H1313" i="1"/>
  <c r="H1314" i="1" a="1"/>
  <c r="H1314" i="1" s="1"/>
  <c r="H1315" i="1" a="1"/>
  <c r="H1315" i="1" s="1"/>
  <c r="H1316" i="1" a="1"/>
  <c r="H1316" i="1"/>
  <c r="H1317" i="1" a="1"/>
  <c r="H1317" i="1" s="1"/>
  <c r="H1318" i="1" a="1"/>
  <c r="H1318" i="1"/>
  <c r="H1319" i="1" a="1"/>
  <c r="H1319" i="1"/>
  <c r="H1320" i="1" a="1"/>
  <c r="H1320" i="1" s="1"/>
  <c r="H1321" i="1" a="1"/>
  <c r="H1321" i="1"/>
  <c r="H1322" i="1" a="1"/>
  <c r="H1322" i="1"/>
  <c r="H1323" i="1" a="1"/>
  <c r="H1323" i="1"/>
  <c r="H1324" i="1" a="1"/>
  <c r="H1324" i="1" s="1"/>
  <c r="H1325" i="1" a="1"/>
  <c r="H1325" i="1" s="1"/>
  <c r="H1326" i="1" a="1"/>
  <c r="H1326" i="1"/>
  <c r="H1327" i="1" a="1"/>
  <c r="H1327" i="1"/>
  <c r="H1328" i="1" a="1"/>
  <c r="H1328" i="1" s="1"/>
  <c r="H1329" i="1" a="1"/>
  <c r="H1329" i="1"/>
  <c r="H1330" i="1" a="1"/>
  <c r="H1330" i="1" s="1"/>
  <c r="H1331" i="1" a="1"/>
  <c r="H1331" i="1"/>
  <c r="H1332" i="1" a="1"/>
  <c r="H1332" i="1" s="1"/>
  <c r="H1333" i="1" a="1"/>
  <c r="H1333" i="1"/>
  <c r="H1334" i="1" a="1"/>
  <c r="H1334" i="1"/>
  <c r="H1335" i="1" a="1"/>
  <c r="H1335" i="1"/>
  <c r="H1336" i="1" a="1"/>
  <c r="H1336" i="1" s="1"/>
  <c r="H1337" i="1" a="1"/>
  <c r="H1337" i="1"/>
  <c r="H1338" i="1" a="1"/>
  <c r="H1338" i="1" s="1"/>
  <c r="H1339" i="1" a="1"/>
  <c r="H1339" i="1"/>
  <c r="H1340" i="1" a="1"/>
  <c r="H1340" i="1" s="1"/>
  <c r="H1341" i="1" a="1"/>
  <c r="H1341" i="1"/>
  <c r="H1342" i="1" a="1"/>
  <c r="H1342" i="1"/>
  <c r="H1343" i="1" a="1"/>
  <c r="H1343" i="1"/>
  <c r="H1344" i="1" a="1"/>
  <c r="H1344" i="1"/>
  <c r="H1345" i="1" a="1"/>
  <c r="H1345" i="1" s="1"/>
  <c r="H1346" i="1" a="1"/>
  <c r="H1346" i="1" s="1"/>
  <c r="H1347" i="1" a="1"/>
  <c r="H1347" i="1"/>
  <c r="H1348" i="1" a="1"/>
  <c r="H1348" i="1"/>
  <c r="H1349" i="1" a="1"/>
  <c r="H1349" i="1" s="1"/>
  <c r="H1350" i="1" a="1"/>
  <c r="H1350" i="1" s="1"/>
  <c r="H1351" i="1" a="1"/>
  <c r="H1351" i="1"/>
  <c r="H1352" i="1" a="1"/>
  <c r="H1352" i="1"/>
  <c r="H1353" i="1" a="1"/>
  <c r="H1353" i="1" s="1"/>
  <c r="H1354" i="1" a="1"/>
  <c r="H1354" i="1"/>
  <c r="H1355" i="1" a="1"/>
  <c r="H1355" i="1"/>
  <c r="H1356" i="1" a="1"/>
  <c r="H1356" i="1"/>
  <c r="H1357" i="1" a="1"/>
  <c r="H1357" i="1" s="1"/>
  <c r="H1358" i="1" a="1"/>
  <c r="H1358" i="1"/>
  <c r="H1359" i="1" a="1"/>
  <c r="H1359" i="1" s="1"/>
  <c r="H1360" i="1" a="1"/>
  <c r="H1360" i="1" s="1"/>
  <c r="H1361" i="1" a="1"/>
  <c r="H1361" i="1"/>
  <c r="H1362" i="1" a="1"/>
  <c r="H1362" i="1"/>
  <c r="H1363" i="1" a="1"/>
  <c r="H1363" i="1"/>
  <c r="H1364" i="1" a="1"/>
  <c r="H1364" i="1"/>
  <c r="H1365" i="1" a="1"/>
  <c r="H1365" i="1"/>
  <c r="H1366" i="1" a="1"/>
  <c r="H1366" i="1" s="1"/>
  <c r="H1367" i="1" a="1"/>
  <c r="H1367" i="1" s="1"/>
  <c r="H1368" i="1" a="1"/>
  <c r="H1368" i="1"/>
  <c r="H1369" i="1" a="1"/>
  <c r="H1369" i="1"/>
  <c r="H1370" i="1" a="1"/>
  <c r="H1370" i="1" s="1"/>
  <c r="H1371" i="1" a="1"/>
  <c r="H1371" i="1"/>
  <c r="H1372" i="1" a="1"/>
  <c r="H1372" i="1"/>
  <c r="H1373" i="1" a="1"/>
  <c r="H1373" i="1"/>
  <c r="H1374" i="1" a="1"/>
  <c r="H1374" i="1" s="1"/>
  <c r="H1375" i="1" a="1"/>
  <c r="H1375" i="1"/>
  <c r="H1376" i="1" a="1"/>
  <c r="H1376" i="1"/>
  <c r="H1377" i="1" a="1"/>
  <c r="H1377" i="1"/>
  <c r="H1378" i="1" a="1"/>
  <c r="H1378" i="1" s="1"/>
  <c r="H1379" i="1" a="1"/>
  <c r="H1379" i="1"/>
  <c r="H1380" i="1" a="1"/>
  <c r="H1380" i="1" s="1"/>
  <c r="H1381" i="1" a="1"/>
  <c r="H1381" i="1" s="1"/>
  <c r="H1382" i="1" a="1"/>
  <c r="H1382" i="1"/>
  <c r="H1383" i="1" a="1"/>
  <c r="H1383" i="1"/>
  <c r="H2" i="1" a="1"/>
  <c r="H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2" i="1"/>
  <c r="J25" i="3" a="1"/>
  <c r="J25" i="3" s="1"/>
  <c r="A3" i="3" a="1"/>
  <c r="BK48" i="2"/>
  <c r="BJ48" i="2"/>
  <c r="BI48" i="2"/>
  <c r="BH48" i="2"/>
  <c r="BG48" i="2"/>
  <c r="BE48" i="2"/>
  <c r="BD48" i="2"/>
  <c r="BC48" i="2"/>
  <c r="BB48" i="2"/>
  <c r="BA48" i="2"/>
  <c r="AZ48" i="2"/>
  <c r="BK47" i="2"/>
  <c r="BJ47" i="2"/>
  <c r="BI47" i="2"/>
  <c r="BH47" i="2"/>
  <c r="BG47" i="2"/>
  <c r="BE47" i="2"/>
  <c r="BD47" i="2"/>
  <c r="BC47" i="2"/>
  <c r="BB47" i="2"/>
  <c r="BA47" i="2"/>
  <c r="AZ47" i="2"/>
  <c r="BK46" i="2"/>
  <c r="BJ46" i="2"/>
  <c r="BI46" i="2"/>
  <c r="BH46" i="2"/>
  <c r="BG46" i="2"/>
  <c r="BE46" i="2"/>
  <c r="BD46" i="2"/>
  <c r="BC46" i="2"/>
  <c r="BB46" i="2"/>
  <c r="BA46" i="2"/>
  <c r="AZ46" i="2"/>
  <c r="BK45" i="2"/>
  <c r="BJ45" i="2"/>
  <c r="BI45" i="2"/>
  <c r="BH45" i="2"/>
  <c r="BG45" i="2"/>
  <c r="BE45" i="2"/>
  <c r="BD45" i="2"/>
  <c r="BC45" i="2"/>
  <c r="BB45" i="2"/>
  <c r="BA45" i="2"/>
  <c r="AZ45" i="2"/>
  <c r="BK44" i="2"/>
  <c r="BJ44" i="2"/>
  <c r="BI44" i="2"/>
  <c r="BH44" i="2"/>
  <c r="BG44" i="2"/>
  <c r="BE44" i="2"/>
  <c r="BD44" i="2"/>
  <c r="BC44" i="2"/>
  <c r="BB44" i="2"/>
  <c r="BA44" i="2"/>
  <c r="AZ44" i="2"/>
  <c r="BK43" i="2"/>
  <c r="BJ43" i="2"/>
  <c r="BI43" i="2"/>
  <c r="BH43" i="2"/>
  <c r="BG43" i="2"/>
  <c r="BE43" i="2"/>
  <c r="BD43" i="2"/>
  <c r="BC43" i="2"/>
  <c r="BB43" i="2"/>
  <c r="BA43" i="2"/>
  <c r="AZ43" i="2"/>
  <c r="BP42" i="2"/>
  <c r="BO42" i="2"/>
  <c r="BK42" i="2"/>
  <c r="BJ42" i="2"/>
  <c r="BI42" i="2"/>
  <c r="BH42" i="2"/>
  <c r="BG42" i="2"/>
  <c r="BE42" i="2"/>
  <c r="BD42" i="2"/>
  <c r="BC42" i="2"/>
  <c r="BB42" i="2"/>
  <c r="BA42" i="2"/>
  <c r="AZ42" i="2"/>
  <c r="BP41" i="2"/>
  <c r="BO41" i="2"/>
  <c r="BK41" i="2"/>
  <c r="BJ41" i="2"/>
  <c r="BI41" i="2"/>
  <c r="BH41" i="2"/>
  <c r="BG41" i="2"/>
  <c r="BE41" i="2"/>
  <c r="BD41" i="2"/>
  <c r="BC41" i="2"/>
  <c r="BB41" i="2"/>
  <c r="BA41" i="2"/>
  <c r="AZ41" i="2"/>
  <c r="BP40" i="2"/>
  <c r="BO40" i="2"/>
  <c r="BK40" i="2"/>
  <c r="BJ40" i="2"/>
  <c r="BI40" i="2"/>
  <c r="BH40" i="2"/>
  <c r="BG40" i="2"/>
  <c r="BE40" i="2"/>
  <c r="BD40" i="2"/>
  <c r="BC40" i="2"/>
  <c r="BB40" i="2"/>
  <c r="BA40" i="2"/>
  <c r="AZ40" i="2"/>
  <c r="BP39" i="2"/>
  <c r="BO39" i="2"/>
  <c r="BK39" i="2"/>
  <c r="BJ39" i="2"/>
  <c r="BI39" i="2"/>
  <c r="BH39" i="2"/>
  <c r="BG39" i="2"/>
  <c r="BE39" i="2"/>
  <c r="BD39" i="2"/>
  <c r="BC39" i="2"/>
  <c r="BB39" i="2"/>
  <c r="BA39" i="2"/>
  <c r="AZ39" i="2"/>
  <c r="BP38" i="2"/>
  <c r="BO38" i="2"/>
  <c r="BK38" i="2"/>
  <c r="BJ38" i="2"/>
  <c r="BI38" i="2"/>
  <c r="BH38" i="2"/>
  <c r="BG38" i="2"/>
  <c r="BE38" i="2"/>
  <c r="BD38" i="2"/>
  <c r="BC38" i="2"/>
  <c r="BB38" i="2"/>
  <c r="BA38" i="2"/>
  <c r="AZ38" i="2"/>
  <c r="BP37" i="2"/>
  <c r="BO37" i="2"/>
  <c r="BK37" i="2"/>
  <c r="BJ37" i="2"/>
  <c r="BI37" i="2"/>
  <c r="BH37" i="2"/>
  <c r="BG37" i="2"/>
  <c r="BE37" i="2"/>
  <c r="BD37" i="2"/>
  <c r="BC37" i="2"/>
  <c r="BB37" i="2"/>
  <c r="BA37" i="2"/>
  <c r="AZ37" i="2"/>
  <c r="BP36" i="2"/>
  <c r="BO36" i="2"/>
  <c r="BK36" i="2"/>
  <c r="BJ36" i="2"/>
  <c r="BI36" i="2"/>
  <c r="BH36" i="2"/>
  <c r="BG36" i="2"/>
  <c r="BE36" i="2"/>
  <c r="BD36" i="2"/>
  <c r="BC36" i="2"/>
  <c r="BB36" i="2"/>
  <c r="BA36" i="2"/>
  <c r="AZ36" i="2"/>
  <c r="BP35" i="2"/>
  <c r="BO35" i="2"/>
  <c r="BK35" i="2"/>
  <c r="BJ35" i="2"/>
  <c r="BI35" i="2"/>
  <c r="BH35" i="2"/>
  <c r="BG35" i="2"/>
  <c r="BE35" i="2"/>
  <c r="BD35" i="2"/>
  <c r="BC35" i="2"/>
  <c r="BB35" i="2"/>
  <c r="BA35" i="2"/>
  <c r="AZ35" i="2"/>
  <c r="BP34" i="2"/>
  <c r="BO34" i="2"/>
  <c r="BK34" i="2"/>
  <c r="BJ34" i="2"/>
  <c r="BI34" i="2"/>
  <c r="BH34" i="2"/>
  <c r="BG34" i="2"/>
  <c r="BE34" i="2"/>
  <c r="BD34" i="2"/>
  <c r="BC34" i="2"/>
  <c r="BB34" i="2"/>
  <c r="BA34" i="2"/>
  <c r="AZ34" i="2"/>
  <c r="BK33" i="2"/>
  <c r="BJ33" i="2"/>
  <c r="BI33" i="2"/>
  <c r="BH33" i="2"/>
  <c r="BG33" i="2"/>
  <c r="BE33" i="2"/>
  <c r="BD33" i="2"/>
  <c r="BC33" i="2"/>
  <c r="BB33" i="2"/>
  <c r="BA33" i="2"/>
  <c r="AZ33" i="2"/>
  <c r="BK32" i="2"/>
  <c r="BJ32" i="2"/>
  <c r="BI32" i="2"/>
  <c r="BH32" i="2"/>
  <c r="BG32" i="2"/>
  <c r="BE32" i="2"/>
  <c r="BD32" i="2"/>
  <c r="BC32" i="2"/>
  <c r="BB32" i="2"/>
  <c r="BA32" i="2"/>
  <c r="AZ32" i="2"/>
  <c r="BK31" i="2"/>
  <c r="BJ31" i="2"/>
  <c r="BI31" i="2"/>
  <c r="BH31" i="2"/>
  <c r="BG31" i="2"/>
  <c r="BE31" i="2"/>
  <c r="BD31" i="2"/>
  <c r="BC31" i="2"/>
  <c r="BB31" i="2"/>
  <c r="BA31" i="2"/>
  <c r="AZ31" i="2"/>
  <c r="BK30" i="2"/>
  <c r="BJ30" i="2"/>
  <c r="BI30" i="2"/>
  <c r="BH30" i="2"/>
  <c r="BG30" i="2"/>
  <c r="BE30" i="2"/>
  <c r="BD30" i="2"/>
  <c r="BC30" i="2"/>
  <c r="BB30" i="2"/>
  <c r="BA30" i="2"/>
  <c r="AZ30" i="2"/>
  <c r="BK29" i="2"/>
  <c r="BJ29" i="2"/>
  <c r="BI29" i="2"/>
  <c r="BH29" i="2"/>
  <c r="BG29" i="2"/>
  <c r="BE29" i="2"/>
  <c r="BD29" i="2"/>
  <c r="BC29" i="2"/>
  <c r="BB29" i="2"/>
  <c r="BA29" i="2"/>
  <c r="AZ29" i="2"/>
  <c r="BK28" i="2"/>
  <c r="BJ28" i="2"/>
  <c r="BI28" i="2"/>
  <c r="BH28" i="2"/>
  <c r="BG28" i="2"/>
  <c r="BE28" i="2"/>
  <c r="BD28" i="2"/>
  <c r="BC28" i="2"/>
  <c r="BB28" i="2"/>
  <c r="BA28" i="2"/>
  <c r="AZ28" i="2"/>
  <c r="BK27" i="2"/>
  <c r="BJ27" i="2"/>
  <c r="BI27" i="2"/>
  <c r="BH27" i="2"/>
  <c r="BG27" i="2"/>
  <c r="BE27" i="2"/>
  <c r="BD27" i="2"/>
  <c r="BC27" i="2"/>
  <c r="BB27" i="2"/>
  <c r="BA27" i="2"/>
  <c r="AZ27" i="2"/>
  <c r="BK26" i="2"/>
  <c r="BJ26" i="2"/>
  <c r="BI26" i="2"/>
  <c r="BH26" i="2"/>
  <c r="BG26" i="2"/>
  <c r="BE26" i="2"/>
  <c r="BD26" i="2"/>
  <c r="BC26" i="2"/>
  <c r="BB26" i="2"/>
  <c r="BA26" i="2"/>
  <c r="AZ26" i="2"/>
  <c r="BK25" i="2"/>
  <c r="BJ25" i="2"/>
  <c r="BI25" i="2"/>
  <c r="BH25" i="2"/>
  <c r="BG25" i="2"/>
  <c r="BE25" i="2"/>
  <c r="BD25" i="2"/>
  <c r="BC25" i="2"/>
  <c r="BB25" i="2"/>
  <c r="BA25" i="2"/>
  <c r="AZ25" i="2"/>
  <c r="BK24" i="2"/>
  <c r="BJ24" i="2"/>
  <c r="BI24" i="2"/>
  <c r="BH24" i="2"/>
  <c r="BG24" i="2"/>
  <c r="BE24" i="2"/>
  <c r="BD24" i="2"/>
  <c r="BC24" i="2"/>
  <c r="BB24" i="2"/>
  <c r="BA24" i="2"/>
  <c r="AZ24" i="2"/>
  <c r="BK23" i="2"/>
  <c r="BJ23" i="2"/>
  <c r="BI23" i="2"/>
  <c r="BH23" i="2"/>
  <c r="BG23" i="2"/>
  <c r="BE23" i="2"/>
  <c r="BD23" i="2"/>
  <c r="BC23" i="2"/>
  <c r="BB23" i="2"/>
  <c r="BA23" i="2"/>
  <c r="AZ23" i="2"/>
  <c r="BO22" i="2"/>
  <c r="BK22" i="2"/>
  <c r="BJ22" i="2"/>
  <c r="BI22" i="2"/>
  <c r="BH22" i="2"/>
  <c r="BG22" i="2"/>
  <c r="BE22" i="2"/>
  <c r="BD22" i="2"/>
  <c r="BC22" i="2"/>
  <c r="BB22" i="2"/>
  <c r="BA22" i="2"/>
  <c r="AZ22" i="2"/>
  <c r="BO21" i="2"/>
  <c r="BK21" i="2"/>
  <c r="BJ21" i="2"/>
  <c r="BI21" i="2"/>
  <c r="BH21" i="2"/>
  <c r="BG21" i="2"/>
  <c r="BE21" i="2"/>
  <c r="BD21" i="2"/>
  <c r="BC21" i="2"/>
  <c r="BB21" i="2"/>
  <c r="BA21" i="2"/>
  <c r="AZ21" i="2"/>
  <c r="BO20" i="2"/>
  <c r="BK20" i="2"/>
  <c r="BJ20" i="2"/>
  <c r="BI20" i="2"/>
  <c r="BH20" i="2"/>
  <c r="BG20" i="2"/>
  <c r="BE20" i="2"/>
  <c r="BD20" i="2"/>
  <c r="BC20" i="2"/>
  <c r="BB20" i="2"/>
  <c r="BA20" i="2"/>
  <c r="AZ20" i="2"/>
  <c r="BO19" i="2"/>
  <c r="BK19" i="2"/>
  <c r="BJ19" i="2"/>
  <c r="BI19" i="2"/>
  <c r="BH19" i="2"/>
  <c r="BG19" i="2"/>
  <c r="BE19" i="2"/>
  <c r="BD19" i="2"/>
  <c r="BC19" i="2"/>
  <c r="BB19" i="2"/>
  <c r="BA19" i="2"/>
  <c r="AZ19" i="2"/>
  <c r="BO18" i="2"/>
  <c r="BK18" i="2"/>
  <c r="BJ18" i="2"/>
  <c r="BI18" i="2"/>
  <c r="BH18" i="2"/>
  <c r="BG18" i="2"/>
  <c r="BE18" i="2"/>
  <c r="BD18" i="2"/>
  <c r="BC18" i="2"/>
  <c r="BB18" i="2"/>
  <c r="BA18" i="2"/>
  <c r="AZ18" i="2"/>
  <c r="BK17" i="2"/>
  <c r="BJ17" i="2"/>
  <c r="BI17" i="2"/>
  <c r="BH17" i="2"/>
  <c r="BG17" i="2"/>
  <c r="BE17" i="2"/>
  <c r="BD17" i="2"/>
  <c r="BC17" i="2"/>
  <c r="BB17" i="2"/>
  <c r="BA17" i="2"/>
  <c r="AZ17" i="2"/>
  <c r="BK16" i="2"/>
  <c r="BJ16" i="2"/>
  <c r="BI16" i="2"/>
  <c r="BH16" i="2"/>
  <c r="BG16" i="2"/>
  <c r="BE16" i="2"/>
  <c r="BD16" i="2"/>
  <c r="BC16" i="2"/>
  <c r="BB16" i="2"/>
  <c r="BA16" i="2"/>
  <c r="AZ16" i="2"/>
  <c r="BK15" i="2"/>
  <c r="BJ15" i="2"/>
  <c r="BI15" i="2"/>
  <c r="BH15" i="2"/>
  <c r="BG15" i="2"/>
  <c r="BE15" i="2"/>
  <c r="BD15" i="2"/>
  <c r="BC15" i="2"/>
  <c r="BB15" i="2"/>
  <c r="BA15" i="2"/>
  <c r="AZ15" i="2"/>
  <c r="BK14" i="2"/>
  <c r="BJ14" i="2"/>
  <c r="BI14" i="2"/>
  <c r="BH14" i="2"/>
  <c r="BG14" i="2"/>
  <c r="BE14" i="2"/>
  <c r="BD14" i="2"/>
  <c r="BC14" i="2"/>
  <c r="BB14" i="2"/>
  <c r="BA14" i="2"/>
  <c r="AZ14" i="2"/>
  <c r="BK13" i="2"/>
  <c r="BJ13" i="2"/>
  <c r="BI13" i="2"/>
  <c r="BH13" i="2"/>
  <c r="BG13" i="2"/>
  <c r="BE13" i="2"/>
  <c r="BD13" i="2"/>
  <c r="BC13" i="2"/>
  <c r="BB13" i="2"/>
  <c r="BA13" i="2"/>
  <c r="AZ13" i="2"/>
  <c r="BK12" i="2"/>
  <c r="BJ12" i="2"/>
  <c r="BI12" i="2"/>
  <c r="BH12" i="2"/>
  <c r="BG12" i="2"/>
  <c r="BE12" i="2"/>
  <c r="BD12" i="2"/>
  <c r="BC12" i="2"/>
  <c r="BB12" i="2"/>
  <c r="BA12" i="2"/>
  <c r="AZ12" i="2"/>
  <c r="BK11" i="2"/>
  <c r="BJ11" i="2"/>
  <c r="BI11" i="2"/>
  <c r="BH11" i="2"/>
  <c r="BG11" i="2"/>
  <c r="BE11" i="2"/>
  <c r="BD11" i="2"/>
  <c r="BC11" i="2"/>
  <c r="BB11" i="2"/>
  <c r="BA11" i="2"/>
  <c r="AZ11" i="2"/>
  <c r="BK10" i="2"/>
  <c r="BJ10" i="2"/>
  <c r="BI10" i="2"/>
  <c r="BH10" i="2"/>
  <c r="BG10" i="2"/>
  <c r="BE10" i="2"/>
  <c r="BD10" i="2"/>
  <c r="BC10" i="2"/>
  <c r="BB10" i="2"/>
  <c r="BA10" i="2"/>
  <c r="AZ10" i="2"/>
  <c r="BK9" i="2"/>
  <c r="BJ9" i="2"/>
  <c r="BI9" i="2"/>
  <c r="BH9" i="2"/>
  <c r="BG9" i="2"/>
  <c r="BE9" i="2"/>
  <c r="BD9" i="2"/>
  <c r="BC9" i="2"/>
  <c r="BB9" i="2"/>
  <c r="BA9" i="2"/>
  <c r="AZ9" i="2"/>
  <c r="BK8" i="2"/>
  <c r="BJ8" i="2"/>
  <c r="BI8" i="2"/>
  <c r="BH8" i="2"/>
  <c r="BG8" i="2"/>
  <c r="BE8" i="2"/>
  <c r="BD8" i="2"/>
  <c r="BC8" i="2"/>
  <c r="BB8" i="2"/>
  <c r="BA8" i="2"/>
  <c r="AZ8" i="2"/>
  <c r="BP7" i="2"/>
  <c r="BO7" i="2"/>
  <c r="BK7" i="2"/>
  <c r="BJ7" i="2"/>
  <c r="BI7" i="2"/>
  <c r="BH7" i="2"/>
  <c r="BG7" i="2"/>
  <c r="BE7" i="2"/>
  <c r="BD7" i="2"/>
  <c r="BC7" i="2"/>
  <c r="BB7" i="2"/>
  <c r="BA7" i="2"/>
  <c r="AZ7" i="2"/>
  <c r="BP6" i="2"/>
  <c r="BO6" i="2"/>
  <c r="BK6" i="2"/>
  <c r="BJ6" i="2"/>
  <c r="BI6" i="2"/>
  <c r="BH6" i="2"/>
  <c r="BG6" i="2"/>
  <c r="BE6" i="2"/>
  <c r="BD6" i="2"/>
  <c r="BC6" i="2"/>
  <c r="BB6" i="2"/>
  <c r="BA6" i="2"/>
  <c r="AZ6" i="2"/>
  <c r="BP5" i="2"/>
  <c r="BO5" i="2"/>
  <c r="BK5" i="2"/>
  <c r="BJ5" i="2"/>
  <c r="BI5" i="2"/>
  <c r="BH5" i="2"/>
  <c r="BG5" i="2"/>
  <c r="BE5" i="2"/>
  <c r="BD5" i="2"/>
  <c r="BC5" i="2"/>
  <c r="BB5" i="2"/>
  <c r="BA5" i="2"/>
  <c r="AZ5" i="2"/>
  <c r="BP4" i="2"/>
  <c r="BO4" i="2"/>
  <c r="BK4" i="2"/>
  <c r="BJ4" i="2"/>
  <c r="BI4" i="2"/>
  <c r="BH4" i="2"/>
  <c r="BG4" i="2"/>
  <c r="BE4" i="2"/>
  <c r="BD4" i="2"/>
  <c r="BC4" i="2"/>
  <c r="BB4" i="2"/>
  <c r="BA4" i="2"/>
  <c r="AZ4" i="2"/>
  <c r="BP3" i="2"/>
  <c r="BO3" i="2"/>
  <c r="BK3" i="2"/>
  <c r="BJ3" i="2"/>
  <c r="BI3" i="2"/>
  <c r="BH3" i="2"/>
  <c r="BG3" i="2"/>
  <c r="BE3" i="2"/>
  <c r="BD3" i="2"/>
  <c r="BC3" i="2"/>
  <c r="BB3" i="2"/>
  <c r="BA3" i="2"/>
  <c r="AZ3" i="2"/>
  <c r="BP2" i="2"/>
  <c r="BO2" i="2"/>
  <c r="BK2" i="2"/>
  <c r="BJ2" i="2"/>
  <c r="BI2" i="2"/>
  <c r="BH2" i="2"/>
  <c r="BG2" i="2"/>
  <c r="BE2" i="2"/>
  <c r="BD2" i="2"/>
  <c r="BC2" i="2"/>
  <c r="BB2" i="2"/>
  <c r="BA2" i="2"/>
  <c r="AZ2" i="2"/>
  <c r="J18" i="3" l="1" a="1"/>
  <c r="J18" i="3" s="1"/>
  <c r="Q19" i="3"/>
  <c r="AH8" i="3"/>
  <c r="AH28" i="3"/>
  <c r="AH48" i="3"/>
  <c r="AH12" i="3"/>
  <c r="AH13" i="3"/>
  <c r="AH14" i="3"/>
  <c r="AH16" i="3"/>
  <c r="AH17" i="3"/>
  <c r="AH19" i="3"/>
  <c r="AH40" i="3"/>
  <c r="AH41" i="3"/>
  <c r="AH43" i="3"/>
  <c r="AH24" i="3"/>
  <c r="AH25" i="3"/>
  <c r="AH6" i="3"/>
  <c r="AH27" i="3"/>
  <c r="AH9" i="3"/>
  <c r="AH29" i="3"/>
  <c r="AH49" i="3"/>
  <c r="AH30" i="3"/>
  <c r="AH11" i="3"/>
  <c r="AH31" i="3"/>
  <c r="AH32" i="3"/>
  <c r="AH33" i="3"/>
  <c r="AH34" i="3"/>
  <c r="AH15" i="3"/>
  <c r="AH35" i="3"/>
  <c r="AH37" i="3"/>
  <c r="AH38" i="3"/>
  <c r="AH21" i="3"/>
  <c r="AH22" i="3"/>
  <c r="AH23" i="3"/>
  <c r="AH4" i="3"/>
  <c r="AH5" i="3"/>
  <c r="AH46" i="3"/>
  <c r="AH47" i="3"/>
  <c r="AH36" i="3"/>
  <c r="AH18" i="3"/>
  <c r="AH39" i="3"/>
  <c r="AH20" i="3"/>
  <c r="AH44" i="3"/>
  <c r="AH45" i="3"/>
  <c r="AH26" i="3"/>
  <c r="AH7" i="3"/>
  <c r="AH42" i="3"/>
  <c r="J16" i="3" a="1"/>
  <c r="J16" i="3" s="1"/>
  <c r="J29" i="3" a="1"/>
  <c r="J29" i="3" s="1"/>
  <c r="I30" i="3"/>
  <c r="I29" i="3"/>
  <c r="I28" i="3"/>
  <c r="I25" i="3"/>
  <c r="I24" i="3"/>
  <c r="I23" i="3"/>
  <c r="I22" i="3"/>
  <c r="I21" i="3"/>
  <c r="I9" i="3"/>
  <c r="Q47" i="3"/>
  <c r="Q49" i="3"/>
  <c r="J33" i="3" a="1"/>
  <c r="J33" i="3" s="1"/>
  <c r="Q46" i="3"/>
  <c r="Q48" i="3"/>
  <c r="J32" i="3" a="1"/>
  <c r="J32" i="3" s="1"/>
  <c r="J31" i="3" a="1"/>
  <c r="J31" i="3" s="1"/>
  <c r="I10" i="3"/>
  <c r="J35" i="3" a="1"/>
  <c r="J35" i="3" s="1"/>
  <c r="J30" i="3" a="1"/>
  <c r="J30" i="3" s="1"/>
  <c r="J13" i="3" a="1"/>
  <c r="J13" i="3" s="1"/>
  <c r="Q29" i="3"/>
  <c r="I8" i="3"/>
  <c r="J12" i="3" a="1"/>
  <c r="J12" i="3" s="1"/>
  <c r="Q28" i="3"/>
  <c r="I5" i="3"/>
  <c r="J11" i="3" a="1"/>
  <c r="J11" i="3" s="1"/>
  <c r="Q27" i="3"/>
  <c r="J9" i="3" a="1"/>
  <c r="J9" i="3" s="1"/>
  <c r="Q9" i="3"/>
  <c r="I48" i="3"/>
  <c r="J49" i="3" a="1"/>
  <c r="J49" i="3" s="1"/>
  <c r="J7" i="3" a="1"/>
  <c r="J7" i="3" s="1"/>
  <c r="Q8" i="3"/>
  <c r="J10" i="3" a="1"/>
  <c r="J10" i="3" s="1"/>
  <c r="Q26" i="3"/>
  <c r="I49" i="3"/>
  <c r="I45" i="3"/>
  <c r="J5" i="3" a="1"/>
  <c r="J5" i="3" s="1"/>
  <c r="Q7" i="3"/>
  <c r="I44" i="3"/>
  <c r="J38" i="3" a="1"/>
  <c r="J38" i="3" s="1"/>
  <c r="I42" i="3"/>
  <c r="J37" i="3" a="1"/>
  <c r="J37" i="3" s="1"/>
  <c r="I4" i="3"/>
  <c r="J45" i="3" a="1"/>
  <c r="J45" i="3" s="1"/>
  <c r="J44" i="3" a="1"/>
  <c r="J44" i="3" s="1"/>
  <c r="Q6" i="3"/>
  <c r="I43" i="3"/>
  <c r="I41" i="3"/>
  <c r="J36" i="3" a="1"/>
  <c r="J36" i="3" s="1"/>
  <c r="J15" i="3" a="1"/>
  <c r="J15" i="3" s="1"/>
  <c r="Q31" i="3"/>
  <c r="Q11" i="3"/>
  <c r="Q32" i="3"/>
  <c r="Q12" i="3"/>
  <c r="I47" i="3"/>
  <c r="I27" i="3"/>
  <c r="I7" i="3"/>
  <c r="I46" i="3"/>
  <c r="I26" i="3"/>
  <c r="I6" i="3"/>
  <c r="J34" i="3" a="1"/>
  <c r="J34" i="3" s="1"/>
  <c r="J14" i="3" a="1"/>
  <c r="J14" i="3" s="1"/>
  <c r="Q30" i="3"/>
  <c r="Q10" i="3"/>
  <c r="Q45" i="3"/>
  <c r="Q25" i="3"/>
  <c r="Q5" i="3"/>
  <c r="I40" i="3"/>
  <c r="AM40" i="3" s="1"/>
  <c r="I20" i="3"/>
  <c r="J48" i="3" a="1"/>
  <c r="J48" i="3" s="1"/>
  <c r="J28" i="3" a="1"/>
  <c r="J28" i="3" s="1"/>
  <c r="J8" i="3" a="1"/>
  <c r="J8" i="3" s="1"/>
  <c r="Q44" i="3"/>
  <c r="Q24" i="3"/>
  <c r="Q4" i="3"/>
  <c r="Q43" i="3"/>
  <c r="Q23" i="3"/>
  <c r="I39" i="3"/>
  <c r="I19" i="3"/>
  <c r="J47" i="3" a="1"/>
  <c r="J47" i="3" s="1"/>
  <c r="J27" i="3" a="1"/>
  <c r="J27" i="3" s="1"/>
  <c r="I38" i="3"/>
  <c r="I18" i="3"/>
  <c r="J46" i="3" a="1"/>
  <c r="J46" i="3" s="1"/>
  <c r="J26" i="3" a="1"/>
  <c r="J26" i="3" s="1"/>
  <c r="J6" i="3" a="1"/>
  <c r="J6" i="3" s="1"/>
  <c r="Q42" i="3"/>
  <c r="Q22" i="3"/>
  <c r="O32" i="3"/>
  <c r="Q41" i="3"/>
  <c r="Q21" i="3"/>
  <c r="B7" i="3"/>
  <c r="I36" i="3"/>
  <c r="I16" i="3"/>
  <c r="J43" i="3" a="1"/>
  <c r="J43" i="3" s="1"/>
  <c r="J23" i="3" a="1"/>
  <c r="J23" i="3" s="1"/>
  <c r="Q39" i="3"/>
  <c r="H6" i="3"/>
  <c r="X17" i="3"/>
  <c r="X37" i="3"/>
  <c r="W9" i="3"/>
  <c r="W29" i="3"/>
  <c r="W49" i="3"/>
  <c r="V21" i="3"/>
  <c r="AE21" i="3" s="1"/>
  <c r="V41" i="3"/>
  <c r="AE41" i="3" s="1"/>
  <c r="V22" i="3"/>
  <c r="AE22" i="3" s="1"/>
  <c r="V42" i="3"/>
  <c r="X19" i="3"/>
  <c r="X39" i="3"/>
  <c r="W11" i="3"/>
  <c r="W31" i="3"/>
  <c r="V23" i="3"/>
  <c r="V43" i="3"/>
  <c r="W37" i="3"/>
  <c r="X26" i="3"/>
  <c r="W38" i="3"/>
  <c r="V10" i="3"/>
  <c r="AE10" i="3" s="1"/>
  <c r="X18" i="3"/>
  <c r="X38" i="3"/>
  <c r="W10" i="3"/>
  <c r="W30" i="3"/>
  <c r="X20" i="3"/>
  <c r="X40" i="3"/>
  <c r="W12" i="3"/>
  <c r="W32" i="3"/>
  <c r="V4" i="3"/>
  <c r="V24" i="3"/>
  <c r="AE24" i="3" s="1"/>
  <c r="V44" i="3"/>
  <c r="X21" i="3"/>
  <c r="X41" i="3"/>
  <c r="W13" i="3"/>
  <c r="W33" i="3"/>
  <c r="V5" i="3"/>
  <c r="V25" i="3"/>
  <c r="AE25" i="3" s="1"/>
  <c r="V45" i="3"/>
  <c r="X24" i="3"/>
  <c r="V8" i="3"/>
  <c r="X45" i="3"/>
  <c r="V9" i="3"/>
  <c r="AE9" i="3" s="1"/>
  <c r="V49" i="3"/>
  <c r="X6" i="3"/>
  <c r="W18" i="3"/>
  <c r="V30" i="3"/>
  <c r="AE30" i="3" s="1"/>
  <c r="X27" i="3"/>
  <c r="W19" i="3"/>
  <c r="V11" i="3"/>
  <c r="AE11" i="3" s="1"/>
  <c r="X8" i="3"/>
  <c r="W20" i="3"/>
  <c r="V12" i="3"/>
  <c r="AE12" i="3" s="1"/>
  <c r="X29" i="3"/>
  <c r="W21" i="3"/>
  <c r="V13" i="3"/>
  <c r="AE13" i="3" s="1"/>
  <c r="X10" i="3"/>
  <c r="X22" i="3"/>
  <c r="X42" i="3"/>
  <c r="W14" i="3"/>
  <c r="W34" i="3"/>
  <c r="V6" i="3"/>
  <c r="V26" i="3"/>
  <c r="AE26" i="3" s="1"/>
  <c r="V46" i="3"/>
  <c r="X23" i="3"/>
  <c r="X43" i="3"/>
  <c r="W15" i="3"/>
  <c r="W35" i="3"/>
  <c r="V7" i="3"/>
  <c r="V27" i="3"/>
  <c r="AE27" i="3" s="1"/>
  <c r="V47" i="3"/>
  <c r="AE47" i="3" s="1"/>
  <c r="X4" i="3"/>
  <c r="X44" i="3"/>
  <c r="W16" i="3"/>
  <c r="W36" i="3"/>
  <c r="V28" i="3"/>
  <c r="AE28" i="3" s="1"/>
  <c r="V48" i="3"/>
  <c r="X5" i="3"/>
  <c r="X25" i="3"/>
  <c r="W17" i="3"/>
  <c r="V29" i="3"/>
  <c r="AE29" i="3" s="1"/>
  <c r="X46" i="3"/>
  <c r="X7" i="3"/>
  <c r="X47" i="3"/>
  <c r="W39" i="3"/>
  <c r="V31" i="3"/>
  <c r="AE31" i="3" s="1"/>
  <c r="X28" i="3"/>
  <c r="X48" i="3"/>
  <c r="W40" i="3"/>
  <c r="V32" i="3"/>
  <c r="AE32" i="3" s="1"/>
  <c r="X9" i="3"/>
  <c r="X49" i="3"/>
  <c r="W41" i="3"/>
  <c r="V33" i="3"/>
  <c r="AE33" i="3" s="1"/>
  <c r="X30" i="3"/>
  <c r="W22" i="3"/>
  <c r="W42" i="3"/>
  <c r="V14" i="3"/>
  <c r="AE14" i="3" s="1"/>
  <c r="AE34" i="3"/>
  <c r="X11" i="3"/>
  <c r="X31" i="3"/>
  <c r="W23" i="3"/>
  <c r="W43" i="3"/>
  <c r="V15" i="3"/>
  <c r="AE15" i="3" s="1"/>
  <c r="V35" i="3"/>
  <c r="X12" i="3"/>
  <c r="X32" i="3"/>
  <c r="W24" i="3"/>
  <c r="W44" i="3"/>
  <c r="V16" i="3"/>
  <c r="AE16" i="3" s="1"/>
  <c r="V36" i="3"/>
  <c r="AE36" i="3" s="1"/>
  <c r="X13" i="3"/>
  <c r="X33" i="3"/>
  <c r="W5" i="3"/>
  <c r="W25" i="3"/>
  <c r="W45" i="3"/>
  <c r="V17" i="3"/>
  <c r="AE17" i="3" s="1"/>
  <c r="V37" i="3"/>
  <c r="X14" i="3"/>
  <c r="X34" i="3"/>
  <c r="W4" i="3"/>
  <c r="V19" i="3"/>
  <c r="AE19" i="3" s="1"/>
  <c r="V20" i="3"/>
  <c r="V38" i="3"/>
  <c r="AE38" i="3" s="1"/>
  <c r="V39" i="3"/>
  <c r="X15" i="3"/>
  <c r="V40" i="3"/>
  <c r="X16" i="3"/>
  <c r="W6" i="3"/>
  <c r="W26" i="3"/>
  <c r="W46" i="3"/>
  <c r="X35" i="3"/>
  <c r="W7" i="3"/>
  <c r="W28" i="3"/>
  <c r="W48" i="3"/>
  <c r="X36" i="3"/>
  <c r="W8" i="3"/>
  <c r="W27" i="3"/>
  <c r="W47" i="3"/>
  <c r="V18" i="3"/>
  <c r="AE18" i="3" s="1"/>
  <c r="U23" i="3"/>
  <c r="U43" i="3"/>
  <c r="U24" i="3"/>
  <c r="U44" i="3"/>
  <c r="U5" i="3"/>
  <c r="U25" i="3"/>
  <c r="U6" i="3"/>
  <c r="U46" i="3"/>
  <c r="U27" i="3"/>
  <c r="U47" i="3"/>
  <c r="U28" i="3"/>
  <c r="U29" i="3"/>
  <c r="U49" i="3"/>
  <c r="U30" i="3"/>
  <c r="U11" i="3"/>
  <c r="U31" i="3"/>
  <c r="U13" i="3"/>
  <c r="U14" i="3"/>
  <c r="U15" i="3"/>
  <c r="U16" i="3"/>
  <c r="U17" i="3"/>
  <c r="U18" i="3"/>
  <c r="U39" i="3"/>
  <c r="U40" i="3"/>
  <c r="U41" i="3"/>
  <c r="U42" i="3"/>
  <c r="U4" i="3"/>
  <c r="U45" i="3"/>
  <c r="U26" i="3"/>
  <c r="U7" i="3"/>
  <c r="U8" i="3"/>
  <c r="U48" i="3"/>
  <c r="U10" i="3"/>
  <c r="U9" i="3"/>
  <c r="U12" i="3"/>
  <c r="U32" i="3"/>
  <c r="U33" i="3"/>
  <c r="U34" i="3"/>
  <c r="U35" i="3"/>
  <c r="U36" i="3"/>
  <c r="U37" i="3"/>
  <c r="U38" i="3"/>
  <c r="U19" i="3"/>
  <c r="U20" i="3"/>
  <c r="U21" i="3"/>
  <c r="U22" i="3"/>
  <c r="I37" i="3"/>
  <c r="I17" i="3"/>
  <c r="J24" i="3" a="1"/>
  <c r="J24" i="3" s="1"/>
  <c r="J42" i="3" a="1"/>
  <c r="J42" i="3" s="1"/>
  <c r="J22" i="3" a="1"/>
  <c r="J22" i="3" s="1"/>
  <c r="Q38" i="3"/>
  <c r="Q18" i="3"/>
  <c r="J4" i="3" a="1"/>
  <c r="J4" i="3" s="1"/>
  <c r="Q40" i="3"/>
  <c r="Q20" i="3"/>
  <c r="C12" i="3"/>
  <c r="I35" i="3"/>
  <c r="I15" i="3"/>
  <c r="D17" i="3"/>
  <c r="I34" i="3"/>
  <c r="I14" i="3"/>
  <c r="E11" i="3"/>
  <c r="I33" i="3"/>
  <c r="I13" i="3"/>
  <c r="J41" i="3" a="1"/>
  <c r="J41" i="3" s="1"/>
  <c r="J21" i="3" a="1"/>
  <c r="J21" i="3" s="1"/>
  <c r="Q37" i="3"/>
  <c r="Q17" i="3"/>
  <c r="O33" i="3"/>
  <c r="Q36" i="3"/>
  <c r="Q16" i="3"/>
  <c r="F12" i="3"/>
  <c r="I32" i="3"/>
  <c r="I12" i="3"/>
  <c r="J40" i="3" a="1"/>
  <c r="J40" i="3" s="1"/>
  <c r="J20" i="3" a="1"/>
  <c r="J20" i="3" s="1"/>
  <c r="H48" i="3"/>
  <c r="I31" i="3"/>
  <c r="I11" i="3"/>
  <c r="J39" i="3" a="1"/>
  <c r="J39" i="3" s="1"/>
  <c r="J19" i="3" a="1"/>
  <c r="J19" i="3" s="1"/>
  <c r="Q35" i="3"/>
  <c r="Q15" i="3"/>
  <c r="Q34" i="3"/>
  <c r="Q14" i="3"/>
  <c r="J17" i="3" a="1"/>
  <c r="J17" i="3" s="1"/>
  <c r="Q33" i="3"/>
  <c r="Q13" i="3"/>
  <c r="O17" i="3"/>
  <c r="O29" i="3"/>
  <c r="O49" i="3"/>
  <c r="O30" i="3"/>
  <c r="O13" i="3"/>
  <c r="O16" i="3"/>
  <c r="O48" i="3"/>
  <c r="O11" i="3"/>
  <c r="O19" i="3"/>
  <c r="O14" i="3"/>
  <c r="O47" i="3"/>
  <c r="O8" i="3"/>
  <c r="O10" i="3"/>
  <c r="O22" i="3"/>
  <c r="O15" i="3"/>
  <c r="O12" i="3"/>
  <c r="O31" i="3"/>
  <c r="O21" i="3"/>
  <c r="O38" i="3"/>
  <c r="O41" i="3"/>
  <c r="O7" i="3"/>
  <c r="O46" i="3"/>
  <c r="O34" i="3"/>
  <c r="O9" i="3"/>
  <c r="O4" i="3"/>
  <c r="O23" i="3"/>
  <c r="O40" i="3"/>
  <c r="O20" i="3"/>
  <c r="O25" i="3"/>
  <c r="O45" i="3"/>
  <c r="O36" i="3"/>
  <c r="O43" i="3"/>
  <c r="O26" i="3"/>
  <c r="O28" i="3"/>
  <c r="O24" i="3"/>
  <c r="O27" i="3"/>
  <c r="O37" i="3"/>
  <c r="O18" i="3"/>
  <c r="O39" i="3"/>
  <c r="O6" i="3"/>
  <c r="O5" i="3"/>
  <c r="O42" i="3"/>
  <c r="O35" i="3"/>
  <c r="O44" i="3"/>
  <c r="N48" i="3"/>
  <c r="N42" i="3"/>
  <c r="N17" i="3"/>
  <c r="N37" i="3"/>
  <c r="N45" i="3"/>
  <c r="N14" i="3"/>
  <c r="N28" i="3"/>
  <c r="N12" i="3"/>
  <c r="N24" i="3"/>
  <c r="N4" i="3"/>
  <c r="N23" i="3"/>
  <c r="N40" i="3"/>
  <c r="N39" i="3"/>
  <c r="N9" i="3"/>
  <c r="N21" i="3"/>
  <c r="N34" i="3"/>
  <c r="N19" i="3"/>
  <c r="N41" i="3"/>
  <c r="N27" i="3"/>
  <c r="N16" i="3"/>
  <c r="N36" i="3"/>
  <c r="N38" i="3"/>
  <c r="N44" i="3"/>
  <c r="N7" i="3"/>
  <c r="N5" i="3"/>
  <c r="N11" i="3"/>
  <c r="N15" i="3"/>
  <c r="N47" i="3"/>
  <c r="N31" i="3"/>
  <c r="N33" i="3"/>
  <c r="N26" i="3"/>
  <c r="N49" i="3"/>
  <c r="N25" i="3"/>
  <c r="N13" i="3"/>
  <c r="N18" i="3"/>
  <c r="N20" i="3"/>
  <c r="N46" i="3"/>
  <c r="N30" i="3"/>
  <c r="N29" i="3"/>
  <c r="N6" i="3"/>
  <c r="N35" i="3"/>
  <c r="N43" i="3"/>
  <c r="N32" i="3"/>
  <c r="N8" i="3"/>
  <c r="N22" i="3"/>
  <c r="N10" i="3"/>
  <c r="M47" i="3"/>
  <c r="K25" i="3"/>
  <c r="M32" i="3"/>
  <c r="K33" i="3"/>
  <c r="L16" i="3"/>
  <c r="K48" i="3"/>
  <c r="M12" i="3"/>
  <c r="M44" i="3"/>
  <c r="L21" i="3"/>
  <c r="M25" i="3"/>
  <c r="K28" i="3"/>
  <c r="M24" i="3"/>
  <c r="L36" i="3"/>
  <c r="K46" i="3"/>
  <c r="K45" i="3"/>
  <c r="K35" i="3"/>
  <c r="M4" i="3"/>
  <c r="M31" i="3"/>
  <c r="K8" i="3"/>
  <c r="L33" i="3"/>
  <c r="L37" i="3"/>
  <c r="K26" i="3"/>
  <c r="L17" i="3"/>
  <c r="L20" i="3"/>
  <c r="K31" i="3"/>
  <c r="L39" i="3"/>
  <c r="K7" i="3"/>
  <c r="K6" i="3"/>
  <c r="M21" i="3"/>
  <c r="K39" i="3"/>
  <c r="L38" i="3"/>
  <c r="M45" i="3"/>
  <c r="K34" i="3"/>
  <c r="K14" i="3"/>
  <c r="L19" i="3"/>
  <c r="M28" i="3"/>
  <c r="L18" i="3"/>
  <c r="M36" i="3"/>
  <c r="K15" i="3"/>
  <c r="M48" i="3"/>
  <c r="L27" i="3"/>
  <c r="K13" i="3"/>
  <c r="M15" i="3"/>
  <c r="M22" i="3"/>
  <c r="M5" i="3"/>
  <c r="L41" i="3"/>
  <c r="K36" i="3"/>
  <c r="K12" i="3"/>
  <c r="L24" i="3"/>
  <c r="M42" i="3"/>
  <c r="L40" i="3"/>
  <c r="L4" i="3"/>
  <c r="L23" i="3"/>
  <c r="L14" i="3"/>
  <c r="M16" i="3"/>
  <c r="L43" i="3"/>
  <c r="K44" i="3"/>
  <c r="K49" i="3"/>
  <c r="K10" i="3"/>
  <c r="M14" i="3"/>
  <c r="L44" i="3"/>
  <c r="K16" i="3"/>
  <c r="M35" i="3"/>
  <c r="L42" i="3"/>
  <c r="M41" i="3"/>
  <c r="M7" i="3"/>
  <c r="M26" i="3"/>
  <c r="M11" i="3"/>
  <c r="K9" i="3"/>
  <c r="M34" i="3"/>
  <c r="M27" i="3"/>
  <c r="M46" i="3"/>
  <c r="K30" i="3"/>
  <c r="K29" i="3"/>
  <c r="M6" i="3"/>
  <c r="K11" i="3"/>
  <c r="L22" i="3"/>
  <c r="K47" i="3"/>
  <c r="K27" i="3"/>
  <c r="L35" i="3"/>
  <c r="L15" i="3"/>
  <c r="M43" i="3"/>
  <c r="M23" i="3"/>
  <c r="L34" i="3"/>
  <c r="K5" i="3"/>
  <c r="L13" i="3"/>
  <c r="K24" i="3"/>
  <c r="K4" i="3"/>
  <c r="L32" i="3"/>
  <c r="L12" i="3"/>
  <c r="M40" i="3"/>
  <c r="M20" i="3"/>
  <c r="K43" i="3"/>
  <c r="K23" i="3"/>
  <c r="L31" i="3"/>
  <c r="L11" i="3"/>
  <c r="M39" i="3"/>
  <c r="M19" i="3"/>
  <c r="K42" i="3"/>
  <c r="K22" i="3"/>
  <c r="L30" i="3"/>
  <c r="L10" i="3"/>
  <c r="M38" i="3"/>
  <c r="M18" i="3"/>
  <c r="K41" i="3"/>
  <c r="K21" i="3"/>
  <c r="L49" i="3"/>
  <c r="L29" i="3"/>
  <c r="L9" i="3"/>
  <c r="M37" i="3"/>
  <c r="M17" i="3"/>
  <c r="K40" i="3"/>
  <c r="K20" i="3"/>
  <c r="L48" i="3"/>
  <c r="L28" i="3"/>
  <c r="L8" i="3"/>
  <c r="K19" i="3"/>
  <c r="L47" i="3"/>
  <c r="L7" i="3"/>
  <c r="K38" i="3"/>
  <c r="K18" i="3"/>
  <c r="L46" i="3"/>
  <c r="L26" i="3"/>
  <c r="L6" i="3"/>
  <c r="K37" i="3"/>
  <c r="K17" i="3"/>
  <c r="L45" i="3"/>
  <c r="L25" i="3"/>
  <c r="L5" i="3"/>
  <c r="M33" i="3"/>
  <c r="M13" i="3"/>
  <c r="M30" i="3"/>
  <c r="M10" i="3"/>
  <c r="M49" i="3"/>
  <c r="M29" i="3"/>
  <c r="M9" i="3"/>
  <c r="K32" i="3"/>
  <c r="M8" i="3"/>
  <c r="H46" i="3"/>
  <c r="B5" i="3"/>
  <c r="C9" i="3"/>
  <c r="D11" i="3"/>
  <c r="E9" i="3"/>
  <c r="H45" i="3"/>
  <c r="G46" i="3"/>
  <c r="B44" i="3"/>
  <c r="C6" i="3"/>
  <c r="E48" i="3"/>
  <c r="E6" i="3"/>
  <c r="H34" i="3"/>
  <c r="H30" i="3"/>
  <c r="G43" i="3"/>
  <c r="B41" i="3"/>
  <c r="D40" i="3"/>
  <c r="E45" i="3"/>
  <c r="G40" i="3"/>
  <c r="G5" i="3"/>
  <c r="B40" i="3"/>
  <c r="C43" i="3"/>
  <c r="D39" i="3"/>
  <c r="E44" i="3"/>
  <c r="F35" i="3"/>
  <c r="G37" i="3"/>
  <c r="H27" i="3"/>
  <c r="F19" i="3"/>
  <c r="G42" i="3"/>
  <c r="B39" i="3"/>
  <c r="C34" i="3"/>
  <c r="D38" i="3"/>
  <c r="E42" i="3"/>
  <c r="F34" i="3"/>
  <c r="G26" i="3"/>
  <c r="H26" i="3"/>
  <c r="F36" i="3"/>
  <c r="G39" i="3"/>
  <c r="B38" i="3"/>
  <c r="C33" i="3"/>
  <c r="D37" i="3"/>
  <c r="E40" i="3"/>
  <c r="F33" i="3"/>
  <c r="G25" i="3"/>
  <c r="H25" i="3"/>
  <c r="G35" i="3"/>
  <c r="B37" i="3"/>
  <c r="C29" i="3"/>
  <c r="D36" i="3"/>
  <c r="E31" i="3"/>
  <c r="F32" i="3"/>
  <c r="G23" i="3"/>
  <c r="H23" i="3"/>
  <c r="B35" i="3"/>
  <c r="C28" i="3"/>
  <c r="D35" i="3"/>
  <c r="E30" i="3"/>
  <c r="F31" i="3"/>
  <c r="G22" i="3"/>
  <c r="H15" i="3"/>
  <c r="B27" i="3"/>
  <c r="C27" i="3"/>
  <c r="D34" i="3"/>
  <c r="E26" i="3"/>
  <c r="F30" i="3"/>
  <c r="G18" i="3"/>
  <c r="H14" i="3"/>
  <c r="B6" i="3"/>
  <c r="C11" i="3"/>
  <c r="D13" i="3"/>
  <c r="E10" i="3"/>
  <c r="F7" i="3"/>
  <c r="G47" i="3"/>
  <c r="B45" i="3"/>
  <c r="B4" i="3"/>
  <c r="C8" i="3"/>
  <c r="E49" i="3"/>
  <c r="E8" i="3"/>
  <c r="H35" i="3"/>
  <c r="C49" i="3"/>
  <c r="G45" i="3"/>
  <c r="B43" i="3"/>
  <c r="C48" i="3"/>
  <c r="C5" i="3"/>
  <c r="E47" i="3"/>
  <c r="E5" i="3"/>
  <c r="G44" i="3"/>
  <c r="B42" i="3"/>
  <c r="C47" i="3"/>
  <c r="D41" i="3"/>
  <c r="E46" i="3"/>
  <c r="F49" i="3"/>
  <c r="H29" i="3"/>
  <c r="C45" i="3"/>
  <c r="F37" i="3"/>
  <c r="H28" i="3"/>
  <c r="B25" i="3"/>
  <c r="C26" i="3"/>
  <c r="D33" i="3"/>
  <c r="E25" i="3"/>
  <c r="F29" i="3"/>
  <c r="G17" i="3"/>
  <c r="H13" i="3"/>
  <c r="B24" i="3"/>
  <c r="C25" i="3"/>
  <c r="D31" i="3"/>
  <c r="E24" i="3"/>
  <c r="F27" i="3"/>
  <c r="G15" i="3"/>
  <c r="H12" i="3"/>
  <c r="B22" i="3"/>
  <c r="C23" i="3"/>
  <c r="D23" i="3"/>
  <c r="E23" i="3"/>
  <c r="F18" i="3"/>
  <c r="G7" i="3"/>
  <c r="H10" i="3"/>
  <c r="B21" i="3"/>
  <c r="C15" i="3"/>
  <c r="D21" i="3"/>
  <c r="E22" i="3"/>
  <c r="F16" i="3"/>
  <c r="G6" i="3"/>
  <c r="H9" i="3"/>
  <c r="AL9" i="3" s="1"/>
  <c r="B17" i="3"/>
  <c r="C14" i="3"/>
  <c r="D20" i="3"/>
  <c r="E20" i="3"/>
  <c r="F15" i="3"/>
  <c r="G4" i="3"/>
  <c r="H7" i="3"/>
  <c r="B15" i="3"/>
  <c r="C13" i="3"/>
  <c r="D18" i="3"/>
  <c r="E12" i="3"/>
  <c r="F13" i="3"/>
  <c r="H49" i="3"/>
  <c r="A3" i="3"/>
  <c r="H31" i="3"/>
  <c r="G19" i="3"/>
  <c r="F9" i="3"/>
  <c r="F38" i="3"/>
  <c r="E27" i="3"/>
  <c r="D14" i="3"/>
  <c r="D42" i="3"/>
  <c r="C30" i="3"/>
  <c r="B18" i="3"/>
  <c r="B46" i="3"/>
  <c r="H32" i="3"/>
  <c r="G20" i="3"/>
  <c r="F10" i="3"/>
  <c r="F39" i="3"/>
  <c r="E28" i="3"/>
  <c r="D15" i="3"/>
  <c r="D43" i="3"/>
  <c r="C31" i="3"/>
  <c r="B19" i="3"/>
  <c r="B47" i="3"/>
  <c r="H5" i="3"/>
  <c r="H33" i="3"/>
  <c r="G21" i="3"/>
  <c r="F11" i="3"/>
  <c r="F47" i="3"/>
  <c r="E29" i="3"/>
  <c r="D16" i="3"/>
  <c r="C32" i="3"/>
  <c r="B20" i="3"/>
  <c r="G38" i="3"/>
  <c r="B26" i="3"/>
  <c r="C46" i="3"/>
  <c r="C10" i="3"/>
  <c r="D22" i="3"/>
  <c r="E43" i="3"/>
  <c r="E7" i="3"/>
  <c r="F17" i="3"/>
  <c r="G27" i="3"/>
  <c r="H47" i="3"/>
  <c r="H11" i="3"/>
  <c r="B23" i="3"/>
  <c r="C35" i="3"/>
  <c r="C7" i="3"/>
  <c r="D19" i="3"/>
  <c r="E32" i="3"/>
  <c r="E4" i="3"/>
  <c r="F14" i="3"/>
  <c r="G24" i="3"/>
  <c r="H43" i="3"/>
  <c r="H8" i="3"/>
  <c r="AL8" i="3" s="1"/>
  <c r="G41" i="3"/>
  <c r="B36" i="3"/>
  <c r="B16" i="3"/>
  <c r="C44" i="3"/>
  <c r="C24" i="3"/>
  <c r="C4" i="3"/>
  <c r="D32" i="3"/>
  <c r="D12" i="3"/>
  <c r="E41" i="3"/>
  <c r="E21" i="3"/>
  <c r="F48" i="3"/>
  <c r="F28" i="3"/>
  <c r="F8" i="3"/>
  <c r="G36" i="3"/>
  <c r="G16" i="3"/>
  <c r="H44" i="3"/>
  <c r="H24" i="3"/>
  <c r="H4" i="3"/>
  <c r="B34" i="3"/>
  <c r="B14" i="3"/>
  <c r="C42" i="3"/>
  <c r="C22" i="3"/>
  <c r="D30" i="3"/>
  <c r="D10" i="3"/>
  <c r="E39" i="3"/>
  <c r="E19" i="3"/>
  <c r="F46" i="3"/>
  <c r="F26" i="3"/>
  <c r="F6" i="3"/>
  <c r="G34" i="3"/>
  <c r="G14" i="3"/>
  <c r="H42" i="3"/>
  <c r="H22" i="3"/>
  <c r="B33" i="3"/>
  <c r="B13" i="3"/>
  <c r="C41" i="3"/>
  <c r="C21" i="3"/>
  <c r="D49" i="3"/>
  <c r="D29" i="3"/>
  <c r="D9" i="3"/>
  <c r="E38" i="3"/>
  <c r="E18" i="3"/>
  <c r="F45" i="3"/>
  <c r="F25" i="3"/>
  <c r="F5" i="3"/>
  <c r="G33" i="3"/>
  <c r="G13" i="3"/>
  <c r="H41" i="3"/>
  <c r="H21" i="3"/>
  <c r="B32" i="3"/>
  <c r="B12" i="3"/>
  <c r="C40" i="3"/>
  <c r="C20" i="3"/>
  <c r="D48" i="3"/>
  <c r="D28" i="3"/>
  <c r="D8" i="3"/>
  <c r="E37" i="3"/>
  <c r="E17" i="3"/>
  <c r="F44" i="3"/>
  <c r="F24" i="3"/>
  <c r="F4" i="3"/>
  <c r="G32" i="3"/>
  <c r="G12" i="3"/>
  <c r="H40" i="3"/>
  <c r="H20" i="3"/>
  <c r="AL20" i="3" s="1"/>
  <c r="B31" i="3"/>
  <c r="B11" i="3"/>
  <c r="C39" i="3"/>
  <c r="C19" i="3"/>
  <c r="D47" i="3"/>
  <c r="D27" i="3"/>
  <c r="D7" i="3"/>
  <c r="E36" i="3"/>
  <c r="E16" i="3"/>
  <c r="F43" i="3"/>
  <c r="F23" i="3"/>
  <c r="G31" i="3"/>
  <c r="G11" i="3"/>
  <c r="H39" i="3"/>
  <c r="H19" i="3"/>
  <c r="AL19" i="3" s="1"/>
  <c r="B30" i="3"/>
  <c r="B10" i="3"/>
  <c r="C38" i="3"/>
  <c r="C18" i="3"/>
  <c r="D46" i="3"/>
  <c r="D26" i="3"/>
  <c r="D6" i="3"/>
  <c r="E35" i="3"/>
  <c r="E15" i="3"/>
  <c r="F42" i="3"/>
  <c r="F22" i="3"/>
  <c r="G30" i="3"/>
  <c r="G10" i="3"/>
  <c r="H38" i="3"/>
  <c r="H18" i="3"/>
  <c r="B49" i="3"/>
  <c r="B29" i="3"/>
  <c r="B9" i="3"/>
  <c r="C37" i="3"/>
  <c r="C17" i="3"/>
  <c r="D45" i="3"/>
  <c r="D25" i="3"/>
  <c r="D5" i="3"/>
  <c r="E34" i="3"/>
  <c r="E14" i="3"/>
  <c r="F41" i="3"/>
  <c r="F21" i="3"/>
  <c r="G49" i="3"/>
  <c r="G29" i="3"/>
  <c r="G9" i="3"/>
  <c r="H37" i="3"/>
  <c r="H17" i="3"/>
  <c r="B48" i="3"/>
  <c r="B28" i="3"/>
  <c r="B8" i="3"/>
  <c r="C36" i="3"/>
  <c r="C16" i="3"/>
  <c r="D44" i="3"/>
  <c r="D24" i="3"/>
  <c r="D4" i="3"/>
  <c r="E33" i="3"/>
  <c r="E13" i="3"/>
  <c r="F40" i="3"/>
  <c r="F20" i="3"/>
  <c r="G48" i="3"/>
  <c r="G28" i="3"/>
  <c r="G8" i="3"/>
  <c r="H36" i="3"/>
  <c r="H16" i="3"/>
  <c r="AL11" i="3" l="1"/>
  <c r="AM32" i="3"/>
  <c r="AL16" i="3"/>
  <c r="AL47" i="3"/>
  <c r="AL28" i="3"/>
  <c r="AL43" i="3"/>
  <c r="AM4" i="3"/>
  <c r="AM30" i="3"/>
  <c r="AM19" i="3"/>
  <c r="AM45" i="3"/>
  <c r="AM10" i="3"/>
  <c r="AM18" i="3"/>
  <c r="AM25" i="3"/>
  <c r="AM37" i="3"/>
  <c r="AM6" i="3"/>
  <c r="AL14" i="3"/>
  <c r="AM21" i="3"/>
  <c r="AL30" i="3"/>
  <c r="AL29" i="3"/>
  <c r="AL23" i="3"/>
  <c r="P25" i="3"/>
  <c r="R25" i="3" s="1"/>
  <c r="AM17" i="3"/>
  <c r="AM5" i="3"/>
  <c r="AL33" i="3"/>
  <c r="AL10" i="3"/>
  <c r="AL40" i="3"/>
  <c r="AL4" i="3"/>
  <c r="AL24" i="3"/>
  <c r="AL25" i="3"/>
  <c r="AL37" i="3"/>
  <c r="AL5" i="3"/>
  <c r="AL31" i="3"/>
  <c r="AL35" i="3"/>
  <c r="AM12" i="3"/>
  <c r="AL21" i="3"/>
  <c r="S49" i="3"/>
  <c r="Y49" i="3" s="1"/>
  <c r="AL49" i="3"/>
  <c r="AM20" i="3"/>
  <c r="AM48" i="3"/>
  <c r="AL36" i="3"/>
  <c r="AL41" i="3"/>
  <c r="AL26" i="3"/>
  <c r="AM41" i="3"/>
  <c r="AM9" i="3"/>
  <c r="AM43" i="3"/>
  <c r="AM22" i="3"/>
  <c r="AM23" i="3"/>
  <c r="AM24" i="3"/>
  <c r="AM38" i="3"/>
  <c r="AM28" i="3"/>
  <c r="AL12" i="3"/>
  <c r="AM26" i="3"/>
  <c r="AM44" i="3"/>
  <c r="AM14" i="3"/>
  <c r="AL6" i="3"/>
  <c r="AM39" i="3"/>
  <c r="AM46" i="3"/>
  <c r="AL7" i="3"/>
  <c r="AM42" i="3"/>
  <c r="AM8" i="3"/>
  <c r="AM29" i="3"/>
  <c r="AL39" i="3"/>
  <c r="AL27" i="3"/>
  <c r="AL45" i="3"/>
  <c r="AM33" i="3"/>
  <c r="AM27" i="3"/>
  <c r="AL18" i="3"/>
  <c r="AL13" i="3"/>
  <c r="AM31" i="3"/>
  <c r="AM15" i="3"/>
  <c r="AM47" i="3"/>
  <c r="AM49" i="3"/>
  <c r="AL34" i="3"/>
  <c r="AL32" i="3"/>
  <c r="AM13" i="3"/>
  <c r="AM34" i="3"/>
  <c r="AM16" i="3"/>
  <c r="S22" i="3"/>
  <c r="Y22" i="3" s="1"/>
  <c r="AL22" i="3"/>
  <c r="AM36" i="3"/>
  <c r="AM7" i="3"/>
  <c r="S44" i="3"/>
  <c r="Y44" i="3" s="1"/>
  <c r="AL44" i="3"/>
  <c r="AM11" i="3"/>
  <c r="AL46" i="3"/>
  <c r="AL48" i="3"/>
  <c r="AM35" i="3"/>
  <c r="AL17" i="3"/>
  <c r="AL42" i="3"/>
  <c r="AL15" i="3"/>
  <c r="S15" i="3"/>
  <c r="Y15" i="3" s="1"/>
  <c r="K3" i="3"/>
  <c r="AH3" i="3"/>
  <c r="S38" i="3"/>
  <c r="Y38" i="3" s="1"/>
  <c r="S46" i="3"/>
  <c r="Y46" i="3" s="1"/>
  <c r="P5" i="3"/>
  <c r="R5" i="3" s="1"/>
  <c r="S48" i="3"/>
  <c r="Y48" i="3" s="1"/>
  <c r="AB8" i="3"/>
  <c r="Z8" i="3"/>
  <c r="AA8" i="3"/>
  <c r="AA14" i="3"/>
  <c r="Z14" i="3"/>
  <c r="AB14" i="3"/>
  <c r="AA17" i="3"/>
  <c r="AB17" i="3"/>
  <c r="Z17" i="3"/>
  <c r="Z48" i="3"/>
  <c r="AB48" i="3"/>
  <c r="AA48" i="3"/>
  <c r="AA19" i="3"/>
  <c r="AB19" i="3"/>
  <c r="Z19" i="3"/>
  <c r="Z27" i="3"/>
  <c r="AB27" i="3"/>
  <c r="AA27" i="3"/>
  <c r="Z33" i="3"/>
  <c r="AA33" i="3"/>
  <c r="AB33" i="3"/>
  <c r="AB37" i="3"/>
  <c r="AA37" i="3"/>
  <c r="Z37" i="3"/>
  <c r="AB7" i="3"/>
  <c r="Z7" i="3"/>
  <c r="AA7" i="3"/>
  <c r="AB21" i="3"/>
  <c r="AA21" i="3"/>
  <c r="Z21" i="3"/>
  <c r="Z47" i="3"/>
  <c r="AB47" i="3"/>
  <c r="AA47" i="3"/>
  <c r="S11" i="3"/>
  <c r="Y11" i="3" s="1"/>
  <c r="AB40" i="3"/>
  <c r="AA40" i="3"/>
  <c r="Z40" i="3"/>
  <c r="Z28" i="3"/>
  <c r="AB28" i="3"/>
  <c r="AA28" i="3"/>
  <c r="AA34" i="3"/>
  <c r="Z34" i="3"/>
  <c r="AB34" i="3"/>
  <c r="AB39" i="3"/>
  <c r="AA39" i="3"/>
  <c r="Z39" i="3"/>
  <c r="AA12" i="3"/>
  <c r="Z12" i="3"/>
  <c r="AB12" i="3"/>
  <c r="AA35" i="3"/>
  <c r="Z35" i="3"/>
  <c r="AB35" i="3"/>
  <c r="Z6" i="3"/>
  <c r="AB6" i="3"/>
  <c r="AA6" i="3"/>
  <c r="AA32" i="3"/>
  <c r="Z32" i="3"/>
  <c r="AB32" i="3"/>
  <c r="Z43" i="3"/>
  <c r="AA43" i="3"/>
  <c r="AB43" i="3"/>
  <c r="AB16" i="3"/>
  <c r="AA16" i="3"/>
  <c r="Z16" i="3"/>
  <c r="Z42" i="3"/>
  <c r="AB42" i="3"/>
  <c r="AA42" i="3"/>
  <c r="AA11" i="3"/>
  <c r="Z11" i="3"/>
  <c r="AB11" i="3"/>
  <c r="Z26" i="3"/>
  <c r="AB26" i="3"/>
  <c r="AA26" i="3"/>
  <c r="Z15" i="3"/>
  <c r="AA15" i="3"/>
  <c r="AB15" i="3"/>
  <c r="AA18" i="3"/>
  <c r="AB18" i="3"/>
  <c r="Z18" i="3"/>
  <c r="AB46" i="3"/>
  <c r="Z46" i="3"/>
  <c r="AA46" i="3"/>
  <c r="AB23" i="3"/>
  <c r="Z23" i="3"/>
  <c r="AA23" i="3"/>
  <c r="Z10" i="3"/>
  <c r="AA10" i="3"/>
  <c r="AB10" i="3"/>
  <c r="Z22" i="3"/>
  <c r="AB22" i="3"/>
  <c r="AA22" i="3"/>
  <c r="AB38" i="3"/>
  <c r="AA38" i="3"/>
  <c r="Z38" i="3"/>
  <c r="AB5" i="3"/>
  <c r="Z5" i="3"/>
  <c r="AA5" i="3"/>
  <c r="AA30" i="3"/>
  <c r="Z30" i="3"/>
  <c r="AB30" i="3"/>
  <c r="Z25" i="3"/>
  <c r="AB25" i="3"/>
  <c r="AA25" i="3"/>
  <c r="AB41" i="3"/>
  <c r="AA41" i="3"/>
  <c r="Z41" i="3"/>
  <c r="AA13" i="3"/>
  <c r="Z13" i="3"/>
  <c r="AB13" i="3"/>
  <c r="AB45" i="3"/>
  <c r="Z45" i="3"/>
  <c r="AA45" i="3"/>
  <c r="AB36" i="3"/>
  <c r="AA36" i="3"/>
  <c r="Z36" i="3"/>
  <c r="AB4" i="3"/>
  <c r="Z4" i="3"/>
  <c r="AA4" i="3"/>
  <c r="AA9" i="3"/>
  <c r="Z9" i="3"/>
  <c r="AB9" i="3"/>
  <c r="Z24" i="3"/>
  <c r="AB24" i="3"/>
  <c r="AA24" i="3"/>
  <c r="AA29" i="3"/>
  <c r="Z29" i="3"/>
  <c r="AB29" i="3"/>
  <c r="AA20" i="3"/>
  <c r="AB20" i="3"/>
  <c r="Z20" i="3"/>
  <c r="AB44" i="3"/>
  <c r="Z44" i="3"/>
  <c r="AA44" i="3"/>
  <c r="AA49" i="3"/>
  <c r="Z49" i="3"/>
  <c r="AB49" i="3"/>
  <c r="Z31" i="3"/>
  <c r="AA31" i="3"/>
  <c r="AB31" i="3"/>
  <c r="S10" i="3"/>
  <c r="Y10" i="3" s="1"/>
  <c r="S37" i="3"/>
  <c r="Y37" i="3" s="1"/>
  <c r="P16" i="3"/>
  <c r="R16" i="3" s="1"/>
  <c r="S17" i="3"/>
  <c r="Y17" i="3" s="1"/>
  <c r="S20" i="3"/>
  <c r="Y20" i="3" s="1"/>
  <c r="S47" i="3"/>
  <c r="Y47" i="3" s="1"/>
  <c r="S29" i="3"/>
  <c r="Y29" i="3" s="1"/>
  <c r="S23" i="3"/>
  <c r="Y23" i="3" s="1"/>
  <c r="S34" i="3"/>
  <c r="Y34" i="3" s="1"/>
  <c r="S26" i="3"/>
  <c r="Y26" i="3" s="1"/>
  <c r="S4" i="3"/>
  <c r="Y4" i="3" s="1"/>
  <c r="P32" i="3"/>
  <c r="R32" i="3" s="1"/>
  <c r="S36" i="3"/>
  <c r="Y36" i="3" s="1"/>
  <c r="S41" i="3"/>
  <c r="Y41" i="3" s="1"/>
  <c r="S7" i="3"/>
  <c r="Y7" i="3" s="1"/>
  <c r="S12" i="3"/>
  <c r="Y12" i="3" s="1"/>
  <c r="S32" i="3"/>
  <c r="Y32" i="3" s="1"/>
  <c r="S19" i="3"/>
  <c r="Y19" i="3" s="1"/>
  <c r="S8" i="3"/>
  <c r="Y8" i="3" s="1"/>
  <c r="S27" i="3"/>
  <c r="Y27" i="3" s="1"/>
  <c r="S45" i="3"/>
  <c r="Y45" i="3" s="1"/>
  <c r="S40" i="3"/>
  <c r="Y40" i="3" s="1"/>
  <c r="T10" i="3"/>
  <c r="T46" i="3"/>
  <c r="T23" i="3"/>
  <c r="N3" i="3"/>
  <c r="O3" i="3"/>
  <c r="T27" i="3"/>
  <c r="S5" i="3"/>
  <c r="Y5" i="3" s="1"/>
  <c r="S31" i="3"/>
  <c r="Y31" i="3" s="1"/>
  <c r="S35" i="3"/>
  <c r="Y35" i="3" s="1"/>
  <c r="T7" i="3"/>
  <c r="S42" i="3"/>
  <c r="Y42" i="3" s="1"/>
  <c r="S33" i="3"/>
  <c r="Y33" i="3" s="1"/>
  <c r="T21" i="3"/>
  <c r="T47" i="3"/>
  <c r="P29" i="3"/>
  <c r="R29" i="3" s="1"/>
  <c r="S16" i="3"/>
  <c r="Y16" i="3" s="1"/>
  <c r="S21" i="3"/>
  <c r="Y21" i="3" s="1"/>
  <c r="T12" i="3"/>
  <c r="S28" i="3"/>
  <c r="Y28" i="3" s="1"/>
  <c r="S30" i="3"/>
  <c r="Y30" i="3" s="1"/>
  <c r="S39" i="3"/>
  <c r="Y39" i="3" s="1"/>
  <c r="S14" i="3"/>
  <c r="Y14" i="3" s="1"/>
  <c r="S43" i="3"/>
  <c r="Y43" i="3" s="1"/>
  <c r="T49" i="3"/>
  <c r="S24" i="3"/>
  <c r="Y24" i="3" s="1"/>
  <c r="T16" i="3"/>
  <c r="S25" i="3"/>
  <c r="Y25" i="3" s="1"/>
  <c r="T8" i="3"/>
  <c r="T14" i="3"/>
  <c r="S9" i="3"/>
  <c r="Y9" i="3" s="1"/>
  <c r="S6" i="3"/>
  <c r="Y6" i="3" s="1"/>
  <c r="S18" i="3"/>
  <c r="Y18" i="3" s="1"/>
  <c r="T28" i="3"/>
  <c r="S13" i="3"/>
  <c r="Y13" i="3" s="1"/>
  <c r="T34" i="3"/>
  <c r="T39" i="3"/>
  <c r="P14" i="3"/>
  <c r="R14" i="3" s="1"/>
  <c r="T48" i="3"/>
  <c r="T19" i="3"/>
  <c r="T17" i="3"/>
  <c r="T37" i="3"/>
  <c r="P31" i="3"/>
  <c r="R31" i="3" s="1"/>
  <c r="P8" i="3"/>
  <c r="R8" i="3" s="1"/>
  <c r="T40" i="3"/>
  <c r="P49" i="3"/>
  <c r="R49" i="3" s="1"/>
  <c r="T35" i="3"/>
  <c r="P10" i="3"/>
  <c r="R10" i="3" s="1"/>
  <c r="T6" i="3"/>
  <c r="T32" i="3"/>
  <c r="T43" i="3"/>
  <c r="P30" i="3"/>
  <c r="R30" i="3" s="1"/>
  <c r="T26" i="3"/>
  <c r="T15" i="3"/>
  <c r="T18" i="3"/>
  <c r="T33" i="3"/>
  <c r="T5" i="3"/>
  <c r="T30" i="3"/>
  <c r="P44" i="3"/>
  <c r="R44" i="3" s="1"/>
  <c r="T25" i="3"/>
  <c r="T41" i="3"/>
  <c r="T13" i="3"/>
  <c r="T45" i="3"/>
  <c r="T36" i="3"/>
  <c r="T4" i="3"/>
  <c r="T9" i="3"/>
  <c r="T24" i="3"/>
  <c r="T29" i="3"/>
  <c r="T20" i="3"/>
  <c r="P28" i="3"/>
  <c r="R28" i="3" s="1"/>
  <c r="T22" i="3"/>
  <c r="T38" i="3"/>
  <c r="T44" i="3"/>
  <c r="T31" i="3"/>
  <c r="T42" i="3"/>
  <c r="T11" i="3"/>
  <c r="M3" i="3"/>
  <c r="P21" i="3"/>
  <c r="R21" i="3" s="1"/>
  <c r="P11" i="3"/>
  <c r="R11" i="3" s="1"/>
  <c r="P18" i="3"/>
  <c r="R18" i="3" s="1"/>
  <c r="P38" i="3"/>
  <c r="R38" i="3" s="1"/>
  <c r="P47" i="3"/>
  <c r="R47" i="3" s="1"/>
  <c r="P13" i="3"/>
  <c r="R13" i="3" s="1"/>
  <c r="P17" i="3"/>
  <c r="R17" i="3" s="1"/>
  <c r="P20" i="3"/>
  <c r="R20" i="3" s="1"/>
  <c r="P46" i="3"/>
  <c r="R46" i="3" s="1"/>
  <c r="P33" i="3"/>
  <c r="R33" i="3" s="1"/>
  <c r="P37" i="3"/>
  <c r="R37" i="3" s="1"/>
  <c r="P40" i="3"/>
  <c r="R40" i="3" s="1"/>
  <c r="P27" i="3"/>
  <c r="R27" i="3" s="1"/>
  <c r="P45" i="3"/>
  <c r="R45" i="3" s="1"/>
  <c r="P6" i="3"/>
  <c r="R6" i="3" s="1"/>
  <c r="P34" i="3"/>
  <c r="R34" i="3" s="1"/>
  <c r="P24" i="3"/>
  <c r="R24" i="3" s="1"/>
  <c r="P42" i="3"/>
  <c r="R42" i="3" s="1"/>
  <c r="P12" i="3"/>
  <c r="R12" i="3" s="1"/>
  <c r="P26" i="3"/>
  <c r="R26" i="3" s="1"/>
  <c r="P41" i="3"/>
  <c r="R41" i="3" s="1"/>
  <c r="P23" i="3"/>
  <c r="R23" i="3" s="1"/>
  <c r="P22" i="3"/>
  <c r="R22" i="3" s="1"/>
  <c r="P43" i="3"/>
  <c r="R43" i="3" s="1"/>
  <c r="P35" i="3"/>
  <c r="R35" i="3" s="1"/>
  <c r="P15" i="3"/>
  <c r="R15" i="3" s="1"/>
  <c r="P4" i="3"/>
  <c r="R4" i="3" s="1"/>
  <c r="P19" i="3"/>
  <c r="R19" i="3" s="1"/>
  <c r="P48" i="3"/>
  <c r="R48" i="3" s="1"/>
  <c r="P9" i="3"/>
  <c r="R9" i="3" s="1"/>
  <c r="P36" i="3"/>
  <c r="R36" i="3" s="1"/>
  <c r="P39" i="3"/>
  <c r="R39" i="3" s="1"/>
  <c r="B3" i="3"/>
  <c r="W3" i="3"/>
  <c r="V3" i="3"/>
  <c r="AE3" i="3" s="1"/>
  <c r="X3" i="3"/>
  <c r="U3" i="3"/>
  <c r="AD39" i="3" s="1"/>
  <c r="J3" i="3" a="1"/>
  <c r="J3" i="3" s="1"/>
  <c r="I3" i="3"/>
  <c r="AM3" i="3" s="1"/>
  <c r="Q3" i="3"/>
  <c r="AC8" i="3" s="1"/>
  <c r="L3" i="3"/>
  <c r="P7" i="3"/>
  <c r="R7" i="3" s="1"/>
  <c r="G3" i="3"/>
  <c r="C3" i="3"/>
  <c r="D3" i="3"/>
  <c r="F3" i="3"/>
  <c r="E3" i="3"/>
  <c r="H3" i="3"/>
  <c r="AL3" i="3" l="1"/>
  <c r="AD18" i="3"/>
  <c r="AE44" i="3"/>
  <c r="AC31" i="3"/>
  <c r="AC24" i="3"/>
  <c r="AD31" i="3"/>
  <c r="AE8" i="3"/>
  <c r="AE46" i="3"/>
  <c r="AE20" i="3"/>
  <c r="AE49" i="3"/>
  <c r="AE35" i="3"/>
  <c r="AE40" i="3"/>
  <c r="AE39" i="3"/>
  <c r="AD42" i="3"/>
  <c r="AD29" i="3"/>
  <c r="AC23" i="3"/>
  <c r="AC47" i="3"/>
  <c r="AD23" i="3"/>
  <c r="AD48" i="3"/>
  <c r="AE6" i="3"/>
  <c r="AD45" i="3"/>
  <c r="AD20" i="3"/>
  <c r="AC5" i="3"/>
  <c r="AC38" i="3"/>
  <c r="AE43" i="3"/>
  <c r="AD43" i="3"/>
  <c r="AD37" i="3"/>
  <c r="AD13" i="3"/>
  <c r="AD32" i="3"/>
  <c r="AC41" i="3"/>
  <c r="AD26" i="3"/>
  <c r="AC4" i="3"/>
  <c r="AD4" i="3"/>
  <c r="AC6" i="3"/>
  <c r="AD33" i="3"/>
  <c r="AD8" i="3"/>
  <c r="AC49" i="3"/>
  <c r="AC25" i="3"/>
  <c r="AD22" i="3"/>
  <c r="AC18" i="3"/>
  <c r="AC42" i="3"/>
  <c r="AD6" i="3"/>
  <c r="AC33" i="3"/>
  <c r="AE45" i="3"/>
  <c r="AD9" i="3"/>
  <c r="AC30" i="3"/>
  <c r="AC21" i="3"/>
  <c r="AD27" i="3"/>
  <c r="AE5" i="3"/>
  <c r="AD44" i="3"/>
  <c r="AC9" i="3"/>
  <c r="AC34" i="3"/>
  <c r="AE48" i="3"/>
  <c r="AC45" i="3"/>
  <c r="AD16" i="3"/>
  <c r="AE42" i="3"/>
  <c r="AD34" i="3"/>
  <c r="AC44" i="3"/>
  <c r="AD21" i="3"/>
  <c r="AD17" i="3"/>
  <c r="AD30" i="3"/>
  <c r="AD10" i="3"/>
  <c r="AC16" i="3"/>
  <c r="AC27" i="3"/>
  <c r="AC20" i="3"/>
  <c r="AD5" i="3"/>
  <c r="AE7" i="3"/>
  <c r="AC15" i="3"/>
  <c r="AC35" i="3"/>
  <c r="AD28" i="3"/>
  <c r="AE23" i="3"/>
  <c r="AC17" i="3"/>
  <c r="AC10" i="3"/>
  <c r="AC13" i="3"/>
  <c r="AD15" i="3"/>
  <c r="AD35" i="3"/>
  <c r="AD7" i="3"/>
  <c r="AE37" i="3"/>
  <c r="AC28" i="3"/>
  <c r="AC7" i="3"/>
  <c r="AC19" i="3"/>
  <c r="AC40" i="3"/>
  <c r="AC14" i="3"/>
  <c r="AC29" i="3"/>
  <c r="AD41" i="3"/>
  <c r="AD46" i="3"/>
  <c r="AC26" i="3"/>
  <c r="AC43" i="3"/>
  <c r="AC12" i="3"/>
  <c r="AD19" i="3"/>
  <c r="AD14" i="3"/>
  <c r="AD12" i="3"/>
  <c r="AD40" i="3"/>
  <c r="AC37" i="3"/>
  <c r="AD49" i="3"/>
  <c r="AC36" i="3"/>
  <c r="AD38" i="3"/>
  <c r="AC46" i="3"/>
  <c r="AC39" i="3"/>
  <c r="AD36" i="3"/>
  <c r="AD25" i="3"/>
  <c r="AC22" i="3"/>
  <c r="AC11" i="3"/>
  <c r="AD47" i="3"/>
  <c r="AD3" i="3"/>
  <c r="AB3" i="3"/>
  <c r="AA3" i="3"/>
  <c r="AC3" i="3"/>
  <c r="Z3" i="3"/>
  <c r="AD24" i="3"/>
  <c r="AE4" i="3"/>
  <c r="AD11" i="3"/>
  <c r="AC32" i="3"/>
  <c r="AC48" i="3"/>
  <c r="S3" i="3"/>
  <c r="P3" i="3"/>
  <c r="R3" i="3" s="1"/>
  <c r="T3" i="3"/>
  <c r="AF18" i="3" l="1"/>
  <c r="AK18" i="3" s="1"/>
  <c r="AP18" i="3" s="1"/>
  <c r="Y3" i="3"/>
  <c r="AF3" i="3" s="1"/>
  <c r="AF31" i="3"/>
  <c r="AG31" i="3" s="1"/>
  <c r="AI31" i="3" s="1"/>
  <c r="AF14" i="3"/>
  <c r="AF20" i="3"/>
  <c r="AF19" i="3"/>
  <c r="AF44" i="3"/>
  <c r="AF26" i="3"/>
  <c r="AF21" i="3"/>
  <c r="AF41" i="3"/>
  <c r="AF16" i="3"/>
  <c r="AF33" i="3"/>
  <c r="AF30" i="3"/>
  <c r="AF8" i="3"/>
  <c r="AF29" i="3"/>
  <c r="AF24" i="3"/>
  <c r="AF39" i="3"/>
  <c r="AF23" i="3"/>
  <c r="AF40" i="3"/>
  <c r="AF42" i="3"/>
  <c r="AF32" i="3"/>
  <c r="AF37" i="3"/>
  <c r="AF4" i="3"/>
  <c r="AF27" i="3"/>
  <c r="AF36" i="3"/>
  <c r="AF17" i="3"/>
  <c r="AF34" i="3"/>
  <c r="AF43" i="3"/>
  <c r="AF45" i="3"/>
  <c r="AF12" i="3"/>
  <c r="AF38" i="3"/>
  <c r="AF47" i="3"/>
  <c r="AF35" i="3"/>
  <c r="AF10" i="3"/>
  <c r="AF28" i="3"/>
  <c r="AF11" i="3"/>
  <c r="AF46" i="3"/>
  <c r="AF48" i="3"/>
  <c r="AF49" i="3"/>
  <c r="AF22" i="3"/>
  <c r="AF25" i="3"/>
  <c r="AF9" i="3"/>
  <c r="AF5" i="3"/>
  <c r="AF7" i="3"/>
  <c r="AF15" i="3"/>
  <c r="AF13" i="3"/>
  <c r="AF6" i="3"/>
  <c r="AG18" i="3" l="1"/>
  <c r="AI18" i="3" s="1"/>
  <c r="AK31" i="3"/>
  <c r="AP31" i="3" s="1"/>
  <c r="AG28" i="3"/>
  <c r="AI28" i="3" s="1"/>
  <c r="AK28" i="3"/>
  <c r="AP28" i="3" s="1"/>
  <c r="AG47" i="3"/>
  <c r="AI47" i="3" s="1"/>
  <c r="AK47" i="3"/>
  <c r="AP47" i="3" s="1"/>
  <c r="AG29" i="3"/>
  <c r="AI29" i="3" s="1"/>
  <c r="AK29" i="3"/>
  <c r="AP29" i="3" s="1"/>
  <c r="AG35" i="3"/>
  <c r="AI35" i="3" s="1"/>
  <c r="AK35" i="3"/>
  <c r="AP35" i="3" s="1"/>
  <c r="AG41" i="3"/>
  <c r="AI41" i="3" s="1"/>
  <c r="AK41" i="3"/>
  <c r="AP41" i="3" s="1"/>
  <c r="AG39" i="3"/>
  <c r="AI39" i="3" s="1"/>
  <c r="AK39" i="3"/>
  <c r="AP39" i="3" s="1"/>
  <c r="AG38" i="3"/>
  <c r="AI38" i="3" s="1"/>
  <c r="AK38" i="3"/>
  <c r="AP38" i="3" s="1"/>
  <c r="AG23" i="3"/>
  <c r="AI23" i="3" s="1"/>
  <c r="AK23" i="3"/>
  <c r="AP23" i="3" s="1"/>
  <c r="AG11" i="3"/>
  <c r="AI11" i="3" s="1"/>
  <c r="AK11" i="3"/>
  <c r="AP11" i="3" s="1"/>
  <c r="AG3" i="3"/>
  <c r="AI3" i="3" s="1"/>
  <c r="AK3" i="3"/>
  <c r="AP3" i="3" s="1"/>
  <c r="AG12" i="3"/>
  <c r="AI12" i="3" s="1"/>
  <c r="AK12" i="3"/>
  <c r="AP12" i="3" s="1"/>
  <c r="AG34" i="3"/>
  <c r="AI34" i="3" s="1"/>
  <c r="AK34" i="3"/>
  <c r="AP34" i="3" s="1"/>
  <c r="AG48" i="3"/>
  <c r="AI48" i="3" s="1"/>
  <c r="AK48" i="3"/>
  <c r="AP48" i="3" s="1"/>
  <c r="AG24" i="3"/>
  <c r="AI24" i="3" s="1"/>
  <c r="AK24" i="3"/>
  <c r="AP24" i="3" s="1"/>
  <c r="AG10" i="3"/>
  <c r="AI10" i="3" s="1"/>
  <c r="AK10" i="3"/>
  <c r="AP10" i="3" s="1"/>
  <c r="AG33" i="3"/>
  <c r="AI33" i="3" s="1"/>
  <c r="AK33" i="3"/>
  <c r="AP33" i="3" s="1"/>
  <c r="AG46" i="3"/>
  <c r="AI46" i="3" s="1"/>
  <c r="AK46" i="3"/>
  <c r="AP46" i="3" s="1"/>
  <c r="AG8" i="3"/>
  <c r="AI8" i="3" s="1"/>
  <c r="AK8" i="3"/>
  <c r="AP8" i="3" s="1"/>
  <c r="AG30" i="3"/>
  <c r="AI30" i="3" s="1"/>
  <c r="AK30" i="3"/>
  <c r="AP30" i="3" s="1"/>
  <c r="AG16" i="3"/>
  <c r="AI16" i="3" s="1"/>
  <c r="AK16" i="3"/>
  <c r="AP16" i="3" s="1"/>
  <c r="AG45" i="3"/>
  <c r="AI45" i="3" s="1"/>
  <c r="AK45" i="3"/>
  <c r="AP45" i="3" s="1"/>
  <c r="AG43" i="3"/>
  <c r="AI43" i="3" s="1"/>
  <c r="AK43" i="3"/>
  <c r="AP43" i="3" s="1"/>
  <c r="AG21" i="3"/>
  <c r="AI21" i="3" s="1"/>
  <c r="AK21" i="3"/>
  <c r="AP21" i="3" s="1"/>
  <c r="AG6" i="3"/>
  <c r="AI6" i="3" s="1"/>
  <c r="AK6" i="3"/>
  <c r="AP6" i="3" s="1"/>
  <c r="AG26" i="3"/>
  <c r="AI26" i="3" s="1"/>
  <c r="AK26" i="3"/>
  <c r="AP26" i="3" s="1"/>
  <c r="AG13" i="3"/>
  <c r="AI13" i="3" s="1"/>
  <c r="AK13" i="3"/>
  <c r="AP13" i="3" s="1"/>
  <c r="AG17" i="3"/>
  <c r="AI17" i="3" s="1"/>
  <c r="AK17" i="3"/>
  <c r="AP17" i="3" s="1"/>
  <c r="AG44" i="3"/>
  <c r="AI44" i="3" s="1"/>
  <c r="AK44" i="3"/>
  <c r="AP44" i="3" s="1"/>
  <c r="AG15" i="3"/>
  <c r="AI15" i="3" s="1"/>
  <c r="AK15" i="3"/>
  <c r="AP15" i="3" s="1"/>
  <c r="AG36" i="3"/>
  <c r="AI36" i="3" s="1"/>
  <c r="AK36" i="3"/>
  <c r="AP36" i="3" s="1"/>
  <c r="AG19" i="3"/>
  <c r="AI19" i="3" s="1"/>
  <c r="AK19" i="3"/>
  <c r="AP19" i="3" s="1"/>
  <c r="AG7" i="3"/>
  <c r="AI7" i="3" s="1"/>
  <c r="AK7" i="3"/>
  <c r="AP7" i="3" s="1"/>
  <c r="AG27" i="3"/>
  <c r="AI27" i="3" s="1"/>
  <c r="AK27" i="3"/>
  <c r="AP27" i="3" s="1"/>
  <c r="AG20" i="3"/>
  <c r="AI20" i="3" s="1"/>
  <c r="AK20" i="3"/>
  <c r="AP20" i="3" s="1"/>
  <c r="AG5" i="3"/>
  <c r="AI5" i="3" s="1"/>
  <c r="AK5" i="3"/>
  <c r="AP5" i="3" s="1"/>
  <c r="AG4" i="3"/>
  <c r="AI4" i="3" s="1"/>
  <c r="AK4" i="3"/>
  <c r="AP4" i="3" s="1"/>
  <c r="AG14" i="3"/>
  <c r="AI14" i="3" s="1"/>
  <c r="AK14" i="3"/>
  <c r="AP14" i="3" s="1"/>
  <c r="AG9" i="3"/>
  <c r="AI9" i="3" s="1"/>
  <c r="AK9" i="3"/>
  <c r="AP9" i="3" s="1"/>
  <c r="AG37" i="3"/>
  <c r="AI37" i="3" s="1"/>
  <c r="AK37" i="3"/>
  <c r="AP37" i="3" s="1"/>
  <c r="AG25" i="3"/>
  <c r="AI25" i="3" s="1"/>
  <c r="AK25" i="3"/>
  <c r="AP25" i="3" s="1"/>
  <c r="AG32" i="3"/>
  <c r="AI32" i="3" s="1"/>
  <c r="AK32" i="3"/>
  <c r="AP32" i="3" s="1"/>
  <c r="AG22" i="3"/>
  <c r="AI22" i="3" s="1"/>
  <c r="AK22" i="3"/>
  <c r="AP22" i="3" s="1"/>
  <c r="AG42" i="3"/>
  <c r="AI42" i="3" s="1"/>
  <c r="AK42" i="3"/>
  <c r="AP42" i="3" s="1"/>
  <c r="AG49" i="3"/>
  <c r="AI49" i="3" s="1"/>
  <c r="AK49" i="3"/>
  <c r="AP49" i="3" s="1"/>
  <c r="AG40" i="3"/>
  <c r="AI40" i="3" s="1"/>
  <c r="AK40" i="3"/>
  <c r="AP40" i="3" s="1"/>
  <c r="BL38" i="2" l="1"/>
  <c r="BF38" i="2"/>
  <c r="BF28" i="2"/>
  <c r="BL28" i="2"/>
  <c r="BF2" i="2"/>
  <c r="BL2" i="2"/>
  <c r="BF9" i="2"/>
  <c r="BL9" i="2"/>
  <c r="BL26" i="2"/>
  <c r="BF26" i="2"/>
  <c r="BL40" i="2"/>
  <c r="BF40" i="2"/>
  <c r="BF24" i="2"/>
  <c r="BL24" i="2"/>
  <c r="BF15" i="2"/>
  <c r="BL15" i="2"/>
  <c r="BL13" i="2"/>
  <c r="BF13" i="2"/>
  <c r="BF14" i="2"/>
  <c r="BL14" i="2"/>
  <c r="BF11" i="2"/>
  <c r="BL11" i="2"/>
  <c r="BF5" i="2"/>
  <c r="BL5" i="2"/>
  <c r="BL6" i="2"/>
  <c r="BF6" i="2"/>
  <c r="BF22" i="2"/>
  <c r="BL22" i="2"/>
  <c r="BF36" i="2"/>
  <c r="BL36" i="2"/>
  <c r="BF47" i="2"/>
  <c r="BL47" i="2"/>
  <c r="BF10" i="2"/>
  <c r="BL10" i="2"/>
  <c r="BF3" i="2"/>
  <c r="BL3" i="2"/>
  <c r="BF19" i="2"/>
  <c r="BL19" i="2"/>
  <c r="BL37" i="2"/>
  <c r="BF37" i="2"/>
  <c r="BL42" i="2"/>
  <c r="BF42" i="2"/>
  <c r="BF29" i="2"/>
  <c r="BL29" i="2"/>
  <c r="BF35" i="2"/>
  <c r="BL35" i="2"/>
  <c r="BF33" i="2"/>
  <c r="BL33" i="2"/>
  <c r="BF30" i="2"/>
  <c r="BL30" i="2"/>
  <c r="BL34" i="2"/>
  <c r="BF34" i="2"/>
  <c r="BL45" i="2"/>
  <c r="BF45" i="2"/>
  <c r="BL8" i="2"/>
  <c r="BF8" i="2"/>
  <c r="BL21" i="2"/>
  <c r="BF21" i="2"/>
  <c r="BF18" i="2"/>
  <c r="BL18" i="2"/>
  <c r="BF39" i="2"/>
  <c r="BL39" i="2"/>
  <c r="BL31" i="2"/>
  <c r="BF31" i="2"/>
  <c r="BF16" i="2"/>
  <c r="BL16" i="2"/>
  <c r="BL27" i="2"/>
  <c r="BF27" i="2"/>
  <c r="BL44" i="2"/>
  <c r="BF44" i="2"/>
  <c r="BL32" i="2"/>
  <c r="BF32" i="2"/>
  <c r="BF4" i="2"/>
  <c r="BL4" i="2"/>
  <c r="BF25" i="2"/>
  <c r="BL25" i="2"/>
  <c r="BL43" i="2"/>
  <c r="BF43" i="2"/>
  <c r="BF17" i="2"/>
  <c r="BL17" i="2"/>
  <c r="BL7" i="2"/>
  <c r="BF7" i="2"/>
  <c r="BL48" i="2"/>
  <c r="BF48" i="2"/>
  <c r="BF20" i="2"/>
  <c r="BL20" i="2"/>
  <c r="BF41" i="2"/>
  <c r="BL41" i="2"/>
  <c r="BL46" i="2"/>
  <c r="BF46" i="2"/>
  <c r="BL23" i="2"/>
  <c r="BF23" i="2"/>
  <c r="BL12" i="2"/>
  <c r="BF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2" authorId="0" shapeId="0" xr:uid="{E51BB2F0-D56B-479B-A1E6-B2BAC014A922}">
      <text>
        <r>
          <rPr>
            <sz val="11"/>
            <color theme="1"/>
            <rFont val="Aptos Narrow"/>
            <family val="2"/>
          </rPr>
          <t xml:space="preserve">not worked due to wifi issue
</t>
        </r>
      </text>
    </comment>
    <comment ref="X4" authorId="0" shapeId="0" xr:uid="{35C703E8-6E09-4E16-A29B-AF461E14D49E}">
      <text>
        <r>
          <rPr>
            <sz val="11"/>
            <color theme="1"/>
            <rFont val="Aptos Narrow"/>
            <family val="2"/>
          </rPr>
          <t xml:space="preserve">Not well
</t>
        </r>
      </text>
    </comment>
    <comment ref="AC8" authorId="0" shapeId="0" xr:uid="{2077E42B-9C5B-47B7-835A-267295990873}">
      <text>
        <r>
          <rPr>
            <sz val="11"/>
            <color theme="1"/>
            <rFont val="Aptos Narrow"/>
            <family val="2"/>
          </rPr>
          <t xml:space="preserve">electricity issue 
</t>
        </r>
      </text>
    </comment>
    <comment ref="AD8" authorId="0" shapeId="0" xr:uid="{F67FA8AA-5F97-46B5-B491-1B07F85AF014}">
      <text>
        <r>
          <rPr>
            <sz val="11"/>
            <color theme="1"/>
            <rFont val="Aptos Narrow"/>
            <family val="2"/>
          </rPr>
          <t xml:space="preserve">electricity issue 
</t>
        </r>
      </text>
    </comment>
    <comment ref="AA11" authorId="0" shapeId="0" xr:uid="{2A0749E4-49D5-4712-A27B-A79FB9FF332F}">
      <text>
        <r>
          <rPr>
            <sz val="11"/>
            <color theme="1"/>
            <rFont val="Aptos Narrow"/>
            <family val="2"/>
          </rPr>
          <t xml:space="preserve">lap top issue 
</t>
        </r>
      </text>
    </comment>
    <comment ref="AG11" authorId="0" shapeId="0" xr:uid="{6C83D441-1F5D-44B7-9C7A-8719B6508DA9}">
      <text>
        <r>
          <rPr>
            <sz val="11"/>
            <color theme="1"/>
            <rFont val="Aptos Narrow"/>
            <family val="2"/>
          </rPr>
          <t xml:space="preserve">laptop issue 
</t>
        </r>
      </text>
    </comment>
    <comment ref="AO18" authorId="0" shapeId="0" xr:uid="{94FC0716-E111-4513-B357-A4215ADD0219}">
      <text>
        <r>
          <rPr>
            <sz val="11"/>
            <color theme="1"/>
            <rFont val="Aptos Narrow"/>
            <family val="2"/>
          </rPr>
          <t xml:space="preserve">Health issue
</t>
        </r>
      </text>
    </comment>
    <comment ref="AU18" authorId="0" shapeId="0" xr:uid="{786F7C65-C93C-45A4-BFD2-AF65A5FA5295}">
      <text>
        <r>
          <rPr>
            <sz val="11"/>
            <color theme="1"/>
            <rFont val="Aptos Narrow"/>
            <family val="2"/>
          </rPr>
          <t xml:space="preserve">Grandmother Demise
</t>
        </r>
      </text>
    </comment>
    <comment ref="AV18" authorId="0" shapeId="0" xr:uid="{850B34A0-4A92-41D9-B973-94A11E9C6B8A}">
      <text>
        <r>
          <rPr>
            <sz val="11"/>
            <color theme="1"/>
            <rFont val="Aptos Narrow"/>
            <family val="2"/>
          </rPr>
          <t xml:space="preserve">Grandmother demise
</t>
        </r>
      </text>
    </comment>
    <comment ref="AK19" authorId="0" shapeId="0" xr:uid="{95E0407C-4FBB-4ADB-AA9C-CC72E2465F50}">
      <text>
        <r>
          <rPr>
            <sz val="11"/>
            <color theme="1"/>
            <rFont val="Aptos Narrow"/>
            <family val="2"/>
          </rPr>
          <t xml:space="preserve">For father's health issues
</t>
        </r>
      </text>
    </comment>
    <comment ref="U20" authorId="0" shapeId="0" xr:uid="{7B02385C-FF2F-40CC-A0E6-BFB42AC4BF20}">
      <text>
        <r>
          <rPr>
            <sz val="11"/>
            <color theme="1"/>
            <rFont val="Aptos Narrow"/>
            <family val="2"/>
          </rPr>
          <t xml:space="preserve">Not well
</t>
        </r>
      </text>
    </comment>
    <comment ref="Z20" authorId="0" shapeId="0" xr:uid="{2F24517A-ADD7-4FDD-B452-8BFE8C236E55}">
      <text>
        <r>
          <rPr>
            <sz val="11"/>
            <color theme="1"/>
            <rFont val="Aptos Narrow"/>
            <family val="2"/>
          </rPr>
          <t xml:space="preserve">NCNS
</t>
        </r>
      </text>
    </comment>
    <comment ref="AE21" authorId="0" shapeId="0" xr:uid="{CC0D4A10-0677-4C4F-A09D-04D8D08D9730}">
      <text>
        <r>
          <rPr>
            <sz val="11"/>
            <color theme="1"/>
            <rFont val="Aptos Narrow"/>
            <family val="2"/>
          </rPr>
          <t xml:space="preserve">BCA Exam
</t>
        </r>
      </text>
    </comment>
    <comment ref="AS21" authorId="0" shapeId="0" xr:uid="{CA8DC0C3-0A1B-4D5A-9DC1-34648A20B3C9}">
      <text>
        <r>
          <rPr>
            <sz val="11"/>
            <color theme="1"/>
            <rFont val="Aptos Narrow"/>
            <family val="2"/>
          </rPr>
          <t xml:space="preserve">papers for practical exams 
</t>
        </r>
      </text>
    </comment>
    <comment ref="AX21" authorId="0" shapeId="0" xr:uid="{65A6B5AE-AF4C-4DA0-8CC1-9C6BB43850AE}">
      <text>
        <r>
          <rPr>
            <sz val="11"/>
            <color theme="1"/>
            <rFont val="Aptos Narrow"/>
            <family val="2"/>
          </rPr>
          <t xml:space="preserve">papers for practical exams 
</t>
        </r>
      </text>
    </comment>
    <comment ref="AU22" authorId="0" shapeId="0" xr:uid="{32E91D4E-6733-495A-965B-60F1E30E5654}">
      <text>
        <r>
          <rPr>
            <sz val="11"/>
            <color theme="1"/>
            <rFont val="Aptos Narrow"/>
            <family val="2"/>
          </rPr>
          <t xml:space="preserve">Not able to continue due to personal and health issue 
</t>
        </r>
      </text>
    </comment>
    <comment ref="AV22" authorId="0" shapeId="0" xr:uid="{90629B23-1989-4986-A122-2F8DFE559300}">
      <text>
        <r>
          <rPr>
            <sz val="11"/>
            <color theme="1"/>
            <rFont val="Aptos Narrow"/>
            <family val="2"/>
          </rPr>
          <t xml:space="preserve">Not able to continue due to personal and health issue 
</t>
        </r>
      </text>
    </comment>
    <comment ref="AF23" authorId="0" shapeId="0" xr:uid="{726D3726-6EDB-4AA3-B1E2-AD1B72FE8107}">
      <text>
        <r>
          <rPr>
            <sz val="11"/>
            <color theme="1"/>
            <rFont val="Aptos Narrow"/>
            <family val="2"/>
          </rPr>
          <t xml:space="preserve">not logged in 
</t>
        </r>
      </text>
    </comment>
    <comment ref="AK23" authorId="0" shapeId="0" xr:uid="{0099DEFA-66E9-4FB6-A221-8D1215E8B5AF}">
      <text>
        <r>
          <rPr>
            <sz val="11"/>
            <color theme="1"/>
            <rFont val="Aptos Narrow"/>
            <family val="2"/>
          </rPr>
          <t xml:space="preserve">For engagement
</t>
        </r>
      </text>
    </comment>
    <comment ref="AM23" authorId="0" shapeId="0" xr:uid="{8843EE72-CF31-495E-BAE7-7D68F480330C}">
      <text>
        <r>
          <rPr>
            <sz val="11"/>
            <color theme="1"/>
            <rFont val="Aptos Narrow"/>
            <family val="2"/>
          </rPr>
          <t xml:space="preserve">For engagement
</t>
        </r>
      </text>
    </comment>
    <comment ref="AD24" authorId="0" shapeId="0" xr:uid="{AD245E7A-B369-485F-9C66-26C0F7DAD0BD}">
      <text>
        <r>
          <rPr>
            <sz val="11"/>
            <color theme="1"/>
            <rFont val="Aptos Narrow"/>
            <family val="2"/>
          </rPr>
          <t xml:space="preserve">Due to health Issue 
</t>
        </r>
      </text>
    </comment>
    <comment ref="AB26" authorId="0" shapeId="0" xr:uid="{9B5F082D-CFDD-4A04-B3ED-9BE080498831}">
      <text>
        <r>
          <rPr>
            <sz val="11"/>
            <color theme="1"/>
            <rFont val="Aptos Narrow"/>
            <family val="2"/>
          </rPr>
          <t xml:space="preserve">Due to Entrance Exam
</t>
        </r>
      </text>
    </comment>
    <comment ref="AN27" authorId="0" shapeId="0" xr:uid="{82436E6A-C866-4CE7-9B35-7A2805FD5394}">
      <text>
        <r>
          <rPr>
            <sz val="11"/>
            <color theme="1"/>
            <rFont val="Aptos Narrow"/>
            <family val="2"/>
          </rPr>
          <t xml:space="preserve">Health issue
</t>
        </r>
      </text>
    </comment>
    <comment ref="AO27" authorId="0" shapeId="0" xr:uid="{55B233E3-9DFC-452B-B76A-1A99BDDD7C0B}">
      <text>
        <r>
          <rPr>
            <sz val="11"/>
            <color theme="1"/>
            <rFont val="Aptos Narrow"/>
            <family val="2"/>
          </rPr>
          <t xml:space="preserve">Health issue
</t>
        </r>
      </text>
    </comment>
    <comment ref="AJ28" authorId="0" shapeId="0" xr:uid="{2EAA4369-C435-4B45-B7EF-E2086490D876}">
      <text>
        <r>
          <rPr>
            <sz val="11"/>
            <color theme="1"/>
            <rFont val="Aptos Narrow"/>
            <family val="2"/>
          </rPr>
          <t xml:space="preserve">Health issue
</t>
        </r>
      </text>
    </comment>
    <comment ref="AU28" authorId="0" shapeId="0" xr:uid="{3589F8FD-4EE3-473F-A4E4-7E3AC58FA5C0}">
      <text>
        <r>
          <rPr>
            <sz val="11"/>
            <color theme="1"/>
            <rFont val="Aptos Narrow"/>
            <family val="2"/>
          </rPr>
          <t xml:space="preserve">Health issue
</t>
        </r>
      </text>
    </comment>
    <comment ref="AV28" authorId="0" shapeId="0" xr:uid="{6EDAA413-BC37-4D6B-81E3-4F7E0E3B1923}">
      <text>
        <r>
          <rPr>
            <sz val="11"/>
            <color theme="1"/>
            <rFont val="Aptos Narrow"/>
            <family val="2"/>
          </rPr>
          <t xml:space="preserve">Health issue
</t>
        </r>
      </text>
    </comment>
    <comment ref="AW28" authorId="0" shapeId="0" xr:uid="{F595A3E9-C2B4-4DDC-AFA3-EE458A87DC53}">
      <text>
        <r>
          <rPr>
            <sz val="11"/>
            <color theme="1"/>
            <rFont val="Aptos Narrow"/>
            <family val="2"/>
          </rPr>
          <t xml:space="preserve">Health issue
</t>
        </r>
      </text>
    </comment>
    <comment ref="AX28" authorId="0" shapeId="0" xr:uid="{CA1331BD-A0C5-4A73-B6BF-82F0466A0B99}">
      <text>
        <r>
          <rPr>
            <sz val="11"/>
            <color theme="1"/>
            <rFont val="Aptos Narrow"/>
            <family val="2"/>
          </rPr>
          <t xml:space="preserve">Health issue
</t>
        </r>
      </text>
    </comment>
    <comment ref="AY28" authorId="0" shapeId="0" xr:uid="{BC8B398A-A80D-4D5B-A887-61B97B76C38F}">
      <text>
        <r>
          <rPr>
            <sz val="11"/>
            <color theme="1"/>
            <rFont val="Aptos Narrow"/>
            <family val="2"/>
          </rPr>
          <t xml:space="preserve">Health issue
</t>
        </r>
      </text>
    </comment>
    <comment ref="U29" authorId="0" shapeId="0" xr:uid="{0E3A7FDE-726A-40F2-A976-2B79D715782A}">
      <text>
        <r>
          <rPr>
            <sz val="11"/>
            <color theme="1"/>
            <rFont val="Aptos Narrow"/>
            <family val="2"/>
          </rPr>
          <t xml:space="preserve">not dialed in first half
</t>
        </r>
      </text>
    </comment>
    <comment ref="AN29" authorId="0" shapeId="0" xr:uid="{B5151A91-ABA5-4D70-8E88-1E8DBB690625}">
      <text>
        <r>
          <rPr>
            <sz val="11"/>
            <color theme="1"/>
            <rFont val="Aptos Narrow"/>
            <family val="2"/>
          </rPr>
          <t xml:space="preserve">Health issue
</t>
        </r>
      </text>
    </comment>
    <comment ref="AC30" authorId="0" shapeId="0" xr:uid="{05443C6A-547B-4426-8A25-A8B14DECD75A}">
      <text>
        <r>
          <rPr>
            <sz val="11"/>
            <color theme="1"/>
            <rFont val="Aptos Narrow"/>
            <family val="2"/>
          </rPr>
          <t xml:space="preserve">Heatlh Issue
</t>
        </r>
      </text>
    </comment>
    <comment ref="AN31" authorId="0" shapeId="0" xr:uid="{3FC47726-540B-4A8F-99EE-841F56F323FC}">
      <text>
        <r>
          <rPr>
            <sz val="11"/>
            <color theme="1"/>
            <rFont val="Aptos Narrow"/>
            <family val="2"/>
          </rPr>
          <t xml:space="preserve">Engagement
</t>
        </r>
      </text>
    </comment>
    <comment ref="AN32" authorId="0" shapeId="0" xr:uid="{B074597A-6DD0-4F72-9771-DBF99ACDA7C4}">
      <text>
        <r>
          <rPr>
            <sz val="11"/>
            <color theme="1"/>
            <rFont val="Aptos Narrow"/>
            <family val="2"/>
          </rPr>
          <t xml:space="preserve">Health issue
</t>
        </r>
      </text>
    </comment>
    <comment ref="AO32" authorId="0" shapeId="0" xr:uid="{3F0F3C4B-E642-44A5-AD71-80BE5B522615}">
      <text>
        <r>
          <rPr>
            <sz val="11"/>
            <color theme="1"/>
            <rFont val="Aptos Narrow"/>
            <family val="2"/>
          </rPr>
          <t xml:space="preserve">Electricity Issue
</t>
        </r>
      </text>
    </comment>
    <comment ref="AU32" authorId="0" shapeId="0" xr:uid="{6DB81DCC-C4C5-4EA4-9D61-FAC268CEB4B5}">
      <text>
        <r>
          <rPr>
            <sz val="11"/>
            <color theme="1"/>
            <rFont val="Aptos Narrow"/>
            <family val="2"/>
          </rPr>
          <t xml:space="preserve">Netwrok issue
</t>
        </r>
      </text>
    </comment>
    <comment ref="AN34" authorId="0" shapeId="0" xr:uid="{47BAD179-F082-409C-BA97-E875F2D69B29}">
      <text>
        <r>
          <rPr>
            <sz val="11"/>
            <color theme="1"/>
            <rFont val="Aptos Narrow"/>
            <family val="2"/>
          </rPr>
          <t xml:space="preserve">Family issue
</t>
        </r>
      </text>
    </comment>
    <comment ref="AX34" authorId="0" shapeId="0" xr:uid="{A131247A-133F-44FA-AD47-287B5AD644ED}">
      <text>
        <r>
          <rPr>
            <sz val="11"/>
            <color theme="1"/>
            <rFont val="Aptos Narrow"/>
            <family val="2"/>
          </rPr>
          <t xml:space="preserve">10 mins late login
</t>
        </r>
      </text>
    </comment>
    <comment ref="AD35" authorId="0" shapeId="0" xr:uid="{F225C27C-6FEC-4FD4-A8AA-1C8A1584C6B8}">
      <text>
        <r>
          <rPr>
            <sz val="11"/>
            <color theme="1"/>
            <rFont val="Aptos Narrow"/>
            <family val="2"/>
          </rPr>
          <t xml:space="preserve">women issue
</t>
        </r>
      </text>
    </comment>
    <comment ref="AX36" authorId="0" shapeId="0" xr:uid="{F1AE9CB2-0E08-40AC-9D31-E86C8C2AB88D}">
      <text>
        <r>
          <rPr>
            <sz val="11"/>
            <color theme="1"/>
            <rFont val="Aptos Narrow"/>
            <family val="2"/>
          </rPr>
          <t xml:space="preserve">pooja
</t>
        </r>
      </text>
    </comment>
    <comment ref="AA38" authorId="0" shapeId="0" xr:uid="{1EA36E4E-5BC7-4CC6-B3D0-D6FE742FE38A}">
      <text>
        <r>
          <rPr>
            <sz val="11"/>
            <color theme="1"/>
            <rFont val="Aptos Narrow"/>
            <family val="2"/>
          </rPr>
          <t xml:space="preserve">electricity issue
</t>
        </r>
      </text>
    </comment>
    <comment ref="AF38" authorId="0" shapeId="0" xr:uid="{8FEA08DF-000A-4040-9FDE-3C7CBC3DDD10}">
      <text>
        <r>
          <rPr>
            <sz val="11"/>
            <color theme="1"/>
            <rFont val="Aptos Narrow"/>
            <family val="2"/>
          </rPr>
          <t xml:space="preserve">fever
</t>
        </r>
      </text>
    </comment>
    <comment ref="AG38" authorId="0" shapeId="0" xr:uid="{121D6AEE-79AA-4ABB-81EA-26EF2EAACA04}">
      <text>
        <r>
          <rPr>
            <sz val="11"/>
            <color theme="1"/>
            <rFont val="Aptos Narrow"/>
            <family val="2"/>
          </rPr>
          <t xml:space="preserve">fever
</t>
        </r>
      </text>
    </comment>
    <comment ref="AH38" authorId="0" shapeId="0" xr:uid="{90D24F00-78E0-4520-B13D-10AB37F49076}">
      <text>
        <r>
          <rPr>
            <sz val="11"/>
            <color theme="1"/>
            <rFont val="Aptos Narrow"/>
            <family val="2"/>
          </rPr>
          <t xml:space="preserve">fever
</t>
        </r>
      </text>
    </comment>
    <comment ref="AI38" authorId="0" shapeId="0" xr:uid="{ED6E0805-7C23-483D-B193-0DB7CC1ACE60}">
      <text>
        <r>
          <rPr>
            <sz val="11"/>
            <color theme="1"/>
            <rFont val="Aptos Narrow"/>
            <family val="2"/>
          </rPr>
          <t xml:space="preserve">fever
</t>
        </r>
      </text>
    </comment>
    <comment ref="AJ38" authorId="0" shapeId="0" xr:uid="{8CEB0195-A6F2-4292-908B-4EA5CADC7B6C}">
      <text>
        <r>
          <rPr>
            <sz val="11"/>
            <color theme="1"/>
            <rFont val="Aptos Narrow"/>
            <family val="2"/>
          </rPr>
          <t xml:space="preserve">fever
</t>
        </r>
      </text>
    </comment>
    <comment ref="AK38" authorId="0" shapeId="0" xr:uid="{10CADFE4-804A-4140-9C78-A97D1A8D84DE}">
      <text>
        <r>
          <rPr>
            <sz val="11"/>
            <color theme="1"/>
            <rFont val="Aptos Narrow"/>
            <family val="2"/>
          </rPr>
          <t xml:space="preserve">fever
</t>
        </r>
      </text>
    </comment>
    <comment ref="AC42" authorId="0" shapeId="0" xr:uid="{0C0C9D37-D893-4F45-A059-C53F5A081A86}">
      <text>
        <r>
          <rPr>
            <sz val="11"/>
            <color theme="1"/>
            <rFont val="Aptos Narrow"/>
            <family val="2"/>
          </rPr>
          <t xml:space="preserve">health issue
</t>
        </r>
      </text>
    </comment>
    <comment ref="AD42" authorId="0" shapeId="0" xr:uid="{2CEA2B00-3132-4DD6-B8DF-273FC2D3393F}">
      <text>
        <r>
          <rPr>
            <sz val="11"/>
            <color theme="1"/>
            <rFont val="Aptos Narrow"/>
            <family val="2"/>
          </rPr>
          <t xml:space="preserve">Not well
</t>
        </r>
      </text>
    </comment>
    <comment ref="AR42" authorId="0" shapeId="0" xr:uid="{28532C6E-E17F-483E-9E54-5CB57BE0485E}">
      <text>
        <r>
          <rPr>
            <sz val="11"/>
            <color theme="1"/>
            <rFont val="Aptos Narrow"/>
            <family val="2"/>
          </rPr>
          <t xml:space="preserve">eye infection
</t>
        </r>
      </text>
    </comment>
    <comment ref="AS42" authorId="0" shapeId="0" xr:uid="{D132CB02-BC72-4979-90F5-92040CE735E3}">
      <text>
        <r>
          <rPr>
            <sz val="11"/>
            <color theme="1"/>
            <rFont val="Aptos Narrow"/>
            <family val="2"/>
          </rPr>
          <t xml:space="preserve">eye infection
</t>
        </r>
      </text>
    </comment>
    <comment ref="AT42" authorId="0" shapeId="0" xr:uid="{5A2A4A6C-84A5-4C3B-9CB1-32DE396435B7}">
      <text>
        <r>
          <rPr>
            <sz val="11"/>
            <color theme="1"/>
            <rFont val="Aptos Narrow"/>
            <family val="2"/>
          </rPr>
          <t xml:space="preserve">eye infection
</t>
        </r>
      </text>
    </comment>
    <comment ref="AY46" authorId="0" shapeId="0" xr:uid="{391BDB1D-96FC-46CA-B833-4266EC1F7E34}">
      <text>
        <r>
          <rPr>
            <sz val="11"/>
            <color theme="1"/>
            <rFont val="Aptos Narrow"/>
            <family val="2"/>
          </rPr>
          <t xml:space="preserve">demise in fly
</t>
        </r>
      </text>
    </comment>
    <comment ref="AF47" authorId="0" shapeId="0" xr:uid="{F31E3F38-12AC-4498-B5AD-87625858B094}">
      <text>
        <r>
          <rPr>
            <sz val="11"/>
            <color theme="1"/>
            <rFont val="Aptos Narrow"/>
            <family val="2"/>
          </rPr>
          <t xml:space="preserve">Electricity issue
</t>
        </r>
      </text>
    </comment>
    <comment ref="AM47" authorId="0" shapeId="0" xr:uid="{BB3E417D-B50B-44E8-858A-0F1F04C57463}">
      <text>
        <r>
          <rPr>
            <sz val="11"/>
            <color theme="1"/>
            <rFont val="Aptos Narrow"/>
            <family val="2"/>
          </rPr>
          <t xml:space="preserve">Skin Allergy
</t>
        </r>
      </text>
    </comment>
    <comment ref="AN47" authorId="0" shapeId="0" xr:uid="{E05F45BA-B311-42C1-833E-8E5041DBEB7E}">
      <text>
        <r>
          <rPr>
            <sz val="11"/>
            <color theme="1"/>
            <rFont val="Aptos Narrow"/>
            <family val="2"/>
          </rPr>
          <t xml:space="preserve">Skin Allergy
</t>
        </r>
      </text>
    </comment>
    <comment ref="AO47" authorId="0" shapeId="0" xr:uid="{A7B4A636-C0D1-4AFE-802E-C8BE1D40003D}">
      <text>
        <r>
          <rPr>
            <sz val="11"/>
            <color theme="1"/>
            <rFont val="Aptos Narrow"/>
            <family val="2"/>
          </rPr>
          <t xml:space="preserve">Skin Allergy
</t>
        </r>
      </text>
    </comment>
    <comment ref="AP47" authorId="0" shapeId="0" xr:uid="{4EBE099B-6FC8-43F1-8D74-F1C0172B1BD9}">
      <text>
        <r>
          <rPr>
            <sz val="11"/>
            <color theme="1"/>
            <rFont val="Aptos Narrow"/>
            <family val="2"/>
          </rPr>
          <t xml:space="preserve">Skin Allergy
</t>
        </r>
      </text>
    </comment>
    <comment ref="AQ47" authorId="0" shapeId="0" xr:uid="{35FFDF8A-C1D7-4421-8078-854B2831F7ED}">
      <text>
        <r>
          <rPr>
            <sz val="11"/>
            <color theme="1"/>
            <rFont val="Aptos Narrow"/>
            <family val="2"/>
          </rPr>
          <t xml:space="preserve">Skin Allergy
</t>
        </r>
      </text>
    </comment>
    <comment ref="AR47" authorId="0" shapeId="0" xr:uid="{779CF224-097D-42BC-A767-271C4B14229A}">
      <text>
        <r>
          <rPr>
            <sz val="11"/>
            <color theme="1"/>
            <rFont val="Aptos Narrow"/>
            <family val="2"/>
          </rPr>
          <t xml:space="preserve">Skin Allergy
</t>
        </r>
      </text>
    </comment>
    <comment ref="AS47" authorId="0" shapeId="0" xr:uid="{0DA15216-F4A5-41A4-A9CC-B767AD9F1329}">
      <text>
        <r>
          <rPr>
            <sz val="11"/>
            <color theme="1"/>
            <rFont val="Aptos Narrow"/>
            <family val="2"/>
          </rPr>
          <t xml:space="preserve">Skin Allergy
</t>
        </r>
      </text>
    </comment>
    <comment ref="AT47" authorId="0" shapeId="0" xr:uid="{B099D4D9-9C85-4E05-9180-AEBBFFFCCDF1}">
      <text>
        <r>
          <rPr>
            <sz val="11"/>
            <color theme="1"/>
            <rFont val="Aptos Narrow"/>
            <family val="2"/>
          </rPr>
          <t xml:space="preserve">Skin Allergy
</t>
        </r>
      </text>
    </comment>
    <comment ref="AP48" authorId="0" shapeId="0" xr:uid="{87ED8753-B9BE-4FC4-AF31-4BD53721F9B3}">
      <text>
        <r>
          <rPr>
            <sz val="11"/>
            <color theme="1"/>
            <rFont val="Aptos Narrow"/>
            <family val="2"/>
          </rPr>
          <t xml:space="preserve">women issue
</t>
        </r>
      </text>
    </comment>
    <comment ref="AX48" authorId="0" shapeId="0" xr:uid="{5301A430-51DD-41BB-89FA-133E934A06B4}">
      <text>
        <r>
          <rPr>
            <sz val="11"/>
            <color theme="1"/>
            <rFont val="Aptos Narrow"/>
            <family val="2"/>
          </rPr>
          <t xml:space="preserve">30 Mins late login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<sst xmlns="http://schemas.openxmlformats.org/spreadsheetml/2006/main" count="12170" uniqueCount="2048">
  <si>
    <t>New_Id</t>
  </si>
  <si>
    <t>M148590</t>
  </si>
  <si>
    <t>A150877</t>
  </si>
  <si>
    <t>V140863</t>
  </si>
  <si>
    <t>S33113</t>
  </si>
  <si>
    <t>J145459</t>
  </si>
  <si>
    <t>B74568</t>
  </si>
  <si>
    <t>K147126</t>
  </si>
  <si>
    <t>D143267</t>
  </si>
  <si>
    <t>S149558</t>
  </si>
  <si>
    <t>A137571</t>
  </si>
  <si>
    <t>M121811</t>
  </si>
  <si>
    <t>R149379</t>
  </si>
  <si>
    <t>A134801</t>
  </si>
  <si>
    <t>P29276</t>
  </si>
  <si>
    <t>S149908</t>
  </si>
  <si>
    <t>M149214</t>
  </si>
  <si>
    <t>P142557</t>
  </si>
  <si>
    <t>D143131</t>
  </si>
  <si>
    <t>L150043</t>
  </si>
  <si>
    <t>K150733</t>
  </si>
  <si>
    <t>V145342</t>
  </si>
  <si>
    <t>A144182</t>
  </si>
  <si>
    <t>D143703</t>
  </si>
  <si>
    <t>S147101</t>
  </si>
  <si>
    <t>P149171</t>
  </si>
  <si>
    <t>J140825</t>
  </si>
  <si>
    <t>L151690</t>
  </si>
  <si>
    <t>S149281</t>
  </si>
  <si>
    <t>S148834</t>
  </si>
  <si>
    <t>M140711</t>
  </si>
  <si>
    <t>S143075</t>
  </si>
  <si>
    <t>T145909</t>
  </si>
  <si>
    <t>J142396</t>
  </si>
  <si>
    <t>N143869</t>
  </si>
  <si>
    <t>A143246</t>
  </si>
  <si>
    <t>R147986</t>
  </si>
  <si>
    <t>S152807</t>
  </si>
  <si>
    <t>R148088</t>
  </si>
  <si>
    <t>A151443</t>
  </si>
  <si>
    <t>A146323</t>
  </si>
  <si>
    <t>P148110</t>
  </si>
  <si>
    <t>B133233</t>
  </si>
  <si>
    <t>D149790</t>
  </si>
  <si>
    <t>K152136</t>
  </si>
  <si>
    <t>R144331</t>
  </si>
  <si>
    <t>A142975</t>
  </si>
  <si>
    <t>A141636</t>
  </si>
  <si>
    <t>A142569</t>
  </si>
  <si>
    <t>P135367</t>
  </si>
  <si>
    <t>S150700</t>
  </si>
  <si>
    <t>M146352</t>
  </si>
  <si>
    <t>S145445</t>
  </si>
  <si>
    <t>N141892</t>
  </si>
  <si>
    <t>S147458</t>
  </si>
  <si>
    <t>R152300</t>
  </si>
  <si>
    <t>M141121</t>
  </si>
  <si>
    <t>J30855</t>
  </si>
  <si>
    <t>M152147</t>
  </si>
  <si>
    <t>S140500</t>
  </si>
  <si>
    <t>M148808</t>
  </si>
  <si>
    <t>R151923</t>
  </si>
  <si>
    <t>M21923</t>
  </si>
  <si>
    <t>D128589</t>
  </si>
  <si>
    <t>K136040</t>
  </si>
  <si>
    <t>S134212</t>
  </si>
  <si>
    <t>M134879</t>
  </si>
  <si>
    <t>R149144</t>
  </si>
  <si>
    <t>A152445</t>
  </si>
  <si>
    <t>M112846</t>
  </si>
  <si>
    <t>A145904</t>
  </si>
  <si>
    <t>S136808</t>
  </si>
  <si>
    <t>M48679</t>
  </si>
  <si>
    <t>R137720</t>
  </si>
  <si>
    <t>A147453</t>
  </si>
  <si>
    <t>P147014</t>
  </si>
  <si>
    <t>S140836</t>
  </si>
  <si>
    <t>V152161</t>
  </si>
  <si>
    <t>V136271</t>
  </si>
  <si>
    <t>A147166</t>
  </si>
  <si>
    <t>V148975</t>
  </si>
  <si>
    <t/>
  </si>
  <si>
    <t>M143028</t>
  </si>
  <si>
    <t>M147760</t>
  </si>
  <si>
    <t>S147349</t>
  </si>
  <si>
    <t>N147578</t>
  </si>
  <si>
    <t>M150243</t>
  </si>
  <si>
    <t>K140324</t>
  </si>
  <si>
    <t>N139495</t>
  </si>
  <si>
    <t>A146808</t>
  </si>
  <si>
    <t>V146252</t>
  </si>
  <si>
    <t>M148951</t>
  </si>
  <si>
    <t>S134964</t>
  </si>
  <si>
    <t>S139940</t>
  </si>
  <si>
    <t>S140221</t>
  </si>
  <si>
    <t>M151740</t>
  </si>
  <si>
    <t>A144330</t>
  </si>
  <si>
    <t>P147074</t>
  </si>
  <si>
    <t>S123486</t>
  </si>
  <si>
    <t>H147864</t>
  </si>
  <si>
    <t>S147697</t>
  </si>
  <si>
    <t>A138852</t>
  </si>
  <si>
    <t>S148788</t>
  </si>
  <si>
    <t>C146036</t>
  </si>
  <si>
    <t>A141124</t>
  </si>
  <si>
    <t>R144141</t>
  </si>
  <si>
    <t>T143273</t>
  </si>
  <si>
    <t>R136803</t>
  </si>
  <si>
    <t>J148891</t>
  </si>
  <si>
    <t>J144056</t>
  </si>
  <si>
    <t>A152151</t>
  </si>
  <si>
    <t>H148363</t>
  </si>
  <si>
    <t>B145911</t>
  </si>
  <si>
    <t>S143858</t>
  </si>
  <si>
    <t>S148976</t>
  </si>
  <si>
    <t>N139608</t>
  </si>
  <si>
    <t>S150201</t>
  </si>
  <si>
    <t>P145664</t>
  </si>
  <si>
    <t>A146729</t>
  </si>
  <si>
    <t>S144375</t>
  </si>
  <si>
    <t>R142106</t>
  </si>
  <si>
    <t>S146794</t>
  </si>
  <si>
    <t>K151454</t>
  </si>
  <si>
    <t>I133072</t>
  </si>
  <si>
    <t>G136192</t>
  </si>
  <si>
    <t>M26707</t>
  </si>
  <si>
    <t>P61669</t>
  </si>
  <si>
    <t>K140901</t>
  </si>
  <si>
    <t>V146216</t>
  </si>
  <si>
    <t>V145448</t>
  </si>
  <si>
    <t>T139855</t>
  </si>
  <si>
    <t>R148948</t>
  </si>
  <si>
    <t>R148555</t>
  </si>
  <si>
    <t>B136361</t>
  </si>
  <si>
    <t>R134179</t>
  </si>
  <si>
    <t>A138330</t>
  </si>
  <si>
    <t>P138446</t>
  </si>
  <si>
    <t>D148185</t>
  </si>
  <si>
    <t>G142757</t>
  </si>
  <si>
    <t>C143536</t>
  </si>
  <si>
    <t>K140237</t>
  </si>
  <si>
    <t>S133885</t>
  </si>
  <si>
    <t>O141316</t>
  </si>
  <si>
    <t>R142562</t>
  </si>
  <si>
    <t>D139353</t>
  </si>
  <si>
    <t>M135875</t>
  </si>
  <si>
    <t>R143814</t>
  </si>
  <si>
    <t>R145387</t>
  </si>
  <si>
    <t>G106363</t>
  </si>
  <si>
    <t>Y147990</t>
  </si>
  <si>
    <t>K139149</t>
  </si>
  <si>
    <t>T150702</t>
  </si>
  <si>
    <t>S101860</t>
  </si>
  <si>
    <t>T143294</t>
  </si>
  <si>
    <t>G27164</t>
  </si>
  <si>
    <t>R100158</t>
  </si>
  <si>
    <t>R144783</t>
  </si>
  <si>
    <t>L152175</t>
  </si>
  <si>
    <t>D78898</t>
  </si>
  <si>
    <t>A152273</t>
  </si>
  <si>
    <t>S140281</t>
  </si>
  <si>
    <t>M76762</t>
  </si>
  <si>
    <t>V142773</t>
  </si>
  <si>
    <t>H140928</t>
  </si>
  <si>
    <t>N147994</t>
  </si>
  <si>
    <t>K147110</t>
  </si>
  <si>
    <t>N149205</t>
  </si>
  <si>
    <t>A146209</t>
  </si>
  <si>
    <t>A105646</t>
  </si>
  <si>
    <t>P138084</t>
  </si>
  <si>
    <t>M105706</t>
  </si>
  <si>
    <t>S146309</t>
  </si>
  <si>
    <t>S107371</t>
  </si>
  <si>
    <t>Y45610</t>
  </si>
  <si>
    <t>Y139843</t>
  </si>
  <si>
    <t>P139883</t>
  </si>
  <si>
    <t>S148855</t>
  </si>
  <si>
    <t>D144595</t>
  </si>
  <si>
    <t>C150308</t>
  </si>
  <si>
    <t>D147222</t>
  </si>
  <si>
    <t>D144051</t>
  </si>
  <si>
    <t>M23337</t>
  </si>
  <si>
    <t>S149806</t>
  </si>
  <si>
    <t>A149005</t>
  </si>
  <si>
    <t>R146186</t>
  </si>
  <si>
    <t>M144507</t>
  </si>
  <si>
    <t>T147370</t>
  </si>
  <si>
    <t>V139811</t>
  </si>
  <si>
    <t>A151549</t>
  </si>
  <si>
    <t>A139584</t>
  </si>
  <si>
    <t>A147419</t>
  </si>
  <si>
    <t>U147287</t>
  </si>
  <si>
    <t>R107191</t>
  </si>
  <si>
    <t>C126959</t>
  </si>
  <si>
    <t>V149137</t>
  </si>
  <si>
    <t>B139776</t>
  </si>
  <si>
    <t>A115734</t>
  </si>
  <si>
    <t>S145008</t>
  </si>
  <si>
    <t>R144616</t>
  </si>
  <si>
    <t>C151820</t>
  </si>
  <si>
    <t>S141183</t>
  </si>
  <si>
    <t>A148031</t>
  </si>
  <si>
    <t>K138719</t>
  </si>
  <si>
    <t>G147002</t>
  </si>
  <si>
    <t>K139880</t>
  </si>
  <si>
    <t>D82174</t>
  </si>
  <si>
    <t>H141366</t>
  </si>
  <si>
    <t>A139387</t>
  </si>
  <si>
    <t>D89673</t>
  </si>
  <si>
    <t>N129962</t>
  </si>
  <si>
    <t>A143862</t>
  </si>
  <si>
    <t>J150729</t>
  </si>
  <si>
    <t>M140811</t>
  </si>
  <si>
    <t>T142698</t>
  </si>
  <si>
    <t>B145739</t>
  </si>
  <si>
    <t>N152094</t>
  </si>
  <si>
    <t>V147208</t>
  </si>
  <si>
    <t>V146195</t>
  </si>
  <si>
    <t>J131311</t>
  </si>
  <si>
    <t>V141772</t>
  </si>
  <si>
    <t>S150724</t>
  </si>
  <si>
    <t>S137362</t>
  </si>
  <si>
    <t>Y136483</t>
  </si>
  <si>
    <t>S138385</t>
  </si>
  <si>
    <t>M104329</t>
  </si>
  <si>
    <t>B76534</t>
  </si>
  <si>
    <t>U140209</t>
  </si>
  <si>
    <t>S128899</t>
  </si>
  <si>
    <t>U126664</t>
  </si>
  <si>
    <t>P34195</t>
  </si>
  <si>
    <t>A136745</t>
  </si>
  <si>
    <t>H142955</t>
  </si>
  <si>
    <t>V141986</t>
  </si>
  <si>
    <t>P141679</t>
  </si>
  <si>
    <t>M141369</t>
  </si>
  <si>
    <t>S139556</t>
  </si>
  <si>
    <t>S142843</t>
  </si>
  <si>
    <t>Y145723</t>
  </si>
  <si>
    <t>S146141</t>
  </si>
  <si>
    <t>S141719</t>
  </si>
  <si>
    <t>M139688</t>
  </si>
  <si>
    <t>D133562</t>
  </si>
  <si>
    <t>S150655</t>
  </si>
  <si>
    <t>M137333</t>
  </si>
  <si>
    <t>P98125</t>
  </si>
  <si>
    <t>M139148</t>
  </si>
  <si>
    <t>A123300</t>
  </si>
  <si>
    <t>A137176</t>
  </si>
  <si>
    <t>S49762</t>
  </si>
  <si>
    <t>M143284</t>
  </si>
  <si>
    <t>M140997</t>
  </si>
  <si>
    <t>P139453</t>
  </si>
  <si>
    <t>S130293</t>
  </si>
  <si>
    <t>P137996</t>
  </si>
  <si>
    <t>T84430</t>
  </si>
  <si>
    <t>D147246</t>
  </si>
  <si>
    <t>D149201</t>
  </si>
  <si>
    <t>V149135</t>
  </si>
  <si>
    <t>A147432</t>
  </si>
  <si>
    <t>R149141</t>
  </si>
  <si>
    <t>S134386</t>
  </si>
  <si>
    <t>N147534</t>
  </si>
  <si>
    <t>A146524</t>
  </si>
  <si>
    <t>K141961</t>
  </si>
  <si>
    <t>V139018</t>
  </si>
  <si>
    <t>A146637</t>
  </si>
  <si>
    <t>A148215</t>
  </si>
  <si>
    <t>L147165</t>
  </si>
  <si>
    <t>S140043</t>
  </si>
  <si>
    <t>A132387</t>
  </si>
  <si>
    <t>R143638</t>
  </si>
  <si>
    <t>A149440</t>
  </si>
  <si>
    <t>M150657</t>
  </si>
  <si>
    <t>A150426</t>
  </si>
  <si>
    <t>A130385</t>
  </si>
  <si>
    <t>P148758</t>
  </si>
  <si>
    <t>S141295</t>
  </si>
  <si>
    <t>S140007</t>
  </si>
  <si>
    <t>A151785</t>
  </si>
  <si>
    <t>A147292</t>
  </si>
  <si>
    <t>M150410</t>
  </si>
  <si>
    <t>O139531</t>
  </si>
  <si>
    <t>A143832</t>
  </si>
  <si>
    <t>B146079</t>
  </si>
  <si>
    <t>R143955</t>
  </si>
  <si>
    <t>M146482</t>
  </si>
  <si>
    <t>H149114</t>
  </si>
  <si>
    <t>M148023</t>
  </si>
  <si>
    <t>P139422</t>
  </si>
  <si>
    <t>P110973</t>
  </si>
  <si>
    <t>V146262</t>
  </si>
  <si>
    <t>A145679</t>
  </si>
  <si>
    <t>B142642</t>
  </si>
  <si>
    <t>K145716</t>
  </si>
  <si>
    <t>K139447</t>
  </si>
  <si>
    <t>M151452</t>
  </si>
  <si>
    <t>N147989</t>
  </si>
  <si>
    <t>M143291</t>
  </si>
  <si>
    <t>S147912</t>
  </si>
  <si>
    <t>M37457</t>
  </si>
  <si>
    <t>A149236</t>
  </si>
  <si>
    <t>M147544</t>
  </si>
  <si>
    <t>K140147</t>
  </si>
  <si>
    <t>K136249</t>
  </si>
  <si>
    <t>G148151</t>
  </si>
  <si>
    <t>P147487</t>
  </si>
  <si>
    <t>S56672</t>
  </si>
  <si>
    <t>M148910</t>
  </si>
  <si>
    <t>R98604</t>
  </si>
  <si>
    <t>L127615</t>
  </si>
  <si>
    <t>R133632</t>
  </si>
  <si>
    <t>T140382</t>
  </si>
  <si>
    <t>S143029</t>
  </si>
  <si>
    <t>R142463</t>
  </si>
  <si>
    <t>S148692</t>
  </si>
  <si>
    <t>K146324</t>
  </si>
  <si>
    <t>S143821</t>
  </si>
  <si>
    <t>S146248</t>
  </si>
  <si>
    <t>N132038</t>
  </si>
  <si>
    <t>N149142</t>
  </si>
  <si>
    <t>K151281</t>
  </si>
  <si>
    <t>R141708</t>
  </si>
  <si>
    <t>M29365</t>
  </si>
  <si>
    <t>M138428</t>
  </si>
  <si>
    <t>J148343</t>
  </si>
  <si>
    <t>A148531</t>
  </si>
  <si>
    <t>R97111</t>
  </si>
  <si>
    <t>K138603</t>
  </si>
  <si>
    <t>S135385</t>
  </si>
  <si>
    <t>V138733</t>
  </si>
  <si>
    <t>S141140</t>
  </si>
  <si>
    <t>G142449</t>
  </si>
  <si>
    <t>R152168</t>
  </si>
  <si>
    <t>M145461</t>
  </si>
  <si>
    <t>C146988</t>
  </si>
  <si>
    <t>R141631</t>
  </si>
  <si>
    <t>J131067</t>
  </si>
  <si>
    <t>A146385</t>
  </si>
  <si>
    <t>P135636</t>
  </si>
  <si>
    <t>A142802</t>
  </si>
  <si>
    <t>V151420</t>
  </si>
  <si>
    <t>S146536</t>
  </si>
  <si>
    <t>M151767</t>
  </si>
  <si>
    <t>A135126</t>
  </si>
  <si>
    <t>V149358</t>
  </si>
  <si>
    <t>D146088</t>
  </si>
  <si>
    <t>G137324</t>
  </si>
  <si>
    <t>P130647</t>
  </si>
  <si>
    <t>A144977</t>
  </si>
  <si>
    <t>R135187</t>
  </si>
  <si>
    <t>S144003</t>
  </si>
  <si>
    <t>N149165</t>
  </si>
  <si>
    <t>M143794</t>
  </si>
  <si>
    <t>N151683</t>
  </si>
  <si>
    <t>S145687</t>
  </si>
  <si>
    <t>S135368</t>
  </si>
  <si>
    <t>N132509</t>
  </si>
  <si>
    <t>A36822</t>
  </si>
  <si>
    <t>S134914</t>
  </si>
  <si>
    <t>M139181</t>
  </si>
  <si>
    <t>N137681</t>
  </si>
  <si>
    <t>P139598</t>
  </si>
  <si>
    <t>S150752</t>
  </si>
  <si>
    <t>M149345</t>
  </si>
  <si>
    <t>P145673</t>
  </si>
  <si>
    <t>M148890</t>
  </si>
  <si>
    <t>V139462</t>
  </si>
  <si>
    <t>J142959</t>
  </si>
  <si>
    <t>S145938</t>
  </si>
  <si>
    <t>J148079</t>
  </si>
  <si>
    <t>S149716</t>
  </si>
  <si>
    <t>S150929</t>
  </si>
  <si>
    <t>S148160</t>
  </si>
  <si>
    <t>A148779</t>
  </si>
  <si>
    <t>R151668</t>
  </si>
  <si>
    <t>S118900</t>
  </si>
  <si>
    <t>H148344</t>
  </si>
  <si>
    <t>R145348</t>
  </si>
  <si>
    <t>M145450</t>
  </si>
  <si>
    <t>K93980</t>
  </si>
  <si>
    <t>L145666</t>
  </si>
  <si>
    <t>T135814</t>
  </si>
  <si>
    <t>A145566</t>
  </si>
  <si>
    <t>R138204</t>
  </si>
  <si>
    <t>A152255</t>
  </si>
  <si>
    <t>S152696</t>
  </si>
  <si>
    <t>M146747</t>
  </si>
  <si>
    <t>S147069</t>
  </si>
  <si>
    <t>U143549</t>
  </si>
  <si>
    <t>M143355</t>
  </si>
  <si>
    <t>M147120</t>
  </si>
  <si>
    <t>B142634</t>
  </si>
  <si>
    <t>D141594</t>
  </si>
  <si>
    <t>A140643</t>
  </si>
  <si>
    <t>R142266</t>
  </si>
  <si>
    <t>D151334</t>
  </si>
  <si>
    <t>R145681</t>
  </si>
  <si>
    <t>R84239</t>
  </si>
  <si>
    <t>R145722</t>
  </si>
  <si>
    <t>A142564</t>
  </si>
  <si>
    <t>A142489</t>
  </si>
  <si>
    <t>B141096</t>
  </si>
  <si>
    <t>S139611</t>
  </si>
  <si>
    <t>S105938</t>
  </si>
  <si>
    <t>N142970</t>
  </si>
  <si>
    <t>S138982</t>
  </si>
  <si>
    <t>N136567</t>
  </si>
  <si>
    <t>M136592</t>
  </si>
  <si>
    <t>R141831</t>
  </si>
  <si>
    <t>R137578</t>
  </si>
  <si>
    <t>E136236</t>
  </si>
  <si>
    <t>G86968</t>
  </si>
  <si>
    <t>L142303</t>
  </si>
  <si>
    <t>A148643</t>
  </si>
  <si>
    <t>A151721</t>
  </si>
  <si>
    <t>N147102</t>
  </si>
  <si>
    <t>J107671</t>
  </si>
  <si>
    <t>H151989</t>
  </si>
  <si>
    <t>R142712</t>
  </si>
  <si>
    <t>R133666</t>
  </si>
  <si>
    <t>V147000</t>
  </si>
  <si>
    <t>M145693</t>
  </si>
  <si>
    <t>H145340</t>
  </si>
  <si>
    <t>A149275</t>
  </si>
  <si>
    <t>M148932</t>
  </si>
  <si>
    <t>R149812</t>
  </si>
  <si>
    <t>S149582</t>
  </si>
  <si>
    <t>L146220</t>
  </si>
  <si>
    <t>R150302</t>
  </si>
  <si>
    <t>C149351</t>
  </si>
  <si>
    <t>S149685</t>
  </si>
  <si>
    <t>W139309</t>
  </si>
  <si>
    <t>M141113</t>
  </si>
  <si>
    <t>D144691</t>
  </si>
  <si>
    <t>N151800</t>
  </si>
  <si>
    <t>B143570</t>
  </si>
  <si>
    <t>B126044</t>
  </si>
  <si>
    <t>A146126</t>
  </si>
  <si>
    <t>A144917</t>
  </si>
  <si>
    <t>J149470</t>
  </si>
  <si>
    <t>P144994</t>
  </si>
  <si>
    <t>P37555</t>
  </si>
  <si>
    <t>S139814</t>
  </si>
  <si>
    <t>G123341</t>
  </si>
  <si>
    <t>M143973</t>
  </si>
  <si>
    <t>V147577</t>
  </si>
  <si>
    <t>A116214</t>
  </si>
  <si>
    <t>B143842</t>
  </si>
  <si>
    <t>S33105</t>
  </si>
  <si>
    <t>K134748</t>
  </si>
  <si>
    <t>R87075</t>
  </si>
  <si>
    <t>K124732</t>
  </si>
  <si>
    <t>R147413</t>
  </si>
  <si>
    <t>P146589</t>
  </si>
  <si>
    <t>C141299</t>
  </si>
  <si>
    <t>V148803</t>
  </si>
  <si>
    <t>G137296</t>
  </si>
  <si>
    <t>A147130</t>
  </si>
  <si>
    <t>S139083</t>
  </si>
  <si>
    <t>S98681</t>
  </si>
  <si>
    <t>J147800</t>
  </si>
  <si>
    <t>V134370</t>
  </si>
  <si>
    <t>P131215</t>
  </si>
  <si>
    <t>P150092</t>
  </si>
  <si>
    <t>D135168</t>
  </si>
  <si>
    <t>R148727</t>
  </si>
  <si>
    <t>B142139</t>
  </si>
  <si>
    <t>P133767</t>
  </si>
  <si>
    <t>P152513</t>
  </si>
  <si>
    <t>V147997</t>
  </si>
  <si>
    <t>S152436</t>
  </si>
  <si>
    <t>S144478</t>
  </si>
  <si>
    <t>J148009</t>
  </si>
  <si>
    <t>R134758</t>
  </si>
  <si>
    <t>S137120</t>
  </si>
  <si>
    <t>V148164</t>
  </si>
  <si>
    <t>D138817</t>
  </si>
  <si>
    <t>N133242</t>
  </si>
  <si>
    <t>D146240</t>
  </si>
  <si>
    <t>M139234</t>
  </si>
  <si>
    <t>A88702</t>
  </si>
  <si>
    <t>H142716</t>
  </si>
  <si>
    <t>S144143</t>
  </si>
  <si>
    <t>A140509</t>
  </si>
  <si>
    <t>S141569</t>
  </si>
  <si>
    <t>M139357</t>
  </si>
  <si>
    <t>A140290</t>
  </si>
  <si>
    <t>S149602</t>
  </si>
  <si>
    <t>P146505</t>
  </si>
  <si>
    <t>G48476</t>
  </si>
  <si>
    <t>K150072</t>
  </si>
  <si>
    <t>P143909</t>
  </si>
  <si>
    <t>J144964</t>
  </si>
  <si>
    <t>D148398</t>
  </si>
  <si>
    <t>D141567</t>
  </si>
  <si>
    <t>B125319</t>
  </si>
  <si>
    <t>R116490</t>
  </si>
  <si>
    <t>H115573</t>
  </si>
  <si>
    <t>R143063</t>
  </si>
  <si>
    <t>A139925</t>
  </si>
  <si>
    <t>I140349</t>
  </si>
  <si>
    <t>M147884</t>
  </si>
  <si>
    <t>B141839</t>
  </si>
  <si>
    <t>A146059</t>
  </si>
  <si>
    <t>S141602</t>
  </si>
  <si>
    <t>F144009</t>
  </si>
  <si>
    <t>K145356</t>
  </si>
  <si>
    <t>N147556</t>
  </si>
  <si>
    <t>T140852</t>
  </si>
  <si>
    <t>R147566</t>
  </si>
  <si>
    <t>N113759</t>
  </si>
  <si>
    <t>A147159</t>
  </si>
  <si>
    <t>D142113</t>
  </si>
  <si>
    <t>L147776</t>
  </si>
  <si>
    <t>S150553</t>
  </si>
  <si>
    <t>M145260</t>
  </si>
  <si>
    <t>R148025</t>
  </si>
  <si>
    <t>S149613</t>
  </si>
  <si>
    <t>R150716</t>
  </si>
  <si>
    <t>A140075</t>
  </si>
  <si>
    <t>D140200</t>
  </si>
  <si>
    <t>A149125</t>
  </si>
  <si>
    <t>S145951</t>
  </si>
  <si>
    <t>G23193</t>
  </si>
  <si>
    <t>B139585</t>
  </si>
  <si>
    <t>V146846</t>
  </si>
  <si>
    <t>H151333</t>
  </si>
  <si>
    <t>A139994</t>
  </si>
  <si>
    <t>D147389</t>
  </si>
  <si>
    <t>W147696</t>
  </si>
  <si>
    <t>V139533</t>
  </si>
  <si>
    <t>S102934</t>
  </si>
  <si>
    <t>N140682</t>
  </si>
  <si>
    <t>H146515</t>
  </si>
  <si>
    <t>A144285</t>
  </si>
  <si>
    <t>R146056</t>
  </si>
  <si>
    <t>G142675</t>
  </si>
  <si>
    <t>R142483</t>
  </si>
  <si>
    <t>M141725</t>
  </si>
  <si>
    <t>G142495</t>
  </si>
  <si>
    <t>R137073</t>
  </si>
  <si>
    <t>V152341</t>
  </si>
  <si>
    <t>A143105</t>
  </si>
  <si>
    <t>S146550</t>
  </si>
  <si>
    <t>J143853</t>
  </si>
  <si>
    <t>M149893</t>
  </si>
  <si>
    <t>P131453</t>
  </si>
  <si>
    <t>M140370</t>
  </si>
  <si>
    <t>U131118</t>
  </si>
  <si>
    <t>A135643</t>
  </si>
  <si>
    <t>D137494</t>
  </si>
  <si>
    <t>J139752</t>
  </si>
  <si>
    <t>D146781</t>
  </si>
  <si>
    <t>R147571</t>
  </si>
  <si>
    <t>B139025</t>
  </si>
  <si>
    <t>M134081</t>
  </si>
  <si>
    <t>S147875</t>
  </si>
  <si>
    <t>A146696</t>
  </si>
  <si>
    <t>I140655</t>
  </si>
  <si>
    <t>T146153</t>
  </si>
  <si>
    <t>M67126</t>
  </si>
  <si>
    <t>H137354</t>
  </si>
  <si>
    <t>M139182</t>
  </si>
  <si>
    <t>V56349</t>
  </si>
  <si>
    <t>S141536</t>
  </si>
  <si>
    <t>S138102</t>
  </si>
  <si>
    <t>R138463</t>
  </si>
  <si>
    <t>V131082</t>
  </si>
  <si>
    <t>M148454</t>
  </si>
  <si>
    <t>C136342</t>
  </si>
  <si>
    <t>A140417</t>
  </si>
  <si>
    <t>K139882</t>
  </si>
  <si>
    <t>V142662</t>
  </si>
  <si>
    <t>D140089</t>
  </si>
  <si>
    <t>S132747</t>
  </si>
  <si>
    <t>M145826</t>
  </si>
  <si>
    <t>S141067</t>
  </si>
  <si>
    <t>R146797</t>
  </si>
  <si>
    <t>S133706</t>
  </si>
  <si>
    <t>I135236</t>
  </si>
  <si>
    <t>S137772</t>
  </si>
  <si>
    <t>R145902</t>
  </si>
  <si>
    <t>A138081</t>
  </si>
  <si>
    <t>A136677</t>
  </si>
  <si>
    <t>K134624</t>
  </si>
  <si>
    <t>T146043</t>
  </si>
  <si>
    <t>P151396</t>
  </si>
  <si>
    <t>M141277</t>
  </si>
  <si>
    <t>S152976</t>
  </si>
  <si>
    <t>S138105</t>
  </si>
  <si>
    <t>R142758</t>
  </si>
  <si>
    <t>S136541</t>
  </si>
  <si>
    <t>G107144</t>
  </si>
  <si>
    <t>R138975</t>
  </si>
  <si>
    <t>S145893</t>
  </si>
  <si>
    <t>A148064</t>
  </si>
  <si>
    <t>D140402</t>
  </si>
  <si>
    <t>S139609</t>
  </si>
  <si>
    <t>S111087</t>
  </si>
  <si>
    <t>S93173</t>
  </si>
  <si>
    <t>K134834</t>
  </si>
  <si>
    <t>S146954</t>
  </si>
  <si>
    <t>S148279</t>
  </si>
  <si>
    <t>K142061</t>
  </si>
  <si>
    <t>A142269</t>
  </si>
  <si>
    <t>S148429</t>
  </si>
  <si>
    <t>S152335</t>
  </si>
  <si>
    <t>V145641</t>
  </si>
  <si>
    <t>M138676</t>
  </si>
  <si>
    <t>S143608</t>
  </si>
  <si>
    <t>S147257</t>
  </si>
  <si>
    <t>Y151108</t>
  </si>
  <si>
    <t>M124492</t>
  </si>
  <si>
    <t>P145312</t>
  </si>
  <si>
    <t>V148682</t>
  </si>
  <si>
    <t>Y149325</t>
  </si>
  <si>
    <t>K124274</t>
  </si>
  <si>
    <t>M143896</t>
  </si>
  <si>
    <t>N140276</t>
  </si>
  <si>
    <t>S140155</t>
  </si>
  <si>
    <t>A145372</t>
  </si>
  <si>
    <t>S124307</t>
  </si>
  <si>
    <t>A146793</t>
  </si>
  <si>
    <t>M113490</t>
  </si>
  <si>
    <t>S143062</t>
  </si>
  <si>
    <t>T150650</t>
  </si>
  <si>
    <t>V123264</t>
  </si>
  <si>
    <t>S149193</t>
  </si>
  <si>
    <t>M141315</t>
  </si>
  <si>
    <t>A144176</t>
  </si>
  <si>
    <t>S115361</t>
  </si>
  <si>
    <t>J145407</t>
  </si>
  <si>
    <t>N140946</t>
  </si>
  <si>
    <t>G152789</t>
  </si>
  <si>
    <t>S138704</t>
  </si>
  <si>
    <t>S147490</t>
  </si>
  <si>
    <t>S113064</t>
  </si>
  <si>
    <t>R144914</t>
  </si>
  <si>
    <t>P147957</t>
  </si>
  <si>
    <t>D139736</t>
  </si>
  <si>
    <t>P141574</t>
  </si>
  <si>
    <t>P146710</t>
  </si>
  <si>
    <t>S143397</t>
  </si>
  <si>
    <t>B146721</t>
  </si>
  <si>
    <t>F142615</t>
  </si>
  <si>
    <t>M148305</t>
  </si>
  <si>
    <t>S145422</t>
  </si>
  <si>
    <t>S147142</t>
  </si>
  <si>
    <t>P145404</t>
  </si>
  <si>
    <t>N123560</t>
  </si>
  <si>
    <t>S140031</t>
  </si>
  <si>
    <t>F141612</t>
  </si>
  <si>
    <t>J140294</t>
  </si>
  <si>
    <t>S132316</t>
  </si>
  <si>
    <t>B132413</t>
  </si>
  <si>
    <t>L139526</t>
  </si>
  <si>
    <t>D144456</t>
  </si>
  <si>
    <t>P142491</t>
  </si>
  <si>
    <t>A143181</t>
  </si>
  <si>
    <t>A143387</t>
  </si>
  <si>
    <t>A147212</t>
  </si>
  <si>
    <t>H146584</t>
  </si>
  <si>
    <t>T146494</t>
  </si>
  <si>
    <t>N137051</t>
  </si>
  <si>
    <t>R145707</t>
  </si>
  <si>
    <t>S139714</t>
  </si>
  <si>
    <t>K151372</t>
  </si>
  <si>
    <t>R143233</t>
  </si>
  <si>
    <t>S139199</t>
  </si>
  <si>
    <t>K138956</t>
  </si>
  <si>
    <t>V24147</t>
  </si>
  <si>
    <t>D134534</t>
  </si>
  <si>
    <t>K151955</t>
  </si>
  <si>
    <t>M143135</t>
  </si>
  <si>
    <t>C139758</t>
  </si>
  <si>
    <t>S146878</t>
  </si>
  <si>
    <t>A46411</t>
  </si>
  <si>
    <t>H145937</t>
  </si>
  <si>
    <t>S147112</t>
  </si>
  <si>
    <t>S148586</t>
  </si>
  <si>
    <t>G149636</t>
  </si>
  <si>
    <t>M138573</t>
  </si>
  <si>
    <t>B106614</t>
  </si>
  <si>
    <t>N147637</t>
  </si>
  <si>
    <t>R147973</t>
  </si>
  <si>
    <t>M142093</t>
  </si>
  <si>
    <t>M146699</t>
  </si>
  <si>
    <t>S143879</t>
  </si>
  <si>
    <t>R146648</t>
  </si>
  <si>
    <t>R139170</t>
  </si>
  <si>
    <t>M147070</t>
  </si>
  <si>
    <t>H152718</t>
  </si>
  <si>
    <t>M147006</t>
  </si>
  <si>
    <t>N147881</t>
  </si>
  <si>
    <t>Z149509</t>
  </si>
  <si>
    <t>A136482</t>
  </si>
  <si>
    <t>K114046</t>
  </si>
  <si>
    <t>P146640</t>
  </si>
  <si>
    <t>V146803</t>
  </si>
  <si>
    <t>R140116</t>
  </si>
  <si>
    <t>S143418</t>
  </si>
  <si>
    <t>D139110</t>
  </si>
  <si>
    <t>Y49102</t>
  </si>
  <si>
    <t>M132529</t>
  </si>
  <si>
    <t>S135796</t>
  </si>
  <si>
    <t>A26966</t>
  </si>
  <si>
    <t>N29535</t>
  </si>
  <si>
    <t>N150874</t>
  </si>
  <si>
    <t>J151286</t>
  </si>
  <si>
    <t>G151197</t>
  </si>
  <si>
    <t>K142047</t>
  </si>
  <si>
    <t>G148184</t>
  </si>
  <si>
    <t>K143778</t>
  </si>
  <si>
    <t>H124281</t>
  </si>
  <si>
    <t>V139273</t>
  </si>
  <si>
    <t>R148987</t>
  </si>
  <si>
    <t>S141439</t>
  </si>
  <si>
    <t>K145613</t>
  </si>
  <si>
    <t>A24248</t>
  </si>
  <si>
    <t>K144207</t>
  </si>
  <si>
    <t>A79727</t>
  </si>
  <si>
    <t>H146563</t>
  </si>
  <si>
    <t>N145818</t>
  </si>
  <si>
    <t>K139512</t>
  </si>
  <si>
    <t>S142552</t>
  </si>
  <si>
    <t>T142092</t>
  </si>
  <si>
    <t>A145473</t>
  </si>
  <si>
    <t>D145398</t>
  </si>
  <si>
    <t>A148795</t>
  </si>
  <si>
    <t>S151728</t>
  </si>
  <si>
    <t>H140611</t>
  </si>
  <si>
    <t>M146969</t>
  </si>
  <si>
    <t>S142304</t>
  </si>
  <si>
    <t>D151320</t>
  </si>
  <si>
    <t>M151121</t>
  </si>
  <si>
    <t>A141194</t>
  </si>
  <si>
    <t>S141903</t>
  </si>
  <si>
    <t>A141321</t>
  </si>
  <si>
    <t>N142105</t>
  </si>
  <si>
    <t>S151595</t>
  </si>
  <si>
    <t>L143338</t>
  </si>
  <si>
    <t>R146891</t>
  </si>
  <si>
    <t>A150723</t>
  </si>
  <si>
    <t>R144043</t>
  </si>
  <si>
    <t>M143070</t>
  </si>
  <si>
    <t>N152722</t>
  </si>
  <si>
    <t>V149215</t>
  </si>
  <si>
    <t>J152330</t>
  </si>
  <si>
    <t>H141245</t>
  </si>
  <si>
    <t>R142054</t>
  </si>
  <si>
    <t>G143289</t>
  </si>
  <si>
    <t>S138583</t>
  </si>
  <si>
    <t>S148575</t>
  </si>
  <si>
    <t>G110455</t>
  </si>
  <si>
    <t>V143725</t>
  </si>
  <si>
    <t>J140734</t>
  </si>
  <si>
    <t>K138678</t>
  </si>
  <si>
    <t>C59016</t>
  </si>
  <si>
    <t>S138587</t>
  </si>
  <si>
    <t>P143659</t>
  </si>
  <si>
    <t>S101095</t>
  </si>
  <si>
    <t>R129640</t>
  </si>
  <si>
    <t>A148540</t>
  </si>
  <si>
    <t>M148119</t>
  </si>
  <si>
    <t>V141559</t>
  </si>
  <si>
    <t>A140057</t>
  </si>
  <si>
    <t>K92612</t>
  </si>
  <si>
    <t>P136756</t>
  </si>
  <si>
    <t>A152822</t>
  </si>
  <si>
    <t>A149202</t>
  </si>
  <si>
    <t>A142764</t>
  </si>
  <si>
    <t>A50845</t>
  </si>
  <si>
    <t>A147132</t>
  </si>
  <si>
    <t>R147825</t>
  </si>
  <si>
    <t>A141256</t>
  </si>
  <si>
    <t>P151206</t>
  </si>
  <si>
    <t>S150640</t>
  </si>
  <si>
    <t>S140161</t>
  </si>
  <si>
    <t>M147046</t>
  </si>
  <si>
    <t>R150164</t>
  </si>
  <si>
    <t>R151009</t>
  </si>
  <si>
    <t>T130785</t>
  </si>
  <si>
    <t>M150331</t>
  </si>
  <si>
    <t>M77648</t>
  </si>
  <si>
    <t>D144958</t>
  </si>
  <si>
    <t>M148638</t>
  </si>
  <si>
    <t>S141873</t>
  </si>
  <si>
    <t>D137352</t>
  </si>
  <si>
    <t>A151418</t>
  </si>
  <si>
    <t>A140843</t>
  </si>
  <si>
    <t>A139471</t>
  </si>
  <si>
    <t>M144988</t>
  </si>
  <si>
    <t>D151230</t>
  </si>
  <si>
    <t>M149342</t>
  </si>
  <si>
    <t>H148670</t>
  </si>
  <si>
    <t>P149139</t>
  </si>
  <si>
    <t>S144314</t>
  </si>
  <si>
    <t>S146450</t>
  </si>
  <si>
    <t>A141416</t>
  </si>
  <si>
    <t>P147599</t>
  </si>
  <si>
    <t>S145568</t>
  </si>
  <si>
    <t>S144265</t>
  </si>
  <si>
    <t>A47272</t>
  </si>
  <si>
    <t>S152211</t>
  </si>
  <si>
    <t>S142478</t>
  </si>
  <si>
    <t>S129247</t>
  </si>
  <si>
    <t>R66882</t>
  </si>
  <si>
    <t>Z94756</t>
  </si>
  <si>
    <t>M148774</t>
  </si>
  <si>
    <t>S130460</t>
  </si>
  <si>
    <t>A147592</t>
  </si>
  <si>
    <t>H147025</t>
  </si>
  <si>
    <t>K136948</t>
  </si>
  <si>
    <t>M144502</t>
  </si>
  <si>
    <t>S147674</t>
  </si>
  <si>
    <t>A139089</t>
  </si>
  <si>
    <t>A147459</t>
  </si>
  <si>
    <t>A149818</t>
  </si>
  <si>
    <t>S151671</t>
  </si>
  <si>
    <t>D149653</t>
  </si>
  <si>
    <t>P136503</t>
  </si>
  <si>
    <t>P131581</t>
  </si>
  <si>
    <t>P76843</t>
  </si>
  <si>
    <t>S146520</t>
  </si>
  <si>
    <t>P146257</t>
  </si>
  <si>
    <t>D136522</t>
  </si>
  <si>
    <t>R68577</t>
  </si>
  <si>
    <t>P122032</t>
  </si>
  <si>
    <t>T31934</t>
  </si>
  <si>
    <t>K136466</t>
  </si>
  <si>
    <t>S103614</t>
  </si>
  <si>
    <t>A128215</t>
  </si>
  <si>
    <t>R138017</t>
  </si>
  <si>
    <t>M147980</t>
  </si>
  <si>
    <t>J147339</t>
  </si>
  <si>
    <t>R144427</t>
  </si>
  <si>
    <t>D139906</t>
  </si>
  <si>
    <t>M144983</t>
  </si>
  <si>
    <t>S151483</t>
  </si>
  <si>
    <t>S141090</t>
  </si>
  <si>
    <t>V141378</t>
  </si>
  <si>
    <t>C142035</t>
  </si>
  <si>
    <t>A139793</t>
  </si>
  <si>
    <t>A150069</t>
  </si>
  <si>
    <t>N65590</t>
  </si>
  <si>
    <t>S145618</t>
  </si>
  <si>
    <t>K138960</t>
  </si>
  <si>
    <t>K139448</t>
  </si>
  <si>
    <t>A151336</t>
  </si>
  <si>
    <t>A91522</t>
  </si>
  <si>
    <t>P131011</t>
  </si>
  <si>
    <t>P105265</t>
  </si>
  <si>
    <t>R148413</t>
  </si>
  <si>
    <t>S80236</t>
  </si>
  <si>
    <t>P139713</t>
  </si>
  <si>
    <t>A151678</t>
  </si>
  <si>
    <t>B140126</t>
  </si>
  <si>
    <t>S151632</t>
  </si>
  <si>
    <t>A134925</t>
  </si>
  <si>
    <t>N145781</t>
  </si>
  <si>
    <t>V136594</t>
  </si>
  <si>
    <t>M146763</t>
  </si>
  <si>
    <t>A150314</t>
  </si>
  <si>
    <t>S143310</t>
  </si>
  <si>
    <t>A114414</t>
  </si>
  <si>
    <t>A147114</t>
  </si>
  <si>
    <t>M147810</t>
  </si>
  <si>
    <t>S108943</t>
  </si>
  <si>
    <t>S146802</t>
  </si>
  <si>
    <t>R143043</t>
  </si>
  <si>
    <t>R141762</t>
  </si>
  <si>
    <t>S134262</t>
  </si>
  <si>
    <t>G142045</t>
  </si>
  <si>
    <t>Z89463</t>
  </si>
  <si>
    <t>P136801</t>
  </si>
  <si>
    <t>A148461</t>
  </si>
  <si>
    <t>L145574</t>
  </si>
  <si>
    <t>R148883</t>
  </si>
  <si>
    <t>S147826</t>
  </si>
  <si>
    <t>F147417</t>
  </si>
  <si>
    <t>S150626</t>
  </si>
  <si>
    <t>H149846</t>
  </si>
  <si>
    <t>T139371</t>
  </si>
  <si>
    <t>A151156</t>
  </si>
  <si>
    <t>K146338</t>
  </si>
  <si>
    <t>B141201</t>
  </si>
  <si>
    <t>R151414</t>
  </si>
  <si>
    <t>S150974</t>
  </si>
  <si>
    <t>C150946</t>
  </si>
  <si>
    <t>K139621</t>
  </si>
  <si>
    <t>M147793</t>
  </si>
  <si>
    <t>S146837</t>
  </si>
  <si>
    <t>S149617</t>
  </si>
  <si>
    <t>R142618</t>
  </si>
  <si>
    <t>S140214</t>
  </si>
  <si>
    <t>B145441</t>
  </si>
  <si>
    <t>D127176</t>
  </si>
  <si>
    <t>M141887</t>
  </si>
  <si>
    <t>S144693</t>
  </si>
  <si>
    <t>V137421</t>
  </si>
  <si>
    <t>K152228</t>
  </si>
  <si>
    <t>A144110</t>
  </si>
  <si>
    <t>D140649</t>
  </si>
  <si>
    <t>S144966</t>
  </si>
  <si>
    <t>A146183</t>
  </si>
  <si>
    <t>B117079</t>
  </si>
  <si>
    <t>G143753</t>
  </si>
  <si>
    <t>D146105</t>
  </si>
  <si>
    <t>T152202</t>
  </si>
  <si>
    <t>A145489</t>
  </si>
  <si>
    <t>A148435</t>
  </si>
  <si>
    <t>M131413</t>
  </si>
  <si>
    <t>H148576</t>
  </si>
  <si>
    <t>A139153</t>
  </si>
  <si>
    <t>R89787</t>
  </si>
  <si>
    <t>L135934</t>
  </si>
  <si>
    <t>M147199</t>
  </si>
  <si>
    <t>S149138</t>
  </si>
  <si>
    <t>M141302</t>
  </si>
  <si>
    <t>I151111</t>
  </si>
  <si>
    <t>D130015</t>
  </si>
  <si>
    <t>S89122</t>
  </si>
  <si>
    <t>A61735</t>
  </si>
  <si>
    <t>R98652</t>
  </si>
  <si>
    <t>M137360</t>
  </si>
  <si>
    <t>R143469</t>
  </si>
  <si>
    <t>S99080</t>
  </si>
  <si>
    <t>M142487</t>
  </si>
  <si>
    <t>B140617</t>
  </si>
  <si>
    <t>R139744</t>
  </si>
  <si>
    <t>D151089</t>
  </si>
  <si>
    <t>Y150683</t>
  </si>
  <si>
    <t>S146707</t>
  </si>
  <si>
    <t>A142129</t>
  </si>
  <si>
    <t>M148755</t>
  </si>
  <si>
    <t>A143658</t>
  </si>
  <si>
    <t>M122664</t>
  </si>
  <si>
    <t>R140385</t>
  </si>
  <si>
    <t>V142832</t>
  </si>
  <si>
    <t>K139719</t>
  </si>
  <si>
    <t>R146718</t>
  </si>
  <si>
    <t>S145761</t>
  </si>
  <si>
    <t>R94945</t>
  </si>
  <si>
    <t>Y125429</t>
  </si>
  <si>
    <t>A135435</t>
  </si>
  <si>
    <t>M136221</t>
  </si>
  <si>
    <t>P138593</t>
  </si>
  <si>
    <t>S143661</t>
  </si>
  <si>
    <t>A152199</t>
  </si>
  <si>
    <t>S151335</t>
  </si>
  <si>
    <t>R141588</t>
  </si>
  <si>
    <t>R139647</t>
  </si>
  <si>
    <t>J93823</t>
  </si>
  <si>
    <t>S141036</t>
  </si>
  <si>
    <t>D148723</t>
  </si>
  <si>
    <t>V150624</t>
  </si>
  <si>
    <t>K145355</t>
  </si>
  <si>
    <t>A146778</t>
  </si>
  <si>
    <t>G140609</t>
  </si>
  <si>
    <t>S135110</t>
  </si>
  <si>
    <t>A131954</t>
  </si>
  <si>
    <t>A146976</t>
  </si>
  <si>
    <t>S140204</t>
  </si>
  <si>
    <t>S139933</t>
  </si>
  <si>
    <t>S146831</t>
  </si>
  <si>
    <t>S151223</t>
  </si>
  <si>
    <t>M149338</t>
  </si>
  <si>
    <t>B140079</t>
  </si>
  <si>
    <t>A151347</t>
  </si>
  <si>
    <t>S141918</t>
  </si>
  <si>
    <t>K144660</t>
  </si>
  <si>
    <t>S142439</t>
  </si>
  <si>
    <t>S142087</t>
  </si>
  <si>
    <t>P149136</t>
  </si>
  <si>
    <t>M150208</t>
  </si>
  <si>
    <t>J118052</t>
  </si>
  <si>
    <t>D148354</t>
  </si>
  <si>
    <t>K150903</t>
  </si>
  <si>
    <t>Y139566</t>
  </si>
  <si>
    <t>D134581</t>
  </si>
  <si>
    <t>J148254</t>
  </si>
  <si>
    <t>R149703</t>
  </si>
  <si>
    <t>S148829</t>
  </si>
  <si>
    <t>A139756</t>
  </si>
  <si>
    <t>A149516</t>
  </si>
  <si>
    <t>V140141</t>
  </si>
  <si>
    <t>M145375</t>
  </si>
  <si>
    <t>P147993</t>
  </si>
  <si>
    <t>C148406</t>
  </si>
  <si>
    <t>M144027</t>
  </si>
  <si>
    <t>R145367</t>
  </si>
  <si>
    <t>C143910</t>
  </si>
  <si>
    <t>R148210</t>
  </si>
  <si>
    <t>H152697</t>
  </si>
  <si>
    <t>S140772</t>
  </si>
  <si>
    <t>G145769</t>
  </si>
  <si>
    <t>S146900</t>
  </si>
  <si>
    <t>M148157</t>
  </si>
  <si>
    <t>P140179</t>
  </si>
  <si>
    <t>D140579</t>
  </si>
  <si>
    <t>R148304</t>
  </si>
  <si>
    <t>S149213</t>
  </si>
  <si>
    <t>V148045</t>
  </si>
  <si>
    <t>S146046</t>
  </si>
  <si>
    <t>P139178</t>
  </si>
  <si>
    <t>R146086</t>
  </si>
  <si>
    <t>R134332</t>
  </si>
  <si>
    <t>C147087</t>
  </si>
  <si>
    <t>A82250</t>
  </si>
  <si>
    <t>H138519</t>
  </si>
  <si>
    <t>H93952</t>
  </si>
  <si>
    <t>A29734</t>
  </si>
  <si>
    <t>A133408</t>
  </si>
  <si>
    <t>S136374</t>
  </si>
  <si>
    <t>R128888</t>
  </si>
  <si>
    <t>V144929</t>
  </si>
  <si>
    <t>K141354</t>
  </si>
  <si>
    <t>P150823</t>
  </si>
  <si>
    <t>L141530</t>
  </si>
  <si>
    <t>P139848</t>
  </si>
  <si>
    <t>G145797</t>
  </si>
  <si>
    <t>D129038</t>
  </si>
  <si>
    <t>M147731</t>
  </si>
  <si>
    <t>J150572</t>
  </si>
  <si>
    <t>S149176</t>
  </si>
  <si>
    <t>C151753</t>
  </si>
  <si>
    <t>K140010</t>
  </si>
  <si>
    <t>R151946</t>
  </si>
  <si>
    <t>K147121</t>
  </si>
  <si>
    <t>C143899</t>
  </si>
  <si>
    <t>M126084</t>
  </si>
  <si>
    <t>A68273</t>
  </si>
  <si>
    <t>G132339</t>
  </si>
  <si>
    <t>G64577</t>
  </si>
  <si>
    <t>G143829</t>
  </si>
  <si>
    <t>G150851</t>
  </si>
  <si>
    <t>S147264</t>
  </si>
  <si>
    <t>B139780</t>
  </si>
  <si>
    <t>V63623</t>
  </si>
  <si>
    <t>M142211</t>
  </si>
  <si>
    <t>S147083</t>
  </si>
  <si>
    <t>A140862</t>
  </si>
  <si>
    <t>M106991</t>
  </si>
  <si>
    <t>G148043</t>
  </si>
  <si>
    <t>G141596</t>
  </si>
  <si>
    <t>P137897</t>
  </si>
  <si>
    <t>R134918</t>
  </si>
  <si>
    <t>S142390</t>
  </si>
  <si>
    <t>C147189</t>
  </si>
  <si>
    <t>L22662</t>
  </si>
  <si>
    <t>S147076</t>
  </si>
  <si>
    <t>N26390</t>
  </si>
  <si>
    <t>A146792</t>
  </si>
  <si>
    <t>D140390</t>
  </si>
  <si>
    <t>N149597</t>
  </si>
  <si>
    <t>B137577</t>
  </si>
  <si>
    <t>S147558</t>
  </si>
  <si>
    <t>L143934</t>
  </si>
  <si>
    <t>K145913</t>
  </si>
  <si>
    <t>A131016</t>
  </si>
  <si>
    <t>G113369</t>
  </si>
  <si>
    <t>K132236</t>
  </si>
  <si>
    <t>B136689</t>
  </si>
  <si>
    <t>A135262</t>
  </si>
  <si>
    <t>M95970</t>
  </si>
  <si>
    <t>V137088</t>
  </si>
  <si>
    <t>G148563</t>
  </si>
  <si>
    <t>S137652</t>
  </si>
  <si>
    <t>I46128</t>
  </si>
  <si>
    <t>J150714</t>
  </si>
  <si>
    <t>K140513</t>
  </si>
  <si>
    <t>S142732</t>
  </si>
  <si>
    <t>A151758</t>
  </si>
  <si>
    <t>S148543</t>
  </si>
  <si>
    <t>S150186</t>
  </si>
  <si>
    <t>M151610</t>
  </si>
  <si>
    <t>S144296</t>
  </si>
  <si>
    <t>R145973</t>
  </si>
  <si>
    <t>M102217</t>
  </si>
  <si>
    <t>S143812</t>
  </si>
  <si>
    <t>D142471</t>
  </si>
  <si>
    <t>P140083</t>
  </si>
  <si>
    <t>D145691</t>
  </si>
  <si>
    <t>S152347</t>
  </si>
  <si>
    <t>P151922</t>
  </si>
  <si>
    <t>A140244</t>
  </si>
  <si>
    <t>H145873</t>
  </si>
  <si>
    <t>G141583</t>
  </si>
  <si>
    <t>S88390</t>
  </si>
  <si>
    <t>A138797</t>
  </si>
  <si>
    <t>B90423</t>
  </si>
  <si>
    <t>A141236</t>
  </si>
  <si>
    <t>A140120</t>
  </si>
  <si>
    <t>K140256</t>
  </si>
  <si>
    <t>D139480</t>
  </si>
  <si>
    <t>V147755</t>
  </si>
  <si>
    <t>A145020</t>
  </si>
  <si>
    <t>A152130</t>
  </si>
  <si>
    <t>R145485</t>
  </si>
  <si>
    <t>R140434</t>
  </si>
  <si>
    <t>S141645</t>
  </si>
  <si>
    <t>Y143811</t>
  </si>
  <si>
    <t>G138577</t>
  </si>
  <si>
    <t>M135883</t>
  </si>
  <si>
    <t>J150224</t>
  </si>
  <si>
    <t>S134353</t>
  </si>
  <si>
    <t>G149612</t>
  </si>
  <si>
    <t>D132173</t>
  </si>
  <si>
    <t>M103159</t>
  </si>
  <si>
    <t>D135040</t>
  </si>
  <si>
    <t>S138934</t>
  </si>
  <si>
    <t>I141181</t>
  </si>
  <si>
    <t>N147439</t>
  </si>
  <si>
    <t>K116774</t>
  </si>
  <si>
    <t>D140368</t>
  </si>
  <si>
    <t>H147135</t>
  </si>
  <si>
    <t>V137384</t>
  </si>
  <si>
    <t>N147051</t>
  </si>
  <si>
    <t>G145252</t>
  </si>
  <si>
    <t>S146590</t>
  </si>
  <si>
    <t>N134760</t>
  </si>
  <si>
    <t>S147574</t>
  </si>
  <si>
    <t>A147186</t>
  </si>
  <si>
    <t>S149365</t>
  </si>
  <si>
    <t>G141900</t>
  </si>
  <si>
    <t>H148391</t>
  </si>
  <si>
    <t>P140293</t>
  </si>
  <si>
    <t>I126694</t>
  </si>
  <si>
    <t>A29731</t>
  </si>
  <si>
    <t>R142762</t>
  </si>
  <si>
    <t>M145876</t>
  </si>
  <si>
    <t>A124881</t>
  </si>
  <si>
    <t>R149076</t>
  </si>
  <si>
    <t>B148047</t>
  </si>
  <si>
    <t>H146715</t>
  </si>
  <si>
    <t>V146206</t>
  </si>
  <si>
    <t>R148005</t>
  </si>
  <si>
    <t>K139506</t>
  </si>
  <si>
    <t>R151765</t>
  </si>
  <si>
    <t>D151756</t>
  </si>
  <si>
    <t>I118896</t>
  </si>
  <si>
    <t>A142681</t>
  </si>
  <si>
    <t>A149052</t>
  </si>
  <si>
    <t>S142095</t>
  </si>
  <si>
    <t>A148762</t>
  </si>
  <si>
    <t>E141736</t>
  </si>
  <si>
    <t>V143308</t>
  </si>
  <si>
    <t>D146317</t>
  </si>
  <si>
    <t>V143801</t>
  </si>
  <si>
    <t>D144859</t>
  </si>
  <si>
    <t>A144609</t>
  </si>
  <si>
    <t>B144100</t>
  </si>
  <si>
    <t>A142194</t>
  </si>
  <si>
    <t>R99895</t>
  </si>
  <si>
    <t>M152416</t>
  </si>
  <si>
    <t>C152126</t>
  </si>
  <si>
    <t>K148103</t>
  </si>
  <si>
    <t>T139651</t>
  </si>
  <si>
    <t>N144981</t>
  </si>
  <si>
    <t>A150761</t>
  </si>
  <si>
    <t>S149983</t>
  </si>
  <si>
    <t>S145300</t>
  </si>
  <si>
    <t>D151238</t>
  </si>
  <si>
    <t>A148906</t>
  </si>
  <si>
    <t>A143912</t>
  </si>
  <si>
    <t>P54093</t>
  </si>
  <si>
    <t>A140115</t>
  </si>
  <si>
    <t>R151345</t>
  </si>
  <si>
    <t>V148572</t>
  </si>
  <si>
    <t>S146182</t>
  </si>
  <si>
    <t>V149225</t>
  </si>
  <si>
    <t>M146492</t>
  </si>
  <si>
    <t>V149287</t>
  </si>
  <si>
    <t>A143156</t>
  </si>
  <si>
    <t>S144780</t>
  </si>
  <si>
    <t>U60830</t>
  </si>
  <si>
    <t>M138675</t>
  </si>
  <si>
    <t>R137343</t>
  </si>
  <si>
    <t>N137042</t>
  </si>
  <si>
    <t>M137892</t>
  </si>
  <si>
    <t>P135020</t>
  </si>
  <si>
    <t>R139052</t>
  </si>
  <si>
    <t>S142193</t>
  </si>
  <si>
    <t>J126244</t>
  </si>
  <si>
    <t>S137400</t>
  </si>
  <si>
    <t>N148112</t>
  </si>
  <si>
    <t>A99645</t>
  </si>
  <si>
    <t>A139637</t>
  </si>
  <si>
    <t>D144350</t>
  </si>
  <si>
    <t>R143663</t>
  </si>
  <si>
    <t>H139324</t>
  </si>
  <si>
    <t>A141119</t>
  </si>
  <si>
    <t>M142091</t>
  </si>
  <si>
    <t>S151943</t>
  </si>
  <si>
    <t>S149395</t>
  </si>
  <si>
    <t>S147575</t>
  </si>
  <si>
    <t>R144816</t>
  </si>
  <si>
    <t>M138920</t>
  </si>
  <si>
    <t>I135980</t>
  </si>
  <si>
    <t>V147227</t>
  </si>
  <si>
    <t>S126320</t>
  </si>
  <si>
    <t>V141550</t>
  </si>
  <si>
    <t>R87445</t>
  </si>
  <si>
    <t>U141578</t>
  </si>
  <si>
    <t>G143399</t>
  </si>
  <si>
    <t>B68919</t>
  </si>
  <si>
    <t>K140375</t>
  </si>
  <si>
    <t>A143208</t>
  </si>
  <si>
    <t>G148409</t>
  </si>
  <si>
    <t>H34206</t>
  </si>
  <si>
    <t>A138355</t>
  </si>
  <si>
    <t>S138373</t>
  </si>
  <si>
    <t>P144548</t>
  </si>
  <si>
    <t>M147219</t>
  </si>
  <si>
    <t>A146320</t>
  </si>
  <si>
    <t>H148898</t>
  </si>
  <si>
    <t>F144873</t>
  </si>
  <si>
    <t>K147031</t>
  </si>
  <si>
    <t>K147769</t>
  </si>
  <si>
    <t>S139498</t>
  </si>
  <si>
    <t>K141734</t>
  </si>
  <si>
    <t>G145010</t>
  </si>
  <si>
    <t>S149488</t>
  </si>
  <si>
    <t>I69481</t>
  </si>
  <si>
    <t>M140816</t>
  </si>
  <si>
    <t>S148618</t>
  </si>
  <si>
    <t>B143789</t>
  </si>
  <si>
    <t>A149237</t>
  </si>
  <si>
    <t>M139721</t>
  </si>
  <si>
    <t>D148048</t>
  </si>
  <si>
    <t>R151754</t>
  </si>
  <si>
    <t>S141070</t>
  </si>
  <si>
    <t>A149736</t>
  </si>
  <si>
    <t>R147271</t>
  </si>
  <si>
    <t>M141996</t>
  </si>
  <si>
    <t>G145442</t>
  </si>
  <si>
    <t>R146511</t>
  </si>
  <si>
    <t>C149217</t>
  </si>
  <si>
    <t>J139587</t>
  </si>
  <si>
    <t>A144172</t>
  </si>
  <si>
    <t>B146051</t>
  </si>
  <si>
    <t>S140953</t>
  </si>
  <si>
    <t>S141957</t>
  </si>
  <si>
    <t>A144969</t>
  </si>
  <si>
    <t>A113716</t>
  </si>
  <si>
    <t>D142656</t>
  </si>
  <si>
    <t>J151654</t>
  </si>
  <si>
    <t>V151240</t>
  </si>
  <si>
    <t>P148387</t>
  </si>
  <si>
    <t>N147187</t>
  </si>
  <si>
    <t>R148374</t>
  </si>
  <si>
    <t>R146157</t>
  </si>
  <si>
    <t>M138948</t>
  </si>
  <si>
    <t>N146619</t>
  </si>
  <si>
    <t>M143209</t>
  </si>
  <si>
    <t>S112711</t>
  </si>
  <si>
    <t>H139282</t>
  </si>
  <si>
    <t>J147194</t>
  </si>
  <si>
    <t>Y148177</t>
  </si>
  <si>
    <t>S148465</t>
  </si>
  <si>
    <t>T145700</t>
  </si>
  <si>
    <t>S150344</t>
  </si>
  <si>
    <t>R29062</t>
  </si>
  <si>
    <t>D35049</t>
  </si>
  <si>
    <t>A133629</t>
  </si>
  <si>
    <t>A120613</t>
  </si>
  <si>
    <t>M138734</t>
  </si>
  <si>
    <t>S137555</t>
  </si>
  <si>
    <t>R141394</t>
  </si>
  <si>
    <t>A134750</t>
  </si>
  <si>
    <t>G141871</t>
  </si>
  <si>
    <t>I138810</t>
  </si>
  <si>
    <t>M142708</t>
  </si>
  <si>
    <t>V144813</t>
  </si>
  <si>
    <t>A151510</t>
  </si>
  <si>
    <t>S151944</t>
  </si>
  <si>
    <t>R145874</t>
  </si>
  <si>
    <t>S82774</t>
  </si>
  <si>
    <t>N145778</t>
  </si>
  <si>
    <t>L144670</t>
  </si>
  <si>
    <t>R141700</t>
  </si>
  <si>
    <t>S138000</t>
  </si>
  <si>
    <t>A142210</t>
  </si>
  <si>
    <t>J151744</t>
  </si>
  <si>
    <t>N148447</t>
  </si>
  <si>
    <t>N144758</t>
  </si>
  <si>
    <t>A65032</t>
  </si>
  <si>
    <t>M136456</t>
  </si>
  <si>
    <t>S109642</t>
  </si>
  <si>
    <t>S99004</t>
  </si>
  <si>
    <t>P81746</t>
  </si>
  <si>
    <t>S140710</t>
  </si>
  <si>
    <t>N148083</t>
  </si>
  <si>
    <t>A143159</t>
  </si>
  <si>
    <t>S136892</t>
  </si>
  <si>
    <t>R141338</t>
  </si>
  <si>
    <t>M113901</t>
  </si>
  <si>
    <t>R140114</t>
  </si>
  <si>
    <t>K109818</t>
  </si>
  <si>
    <t>V30508</t>
  </si>
  <si>
    <t>I139799</t>
  </si>
  <si>
    <t>A150235</t>
  </si>
  <si>
    <t>M103643</t>
  </si>
  <si>
    <t>S138735</t>
  </si>
  <si>
    <t>R147175</t>
  </si>
  <si>
    <t>S142026</t>
  </si>
  <si>
    <t>D131739</t>
  </si>
  <si>
    <t>H146579</t>
  </si>
  <si>
    <t>N143882</t>
  </si>
  <si>
    <t>M136387</t>
  </si>
  <si>
    <t>P148338</t>
  </si>
  <si>
    <t>M140421</t>
  </si>
  <si>
    <t>T140274</t>
  </si>
  <si>
    <t>S150399</t>
  </si>
  <si>
    <t>S149637</t>
  </si>
  <si>
    <t>M139303</t>
  </si>
  <si>
    <t>G140322</t>
  </si>
  <si>
    <t>R150692</t>
  </si>
  <si>
    <t>K142622</t>
  </si>
  <si>
    <t>S145544</t>
  </si>
  <si>
    <t>A143726</t>
  </si>
  <si>
    <t>S139711</t>
  </si>
  <si>
    <t>P145983</t>
  </si>
  <si>
    <t>K85806</t>
  </si>
  <si>
    <t>S144256</t>
  </si>
  <si>
    <t>S143257</t>
  </si>
  <si>
    <t>A147225</t>
  </si>
  <si>
    <t>S152626</t>
  </si>
  <si>
    <t>A142072</t>
  </si>
  <si>
    <t>A132132</t>
  </si>
  <si>
    <t>S142551</t>
  </si>
  <si>
    <t>P148156</t>
  </si>
  <si>
    <t>C144034</t>
  </si>
  <si>
    <t>S152393</t>
  </si>
  <si>
    <t>S139602</t>
  </si>
  <si>
    <t>A148971</t>
  </si>
  <si>
    <t>A145171</t>
  </si>
  <si>
    <t>V57067</t>
  </si>
  <si>
    <t>G139437</t>
  </si>
  <si>
    <t>S148658</t>
  </si>
  <si>
    <t>A136233</t>
  </si>
  <si>
    <t>M146078</t>
  </si>
  <si>
    <t>P131034</t>
  </si>
  <si>
    <t>R104250</t>
  </si>
  <si>
    <t>G150436</t>
  </si>
  <si>
    <t>P138578</t>
  </si>
  <si>
    <t>P139192</t>
  </si>
  <si>
    <t>R114795</t>
  </si>
  <si>
    <t>A129393</t>
  </si>
  <si>
    <t>A106487</t>
  </si>
  <si>
    <t>P142172</t>
  </si>
  <si>
    <t>P144659</t>
  </si>
  <si>
    <t>P143787</t>
  </si>
  <si>
    <t>P141281</t>
  </si>
  <si>
    <t>J148115</t>
  </si>
  <si>
    <t>J146435</t>
  </si>
  <si>
    <t>S148246</t>
  </si>
  <si>
    <t>P145113</t>
  </si>
  <si>
    <t>C143682</t>
  </si>
  <si>
    <t>P144947</t>
  </si>
  <si>
    <t>S141647</t>
  </si>
  <si>
    <t>S137182</t>
  </si>
  <si>
    <t>A139077</t>
  </si>
  <si>
    <t>D142659</t>
  </si>
  <si>
    <t>S142407</t>
  </si>
  <si>
    <t>A98977</t>
  </si>
  <si>
    <t>S144160</t>
  </si>
  <si>
    <t>R31814</t>
  </si>
  <si>
    <t>S123528</t>
  </si>
  <si>
    <t>M137495</t>
  </si>
  <si>
    <t>R143042</t>
  </si>
  <si>
    <t>R141371</t>
  </si>
  <si>
    <t>D151929</t>
  </si>
  <si>
    <t>R149979</t>
  </si>
  <si>
    <t>K141259</t>
  </si>
  <si>
    <t>M147262</t>
  </si>
  <si>
    <t>T139945</t>
  </si>
  <si>
    <t>M150323</t>
  </si>
  <si>
    <t>P141962</t>
  </si>
  <si>
    <t>P147079</t>
  </si>
  <si>
    <t>R149626</t>
  </si>
  <si>
    <t>S139666</t>
  </si>
  <si>
    <t>G67361</t>
  </si>
  <si>
    <t>Status</t>
  </si>
  <si>
    <t>Old Portal_1YT</t>
  </si>
  <si>
    <t>Not traded new panel</t>
  </si>
  <si>
    <t>Traded_Old Portal</t>
  </si>
  <si>
    <t>Traded Conversions</t>
  </si>
  <si>
    <t>alina@nexora.live</t>
  </si>
  <si>
    <t>deepa.negi@nexora.live</t>
  </si>
  <si>
    <t>saurabh.s@nexora.live</t>
  </si>
  <si>
    <t>sandeep@nexora.live</t>
  </si>
  <si>
    <t>shambu@nexora.live</t>
  </si>
  <si>
    <t>sangita.m@nexora.live</t>
  </si>
  <si>
    <t>siddhesh@nexora.live</t>
  </si>
  <si>
    <t>kanika@nexora.live</t>
  </si>
  <si>
    <t>mitali@nexora.live</t>
  </si>
  <si>
    <t>irfan@nexora.live</t>
  </si>
  <si>
    <t>ashutosh@nexora.live</t>
  </si>
  <si>
    <t>sushil@nexora.live</t>
  </si>
  <si>
    <t>haresh@nexora.live</t>
  </si>
  <si>
    <t>ishika@nexora.live</t>
  </si>
  <si>
    <t>sachin.g@nexora.live</t>
  </si>
  <si>
    <t>abhishek.k@nexora.live</t>
  </si>
  <si>
    <t>oreen@nexora.live</t>
  </si>
  <si>
    <t>aamir@nexora.live</t>
  </si>
  <si>
    <t>prince@nexora.live</t>
  </si>
  <si>
    <t>kawaljit.k@nexora.live</t>
  </si>
  <si>
    <t>waman@nexora.live</t>
  </si>
  <si>
    <t>suresh@nexora.live</t>
  </si>
  <si>
    <t>sumanth@nexora.live</t>
  </si>
  <si>
    <t>manpreet@nexora.live</t>
  </si>
  <si>
    <t>nair@nexora.live</t>
  </si>
  <si>
    <t>aslam.k@nexora.live</t>
  </si>
  <si>
    <t>divya.d@nexora.live</t>
  </si>
  <si>
    <t>anjali@nexora.live</t>
  </si>
  <si>
    <t>disha@nexora.live</t>
  </si>
  <si>
    <t>fahrukh@nexora.live</t>
  </si>
  <si>
    <t>vaibhav@nexora.live</t>
  </si>
  <si>
    <t>supriya@nexora.live</t>
  </si>
  <si>
    <t>chandan.y@nexora.live</t>
  </si>
  <si>
    <t>shiv@nexora.live</t>
  </si>
  <si>
    <t>deepraj@nexora.live</t>
  </si>
  <si>
    <t>monika@nexora.live</t>
  </si>
  <si>
    <t>nitish@nexora.live</t>
  </si>
  <si>
    <t>sana@nexora.live</t>
  </si>
  <si>
    <t>renu@nexora.live</t>
  </si>
  <si>
    <t>sushma@nexora.live</t>
  </si>
  <si>
    <t>vedant@nexora.live</t>
  </si>
  <si>
    <t>shubham.a@nexora.live</t>
  </si>
  <si>
    <t>ritesh@nexora.live</t>
  </si>
  <si>
    <t>riddhi@nexora.live</t>
  </si>
  <si>
    <t>akhil@nexora.live</t>
  </si>
  <si>
    <t>ankita@nexora.live</t>
  </si>
  <si>
    <t>ramya@nexora.live</t>
  </si>
  <si>
    <t>mohan@nexora.live</t>
  </si>
  <si>
    <t>adharv@nexora.live</t>
  </si>
  <si>
    <t>vamshi@nexora.live</t>
  </si>
  <si>
    <t>ranbeer@nexora.live</t>
  </si>
  <si>
    <t>amrit@nexora.live</t>
  </si>
  <si>
    <t>Date</t>
  </si>
  <si>
    <t>Followup_owner</t>
  </si>
  <si>
    <t>SR No</t>
  </si>
  <si>
    <t>Employee code</t>
  </si>
  <si>
    <t>CRM ID</t>
  </si>
  <si>
    <t>CRM Name</t>
  </si>
  <si>
    <t>Full Name</t>
  </si>
  <si>
    <t>Email ID</t>
  </si>
  <si>
    <t>Religion</t>
  </si>
  <si>
    <t>Date Of Joining</t>
  </si>
  <si>
    <t>Shift</t>
  </si>
  <si>
    <t>Pool</t>
  </si>
  <si>
    <t>TL</t>
  </si>
  <si>
    <t>Location</t>
  </si>
  <si>
    <t>Status - Active/Inactive</t>
  </si>
  <si>
    <t>Scalebot</t>
  </si>
  <si>
    <t>Whatsapp</t>
  </si>
  <si>
    <t>Whatsapp Number</t>
  </si>
  <si>
    <t>Watii</t>
  </si>
  <si>
    <t>Virtual Whatsapp</t>
  </si>
  <si>
    <t>Language</t>
  </si>
  <si>
    <t>New web trader account id</t>
  </si>
  <si>
    <t>Total Days</t>
  </si>
  <si>
    <t>Present</t>
  </si>
  <si>
    <t>Half-Day</t>
  </si>
  <si>
    <t>Leave</t>
  </si>
  <si>
    <t>Casual leave</t>
  </si>
  <si>
    <t>Holiday</t>
  </si>
  <si>
    <t>Comp-off</t>
  </si>
  <si>
    <t>Earned Leave</t>
  </si>
  <si>
    <t>UL/Leave</t>
  </si>
  <si>
    <t>UL P</t>
  </si>
  <si>
    <t>LWP/Penalty</t>
  </si>
  <si>
    <t>Week Off</t>
  </si>
  <si>
    <t>Payable Days</t>
  </si>
  <si>
    <t>Final Target</t>
  </si>
  <si>
    <t>Refer Target</t>
  </si>
  <si>
    <t>Incentive Eligibility</t>
  </si>
  <si>
    <t>Refer Eligibility</t>
  </si>
  <si>
    <t>E-1253</t>
  </si>
  <si>
    <t>13INASHUTOSH0823</t>
  </si>
  <si>
    <t>Ashutosh</t>
  </si>
  <si>
    <t>Ashutosh Singh</t>
  </si>
  <si>
    <t>NON MUSLIM</t>
  </si>
  <si>
    <t>1</t>
  </si>
  <si>
    <t>Saif</t>
  </si>
  <si>
    <t>WFH - Adya IT</t>
  </si>
  <si>
    <t>Active</t>
  </si>
  <si>
    <t>No</t>
  </si>
  <si>
    <t>+1 (938) 290-0306</t>
  </si>
  <si>
    <t>Hindi,English</t>
  </si>
  <si>
    <t>A18844</t>
  </si>
  <si>
    <t>PP</t>
  </si>
  <si>
    <t>WO</t>
  </si>
  <si>
    <t>E-1255</t>
  </si>
  <si>
    <t>18INPRINCE0923</t>
  </si>
  <si>
    <t>Prince Priye</t>
  </si>
  <si>
    <t>+44 7781587534</t>
  </si>
  <si>
    <t>Hindi and English</t>
  </si>
  <si>
    <t>P18858</t>
  </si>
  <si>
    <t>UL</t>
  </si>
  <si>
    <t>CL</t>
  </si>
  <si>
    <t>E-1252</t>
  </si>
  <si>
    <t>88WAMAN1123</t>
  </si>
  <si>
    <t>Waman A</t>
  </si>
  <si>
    <t>Waman Avhad</t>
  </si>
  <si>
    <t>Yes</t>
  </si>
  <si>
    <t>Marathi and Hindi</t>
  </si>
  <si>
    <t>W18916</t>
  </si>
  <si>
    <t>E-1706</t>
  </si>
  <si>
    <t>520INNair0525</t>
  </si>
  <si>
    <t>Nair</t>
  </si>
  <si>
    <t>Narendra Merotra</t>
  </si>
  <si>
    <t>WFH - Direct</t>
  </si>
  <si>
    <t>+1 2626125828</t>
  </si>
  <si>
    <t>N72518</t>
  </si>
  <si>
    <t>E-1668</t>
  </si>
  <si>
    <t>475INSUSHIL0525</t>
  </si>
  <si>
    <t>Sushil</t>
  </si>
  <si>
    <t>Sandeep</t>
  </si>
  <si>
    <t>+1 (262) 612-0567</t>
  </si>
  <si>
    <t>Hindi</t>
  </si>
  <si>
    <t>M18781</t>
  </si>
  <si>
    <t>E-1261</t>
  </si>
  <si>
    <t>124INSACHIN0324</t>
  </si>
  <si>
    <t>Sachin</t>
  </si>
  <si>
    <t>yes</t>
  </si>
  <si>
    <t>S18899</t>
  </si>
  <si>
    <t>E-2235</t>
  </si>
  <si>
    <t>Sushma</t>
  </si>
  <si>
    <t>Jyoti Jha</t>
  </si>
  <si>
    <t>New OJT</t>
  </si>
  <si>
    <t>NO</t>
  </si>
  <si>
    <t>J124196</t>
  </si>
  <si>
    <t>E-2236</t>
  </si>
  <si>
    <t>Divya</t>
  </si>
  <si>
    <t>Nikita Chaturvedi</t>
  </si>
  <si>
    <t>Hindi, Bhogpuri and English</t>
  </si>
  <si>
    <t>N124198</t>
  </si>
  <si>
    <t>E-2237</t>
  </si>
  <si>
    <t>Deepraj</t>
  </si>
  <si>
    <t>Rahul Kumar</t>
  </si>
  <si>
    <t>R124200</t>
  </si>
  <si>
    <t>E-2238</t>
  </si>
  <si>
    <t>Nitish</t>
  </si>
  <si>
    <t>Sonu Yadav</t>
  </si>
  <si>
    <t>S124201</t>
  </si>
  <si>
    <t>E-2239</t>
  </si>
  <si>
    <t>Akhil</t>
  </si>
  <si>
    <t>Yuvraj</t>
  </si>
  <si>
    <t>Y124202</t>
  </si>
  <si>
    <t>Attrite</t>
  </si>
  <si>
    <t>E-2241</t>
  </si>
  <si>
    <t>Sumanth</t>
  </si>
  <si>
    <t>Ashutosh Gaikwad</t>
  </si>
  <si>
    <t>Hindi, Marathi and English</t>
  </si>
  <si>
    <t>A124203</t>
  </si>
  <si>
    <t>E-2204</t>
  </si>
  <si>
    <t>Vedant</t>
  </si>
  <si>
    <t>Abhishek Rai</t>
  </si>
  <si>
    <t>OLD OJT</t>
  </si>
  <si>
    <t>E-2205</t>
  </si>
  <si>
    <t>Mohan</t>
  </si>
  <si>
    <t>Mohd Zain ul Aman</t>
  </si>
  <si>
    <t>MUSLIM</t>
  </si>
  <si>
    <t>E-2211</t>
  </si>
  <si>
    <t>Supriya</t>
  </si>
  <si>
    <t>Anasua Dhar</t>
  </si>
  <si>
    <t>Inactive</t>
  </si>
  <si>
    <t>Hindi, Bengali and English</t>
  </si>
  <si>
    <t>E-2216</t>
  </si>
  <si>
    <t>Oreen</t>
  </si>
  <si>
    <t>Anjum banu</t>
  </si>
  <si>
    <t>Hindi, kannad and English</t>
  </si>
  <si>
    <t>DXB</t>
  </si>
  <si>
    <t>E-1875</t>
  </si>
  <si>
    <t>592INASLAM0825</t>
  </si>
  <si>
    <t>Aslam</t>
  </si>
  <si>
    <t>Ashif Khan</t>
  </si>
  <si>
    <t>Dialer</t>
  </si>
  <si>
    <t>Roshni</t>
  </si>
  <si>
    <t>A18922</t>
  </si>
  <si>
    <t>Absent</t>
  </si>
  <si>
    <t>E-1900</t>
  </si>
  <si>
    <t>597INSURESH0925</t>
  </si>
  <si>
    <t>Suresh</t>
  </si>
  <si>
    <t>Sumit Patel</t>
  </si>
  <si>
    <t>English and Hindi</t>
  </si>
  <si>
    <t>S19292</t>
  </si>
  <si>
    <t>E-1911</t>
  </si>
  <si>
    <t>599INAAMIR0925</t>
  </si>
  <si>
    <t>Aamir</t>
  </si>
  <si>
    <t>Ali</t>
  </si>
  <si>
    <t>A19294</t>
  </si>
  <si>
    <t>LWP</t>
  </si>
  <si>
    <t>E-1910</t>
  </si>
  <si>
    <t>612INSANDEEP0925</t>
  </si>
  <si>
    <t>Shivam Rajput</t>
  </si>
  <si>
    <t>S25714</t>
  </si>
  <si>
    <t>E-1284</t>
  </si>
  <si>
    <t>272INSANGITAM0924</t>
  </si>
  <si>
    <t>Sangita</t>
  </si>
  <si>
    <t>Sangita Mhanta</t>
  </si>
  <si>
    <t>Telgu, Marathi, Hindi and English</t>
  </si>
  <si>
    <t>S18866</t>
  </si>
  <si>
    <t>E-2121</t>
  </si>
  <si>
    <t>Shiv</t>
  </si>
  <si>
    <t>Shivashish</t>
  </si>
  <si>
    <t>OJT 1</t>
  </si>
  <si>
    <t>S79865</t>
  </si>
  <si>
    <t>E-2125</t>
  </si>
  <si>
    <t>Vaibhav</t>
  </si>
  <si>
    <t>Jignesh Gohil</t>
  </si>
  <si>
    <t>Hindi, Gujrati and English</t>
  </si>
  <si>
    <t>E-2130</t>
  </si>
  <si>
    <t>Sana</t>
  </si>
  <si>
    <t>Ansari Farha</t>
  </si>
  <si>
    <t>Hindi, Urdu and English</t>
  </si>
  <si>
    <t>E-2137</t>
  </si>
  <si>
    <t>Siddhesh</t>
  </si>
  <si>
    <t>Sarthak Verma</t>
  </si>
  <si>
    <t>E-2132</t>
  </si>
  <si>
    <t>Kanika</t>
  </si>
  <si>
    <t>Kratika Verma</t>
  </si>
  <si>
    <t>E-2206</t>
  </si>
  <si>
    <t>Renu</t>
  </si>
  <si>
    <t>Mansi Chandwani</t>
  </si>
  <si>
    <t>OJT 2</t>
  </si>
  <si>
    <t>Hindi,punjabi,Sindhi and English</t>
  </si>
  <si>
    <t>E-2207</t>
  </si>
  <si>
    <t>Ramya</t>
  </si>
  <si>
    <t>Pooja Behare</t>
  </si>
  <si>
    <t>E-2208</t>
  </si>
  <si>
    <t>Ishika</t>
  </si>
  <si>
    <t>Maleikha begum</t>
  </si>
  <si>
    <t>Hindi ,Urdu, Telugu and English</t>
  </si>
  <si>
    <t>E-2297</t>
  </si>
  <si>
    <t>Vamshi</t>
  </si>
  <si>
    <t>Shivam Patel</t>
  </si>
  <si>
    <t>OJT4</t>
  </si>
  <si>
    <t>S139552</t>
  </si>
  <si>
    <t>E-2298</t>
  </si>
  <si>
    <t>Manpreet</t>
  </si>
  <si>
    <t>Gurpreet Singh</t>
  </si>
  <si>
    <t>English, Hindi, and Punjabi</t>
  </si>
  <si>
    <t>G139553</t>
  </si>
  <si>
    <t>E-2296</t>
  </si>
  <si>
    <t>Disha</t>
  </si>
  <si>
    <t>Alekhya R</t>
  </si>
  <si>
    <t>Telugu, Hindi, and English</t>
  </si>
  <si>
    <t>A139550</t>
  </si>
  <si>
    <t>-</t>
  </si>
  <si>
    <t>E-1266</t>
  </si>
  <si>
    <t>223INABHIK0824</t>
  </si>
  <si>
    <t>Abhishek Kumar</t>
  </si>
  <si>
    <t>Meta</t>
  </si>
  <si>
    <t>Rehan</t>
  </si>
  <si>
    <t>A19308</t>
  </si>
  <si>
    <t>E-1443</t>
  </si>
  <si>
    <t>397DXBDEEPA0225</t>
  </si>
  <si>
    <t>Deepa</t>
  </si>
  <si>
    <t>Suja Basnet</t>
  </si>
  <si>
    <t>Nepali, Hindi</t>
  </si>
  <si>
    <t>D19386</t>
  </si>
  <si>
    <t>E-1678</t>
  </si>
  <si>
    <t>498INAnkita0525</t>
  </si>
  <si>
    <t>Ankita</t>
  </si>
  <si>
    <t>Aprajita Jaiswal</t>
  </si>
  <si>
    <t>A18849</t>
  </si>
  <si>
    <t>E-2116</t>
  </si>
  <si>
    <t>Haresh</t>
  </si>
  <si>
    <t>Sahil</t>
  </si>
  <si>
    <t>Muslim</t>
  </si>
  <si>
    <t>E-1656</t>
  </si>
  <si>
    <t>614INIRFAN0425</t>
  </si>
  <si>
    <t>israr</t>
  </si>
  <si>
    <t>Mohmmad israr</t>
  </si>
  <si>
    <t>hindi</t>
  </si>
  <si>
    <t>M22227</t>
  </si>
  <si>
    <t>E-1673</t>
  </si>
  <si>
    <t>497INAnjali0525</t>
  </si>
  <si>
    <t>Anjali</t>
  </si>
  <si>
    <t>Amandeep</t>
  </si>
  <si>
    <t>Hindi and Punjabi</t>
  </si>
  <si>
    <t>A18863</t>
  </si>
  <si>
    <t>E- 1237</t>
  </si>
  <si>
    <t>313DXBKAWALJITK1124</t>
  </si>
  <si>
    <t>Kawaljit</t>
  </si>
  <si>
    <t>Kawaljit Kaur</t>
  </si>
  <si>
    <t>Punjabi, Hindi</t>
  </si>
  <si>
    <t>K19388</t>
  </si>
  <si>
    <t>E-1689</t>
  </si>
  <si>
    <t>502INFAHRUKH0525</t>
  </si>
  <si>
    <t>FAHRUKH</t>
  </si>
  <si>
    <t>Firoj Shaikh</t>
  </si>
  <si>
    <t>F23175</t>
  </si>
  <si>
    <t>E-1817</t>
  </si>
  <si>
    <t>577INSAURABH0725</t>
  </si>
  <si>
    <t>Saurabh</t>
  </si>
  <si>
    <t>Shalabh Mathur</t>
  </si>
  <si>
    <t>S18921</t>
  </si>
  <si>
    <t>E-1913</t>
  </si>
  <si>
    <t>596INSHAMBU0925</t>
  </si>
  <si>
    <t>Shambu</t>
  </si>
  <si>
    <t>Satish Chauhan</t>
  </si>
  <si>
    <t>9:30AM - 6:30PM</t>
  </si>
  <si>
    <t>Telegram</t>
  </si>
  <si>
    <t>S19285</t>
  </si>
  <si>
    <t>E-1717</t>
  </si>
  <si>
    <t>537INMITALI0625</t>
  </si>
  <si>
    <t>Mitali</t>
  </si>
  <si>
    <t>Manasvi Tiwari</t>
  </si>
  <si>
    <t>11AM - 8:00 PM</t>
  </si>
  <si>
    <t>+63 9757380279</t>
  </si>
  <si>
    <t>M18857</t>
  </si>
  <si>
    <t>E-1460</t>
  </si>
  <si>
    <t>412INADHARV0225</t>
  </si>
  <si>
    <t>Adharv A</t>
  </si>
  <si>
    <t>Anuj Saini</t>
  </si>
  <si>
    <t>+84 56 278 8327</t>
  </si>
  <si>
    <t>A18913</t>
  </si>
  <si>
    <t>E-2135</t>
  </si>
  <si>
    <t>Alina</t>
  </si>
  <si>
    <t>Maria Ikram Khan</t>
  </si>
  <si>
    <t>E-1832</t>
  </si>
  <si>
    <t>585INRITESH0725</t>
  </si>
  <si>
    <t>Ritesh</t>
  </si>
  <si>
    <t>Rituraj</t>
  </si>
  <si>
    <t>R18927</t>
  </si>
  <si>
    <t>E-1821</t>
  </si>
  <si>
    <t>580INRIDDHI0825</t>
  </si>
  <si>
    <t>Riddhi</t>
  </si>
  <si>
    <t>Rachna Joshi</t>
  </si>
  <si>
    <t>Hindi, Punjabi and English</t>
  </si>
  <si>
    <t>R18931</t>
  </si>
  <si>
    <t>Employee Code</t>
  </si>
  <si>
    <t>Conversion</t>
  </si>
  <si>
    <t>Lead Source</t>
  </si>
  <si>
    <t>MAIN WEBSITE (HOT)</t>
  </si>
  <si>
    <t>Referral (HOT)</t>
  </si>
  <si>
    <t>META3</t>
  </si>
  <si>
    <t>MAIN WEBSITE (HOT) 1</t>
  </si>
  <si>
    <t>Instagram</t>
  </si>
  <si>
    <t>Meta6</t>
  </si>
  <si>
    <t>META6</t>
  </si>
  <si>
    <t>Telegram ads</t>
  </si>
  <si>
    <t>META2</t>
  </si>
  <si>
    <t>Meta Crypto</t>
  </si>
  <si>
    <t>Telegram ads (redirect)</t>
  </si>
  <si>
    <t>YouTube</t>
  </si>
  <si>
    <t>Meta-T</t>
  </si>
  <si>
    <t>Telegram ads (digi)</t>
  </si>
  <si>
    <t>RCS 3</t>
  </si>
  <si>
    <t>NHL</t>
  </si>
  <si>
    <t>Premium</t>
  </si>
  <si>
    <t>Meta(Murtaza-E)</t>
  </si>
  <si>
    <t>PRS</t>
  </si>
  <si>
    <t>SUNIL</t>
  </si>
  <si>
    <t>APPLICATION</t>
  </si>
  <si>
    <t>STOCKMEME</t>
  </si>
  <si>
    <t>MAIN WEBSITE (HOT) C</t>
  </si>
  <si>
    <t>META-E</t>
  </si>
  <si>
    <t>Meta (Murtaza)</t>
  </si>
  <si>
    <t>DV1</t>
  </si>
  <si>
    <t>Direct (HOT)</t>
  </si>
  <si>
    <t>WA</t>
  </si>
  <si>
    <t>Meta-Saudi</t>
  </si>
  <si>
    <t>Dabba</t>
  </si>
  <si>
    <t>RCS</t>
  </si>
  <si>
    <t>Referral Conversion</t>
  </si>
  <si>
    <t>Conversion Distribution</t>
  </si>
  <si>
    <t>l.ClientID</t>
  </si>
  <si>
    <t>fd.first_day</t>
  </si>
  <si>
    <t>first_day_deposit</t>
  </si>
  <si>
    <t>FTD</t>
  </si>
  <si>
    <t>Ten K Deposit Count</t>
  </si>
  <si>
    <t>Fifteen K Deposit Count</t>
  </si>
  <si>
    <t>Fifteen K Amount</t>
  </si>
  <si>
    <t>Weightage</t>
  </si>
  <si>
    <t>Conversion Weightage</t>
  </si>
  <si>
    <t>Deposit%</t>
  </si>
  <si>
    <t>calendar_date</t>
  </si>
  <si>
    <t>Holiday_Type</t>
  </si>
  <si>
    <t>Saturday</t>
  </si>
  <si>
    <t>Sunday</t>
  </si>
  <si>
    <t>NSE Holiday</t>
  </si>
  <si>
    <t>Day Status</t>
  </si>
  <si>
    <t>Date Clean</t>
  </si>
  <si>
    <t>Grand Total</t>
  </si>
  <si>
    <t>Working Day</t>
  </si>
  <si>
    <t>Conversions</t>
  </si>
  <si>
    <t>Audit Count</t>
  </si>
  <si>
    <t>Average Quality Scores</t>
  </si>
  <si>
    <t>Email</t>
  </si>
  <si>
    <t>QA Average</t>
  </si>
  <si>
    <t>Call Tagging</t>
  </si>
  <si>
    <t>CRE Names</t>
  </si>
  <si>
    <t>Call Tagging Error Count</t>
  </si>
  <si>
    <t>Call Tagging Error Percentage</t>
  </si>
  <si>
    <t>Valid Call Tagging</t>
  </si>
  <si>
    <t>498INANKITA0525</t>
  </si>
  <si>
    <t>251INCHANDANY0924</t>
  </si>
  <si>
    <t>520INNAIR0525</t>
  </si>
  <si>
    <t>497INANJALI0525</t>
  </si>
  <si>
    <t>01INMONIKA0723</t>
  </si>
  <si>
    <t>Cre</t>
  </si>
  <si>
    <t>Avg_Daily_Dials</t>
  </si>
  <si>
    <t>Avg_Daily_Unique_Dials</t>
  </si>
  <si>
    <t>mohan</t>
  </si>
  <si>
    <t>vedant</t>
  </si>
  <si>
    <t>ramya</t>
  </si>
  <si>
    <t>oreen</t>
  </si>
  <si>
    <t>Average Unique Dials</t>
  </si>
  <si>
    <t>namrata@nexora.live</t>
  </si>
  <si>
    <t>bevi@nexora.live</t>
  </si>
  <si>
    <t>ashpreet.k@nexora.live</t>
  </si>
  <si>
    <t>shruti@nexora.live</t>
  </si>
  <si>
    <t>glavin@nexora.live</t>
  </si>
  <si>
    <t>zaid.k@nexora.live</t>
  </si>
  <si>
    <t>esha@nexora.live</t>
  </si>
  <si>
    <t>sikander@nexora.live</t>
  </si>
  <si>
    <t>khushboo.k@nexora.live</t>
  </si>
  <si>
    <t>dhanraj@nexora.live</t>
  </si>
  <si>
    <t>myron.f@nexora.live</t>
  </si>
  <si>
    <t>rashmi.s@nexora.live</t>
  </si>
  <si>
    <t>sankalp.m@nexora.live</t>
  </si>
  <si>
    <t>jeh@nexora.live</t>
  </si>
  <si>
    <t>rajan@nexora.live</t>
  </si>
  <si>
    <t>rajinder.s@nexora.live</t>
  </si>
  <si>
    <t>somya@nexora.live</t>
  </si>
  <si>
    <t>lakshmi.s@nexora.live</t>
  </si>
  <si>
    <t>tarun@nexora.live</t>
  </si>
  <si>
    <t>haseeb@nexora.live</t>
  </si>
  <si>
    <t>srikanth.p@nexora.live</t>
  </si>
  <si>
    <t>mudassar.n@nexora.live</t>
  </si>
  <si>
    <t>divya@nexora.live</t>
  </si>
  <si>
    <t>asad.u@nexora.live</t>
  </si>
  <si>
    <t>shahid@nexora.live</t>
  </si>
  <si>
    <t>sujal.c@nexora.live</t>
  </si>
  <si>
    <t>mohammad.fa@nexora.live</t>
  </si>
  <si>
    <t>divya.s@nexora.live</t>
  </si>
  <si>
    <t>idhant@nexora.live</t>
  </si>
  <si>
    <t>musa@nexora.live</t>
  </si>
  <si>
    <t>abhinav.a@nexora.live</t>
  </si>
  <si>
    <t>karan@nexora.live</t>
  </si>
  <si>
    <t>Deepa.negi@nexora.live</t>
  </si>
  <si>
    <t>pooja.k@nexora.live</t>
  </si>
  <si>
    <t>shivansh.s@nexora.live</t>
  </si>
  <si>
    <t>zaina@nexora.live</t>
  </si>
  <si>
    <t>charan@nexora.live</t>
  </si>
  <si>
    <t>Target%</t>
  </si>
  <si>
    <t>Target Score</t>
  </si>
  <si>
    <t>Referral Score</t>
  </si>
  <si>
    <t>Unique Dials Score</t>
  </si>
  <si>
    <t>Average Dials Score</t>
  </si>
  <si>
    <t>Deposit Score</t>
  </si>
  <si>
    <t>Tagging Score</t>
  </si>
  <si>
    <t>Total KPI</t>
  </si>
  <si>
    <t>Quality Score</t>
  </si>
  <si>
    <t>KPI Payout</t>
  </si>
  <si>
    <t>SOP Deduction</t>
  </si>
  <si>
    <t>CRE Name</t>
  </si>
  <si>
    <t>Calling SOP Not Followed</t>
  </si>
  <si>
    <t>Aamir Aamir</t>
  </si>
  <si>
    <t>CRE EMAIL</t>
  </si>
  <si>
    <t>Deduction</t>
  </si>
  <si>
    <t>Final Payout</t>
  </si>
  <si>
    <t>CRE Alignment</t>
  </si>
  <si>
    <t>Targets</t>
  </si>
  <si>
    <t>Performance Markers</t>
  </si>
  <si>
    <t>KPI Scores</t>
  </si>
  <si>
    <t>Payout</t>
  </si>
  <si>
    <t>Conversion Performance</t>
  </si>
  <si>
    <t>Commission</t>
  </si>
  <si>
    <t>Referral Eligibility</t>
  </si>
  <si>
    <t>Ten K Amount</t>
  </si>
  <si>
    <t>Deposit Commission</t>
  </si>
  <si>
    <t>Daily Streak Commission</t>
  </si>
  <si>
    <t>Total Commission</t>
  </si>
  <si>
    <t>Average Total Dials</t>
  </si>
  <si>
    <t>No Entry</t>
  </si>
  <si>
    <t>Eligibility</t>
  </si>
  <si>
    <t>KPI Eligibility</t>
  </si>
  <si>
    <t>Conversion Eligibility</t>
  </si>
  <si>
    <t>Performance Eligibility</t>
  </si>
  <si>
    <t>Leave Eligiblity</t>
  </si>
  <si>
    <t>Final Eligibility</t>
  </si>
  <si>
    <t>July</t>
  </si>
  <si>
    <t>June</t>
  </si>
  <si>
    <t>May</t>
  </si>
  <si>
    <t>Leaves</t>
  </si>
  <si>
    <t>Absence</t>
  </si>
  <si>
    <t>EmailID</t>
  </si>
  <si>
    <t>Employee_Code</t>
  </si>
  <si>
    <t>Final_target</t>
  </si>
  <si>
    <t>Incentive_Eligibility</t>
  </si>
  <si>
    <t>Refer_Eligibility</t>
  </si>
  <si>
    <t>Conversion%</t>
  </si>
  <si>
    <t>Referral_Conversion</t>
  </si>
  <si>
    <t>Lead_Source_Distribution</t>
  </si>
  <si>
    <t>Ten_K_Deposit</t>
  </si>
  <si>
    <t>Fif_K_Deposit</t>
  </si>
  <si>
    <t>Ten_K_Deposit_Count</t>
  </si>
  <si>
    <t>Fif_K_Deposit_Count</t>
  </si>
  <si>
    <t>Total_Weighted_Conversion</t>
  </si>
  <si>
    <t>Deposit_Comission</t>
  </si>
  <si>
    <t>Total_Day_Incentive</t>
  </si>
  <si>
    <t>Total_Comission</t>
  </si>
  <si>
    <t>QA</t>
  </si>
  <si>
    <t>Conversion_Score</t>
  </si>
  <si>
    <t>Referral_Score</t>
  </si>
  <si>
    <t>QA_Score</t>
  </si>
  <si>
    <t>Call_Tagging_Accuracy</t>
  </si>
  <si>
    <t>Tagging_Score</t>
  </si>
  <si>
    <t>Deposit_Score</t>
  </si>
  <si>
    <t>Avg_Total_Dials</t>
  </si>
  <si>
    <t>Avg_Unique_Dials</t>
  </si>
  <si>
    <t>Unique_Dials_Score</t>
  </si>
  <si>
    <t>Avg_Dial_Score</t>
  </si>
  <si>
    <t>Total_KPI_Score</t>
  </si>
  <si>
    <t>KPI_Payout</t>
  </si>
  <si>
    <t>Conversion ELigibility</t>
  </si>
  <si>
    <t>Sop Errors</t>
  </si>
  <si>
    <t>MAIN WEBSITE (HOT): 68, Referral (HOT): 40, MAIN WEBSITE (HOT) 1: 2, Direct (HOT): 1</t>
  </si>
  <si>
    <t>ELIGIBLE</t>
  </si>
  <si>
    <t>OJT 3</t>
  </si>
  <si>
    <t>MAIN WEBSITE (HOT): 1</t>
  </si>
  <si>
    <t>NOT ELIGIBLE</t>
  </si>
  <si>
    <t>MAIN WEBSITE (HOT): 72, Referral (HOT): 40, MAIN WEBSITE (HOT) 1: 12, META2: 4, SUNIL: 1, PRS: 1, META3: 1, Instagram: 1, Telegram: 1</t>
  </si>
  <si>
    <t>Referral (HOT): 1</t>
  </si>
  <si>
    <t>META3: 1, META2: 1</t>
  </si>
  <si>
    <t>MAIN WEBSITE (HOT): 3, Referral (HOT): 1, META3: 1, META2: 1</t>
  </si>
  <si>
    <t>MAIN WEBSITE (HOT): 71, Referral (HOT): 21, MAIN WEBSITE (HOT) 1: 2</t>
  </si>
  <si>
    <t>E-1069</t>
  </si>
  <si>
    <t>Welcome Calling</t>
  </si>
  <si>
    <t>MAIN WEBSITE (HOT): 78, Referral (HOT): 49, META3: 2, Telegram ads: 1, 5709596000234224216: 1, Direct (HOT): 1</t>
  </si>
  <si>
    <t>MAIN WEBSITE (HOT): 50, Referral (HOT): 29, MAIN WEBSITE (HOT) 1: 4, META6: 2, META3: 1, META2: 1, Telegram: 1</t>
  </si>
  <si>
    <t>MAIN WEBSITE (HOT): 2, META3: 1</t>
  </si>
  <si>
    <t>MAIN WEBSITE (HOT): 5, Referral (HOT): 1, APPLICATION: 1</t>
  </si>
  <si>
    <t>E-1251</t>
  </si>
  <si>
    <t>MAIN WEBSITE (HOT): 76, Referral (HOT): 18, MAIN WEBSITE (HOT) 1: 4</t>
  </si>
  <si>
    <t>Referral (HOT): 10, META6: 8, Meta6: 6, MAIN WEBSITE (HOT): 5, MAIN WEBSITE (HOT) 1: 2, META3: 2, META-E: 1, DV1: 1, Instagram: 1, Meta(Murtaza-E): 1, Meta-T: 1, APPLICATION: 1, Telegram ads: 1</t>
  </si>
  <si>
    <t>MAIN WEBSITE (HOT): 5, META3: 3, Meta6: 3, Referral (HOT): 2, Invst (HOT): 1, PRS: 1, NHL: 1, META6: 1, Premium: 1</t>
  </si>
  <si>
    <t>Referral (HOT): 22, Meta6: 7, META3: 4, META6: 4, Telegram: 2, Telegram ads: 2, MAIN WEBSITE (HOT): 2, STOCKMEME: 1, META2: 1, Premium: 1, Meta Lookalike: 1, Telegram ads (redirect): 1, Meta Crypto: 1</t>
  </si>
  <si>
    <t>Referral (HOT): 16, MAIN WEBSITE (HOT): 5, META6: 4, META3: 3, Meta6: 3, Instagram: 1, Telegram ads: 1, Telegram ads (redirect): 1, MAIN WEBSITE (HOT) 1: 1</t>
  </si>
  <si>
    <t>Referral (HOT): 7, Meta6: 7, MAIN WEBSITE (HOT): 6, META3: 5, Telegram ads: 4, Meta Crypto: 1, YouTube: 1, Meta(Murtaza2): 1, Telegram: 1</t>
  </si>
  <si>
    <t>E-2115</t>
  </si>
  <si>
    <t>Meta6: 2, Referral (HOT): 1</t>
  </si>
  <si>
    <t>Meta6: 8, MAIN WEBSITE (HOT): 4, META6: 3, Referral (HOT): 3, Telegram ads: 3, META3: 2, MAIN WEBSITE (HOT) C: 1, Premium: 1</t>
  </si>
  <si>
    <t>Referral (HOT): 13, Meta6: 9, META6: 7, MAIN WEBSITE (HOT): 5, Telegram: 3, META3: 1, MAIN WEBSITE (HOT) 1: 1, Telegram ads: 1, Meta ads (Jay): 1</t>
  </si>
  <si>
    <t>MAIN WEBSITE (HOT): 8, Referral (HOT): 4, Meta6: 3, META6: 3, Telegram: 1, Meta Crypto: 1, STOCKMEME: 1, MAIN WEBSITE (HOT) 1: 1</t>
  </si>
  <si>
    <t>MAIN WEBSITE (HOT): 17, META6: 8, MAIN WEBSITE (HOT) 1: 3, Referral (HOT): 3, Meta6: 3, Direct (HOT): 2, OTH: 1, META3: 1</t>
  </si>
  <si>
    <t>E-1274</t>
  </si>
  <si>
    <t>Referral (HOT): 10, Meta6: 6, META6: 4, Telegram ads: 2, META3: 2, Telegram ads (redirect): 1, MAIN WEBSITE (HOT): 1, META2: 1</t>
  </si>
  <si>
    <t>META6: 3, META3: 3, MAIN WEBSITE (HOT): 3, Meta6: 3, Telegram: 1, Referral (HOT): 1, META2: 1</t>
  </si>
  <si>
    <t>Referral (HOT): 20, Meta6: 10, META6: 8, MAIN WEBSITE (HOT): 7, META3: 6, Telegram ads: 2, Premium: 1, APPLICATION: 1, Telegram: 1, MC: 1, META2: 1, Meta(Murtaza-E): 1, Instagram: 1, MAIN WEBSITE (HOT) 1: 1</t>
  </si>
  <si>
    <t>Meta6: 6, Referral (HOT): 4, MAIN WEBSITE (HOT): 3, META6: 3, Telegram ads: 2, Meta ads (Jay): 1, META3: 1</t>
  </si>
  <si>
    <t>Meta6: 5, Referral (HOT): 4, META3: 4, MAIN WEBSITE (HOT): 3, META6: 3, Telegram: 2, Meta ads (Jay): 1, PRS: 1, Telegram ads: 1, MAIN WEBSITE (HOT) 1: 1</t>
  </si>
  <si>
    <t>Referral (HOT): 9, MAIN WEBSITE (HOT): 5, META6: 4, Meta6: 2, META3: 1, META2: 1, MAIN WEBSITE (HOT) 1: 1, Instagram: 1, MAIN WEBSITE: 1, Telegram ads (redirect): 1</t>
  </si>
  <si>
    <t>Referral (HOT): 7, MAIN WEBSITE (HOT): 7, MAIN WEBSITE (HOT) 1: 3, META3: 3, META6: 3, Meta Crypto: 1</t>
  </si>
  <si>
    <t>Referral (HOT): 15, MAIN WEBSITE (HOT): 6, META6: 4, META3: 3, Telegram: 1</t>
  </si>
  <si>
    <t>MAIN WEBSITE (HOT): 3, Premium: 1, Telegram: 1, META3: 1, META6: 1</t>
  </si>
  <si>
    <t>MAIN WEBSITE (HOT): 8, META6: 3, Referral (HOT): 3, META3: 1, META-E: 1, APPLICATION: 1</t>
  </si>
  <si>
    <t>MAIN WEBSITE (HOT): 6, Referral (HOT): 2, META3: 2, Telegram ads: 1</t>
  </si>
  <si>
    <t>MAIN WEBSITE (HOT): 7, Referral (HOT): 3, META3: 3, META6: 2</t>
  </si>
  <si>
    <t>MAIN WEBSITE (HOT): 5, MAIN WEBSITE (HOT) 1: 2, Instagram: 2, Telegram: 1, Referral (HOT): 1</t>
  </si>
  <si>
    <t>MAIN WEBSITE (HOT): 10, Referral (HOT): 6, META6: 5, Telegram ads: 1, MAIN WEBSITE (HOT) 1: 1, META-E: 1, META-AD: 1, META2: 1, Telegram: 1, Goyal: 1, META3: 1</t>
  </si>
  <si>
    <t>META3: 5, MAIN WEBSITE (HOT): 3, META6: 3, MAIN WEBSITE (HOT) 1: 1, Referral (HOT): 1, META2: 1, Meta Lookalike: 1, Premium: 1, NHL: 1, Meta Crypto: 1</t>
  </si>
  <si>
    <t>Referral (HOT): 2, MAIN WEBSITE (HOT): 2</t>
  </si>
  <si>
    <t>MAIN WEBSITE (HOT): 4, META6: 3, MAIN WEBSITE (HOT) 1: 2, META3: 1</t>
  </si>
  <si>
    <t>MAIN WEBSITE (HOT): 18, Referral (HOT): 14, META6: 4, MAIN WEBSITE (HOT) 1: 2, META3: 2, Telegram ads: 1, TX20: 1, META2: 1</t>
  </si>
  <si>
    <t>Ronish</t>
  </si>
  <si>
    <t>Telegram: 2, Referral (HOT): 2, MAIN WEBSITE (HOT): 1, Meta-T: 1, META6: 1, META2: 1, META3: 1</t>
  </si>
  <si>
    <t>MAIN WEBSITE (HOT): 4, META6: 1, META2: 1</t>
  </si>
  <si>
    <t>MAIN WEBSITE (HOT): 5, META3: 4, META6: 3, Premium: 2, Referral (HOT): 2, MAIN WEBSITE (HOT) 1: 1, Instagram: 1, Telegram: 1</t>
  </si>
  <si>
    <t>sheela@nexora.live</t>
  </si>
  <si>
    <t>E-2210</t>
  </si>
  <si>
    <t>MAIN WEBSITE (HOT): 4, META2: 1, MAIN WEBSITE (HOT) 1: 1, META6: 1</t>
  </si>
  <si>
    <t>Referral (HOT): 5, META6: 2, MAIN WEBSITE (HOT): 2, MAIN WEBSITE (HOT) 1: 1, Meta Crypto: 1, Premium: 1, WA: 1, Instagram: 1</t>
  </si>
  <si>
    <t>META3: 2, META6: 1, PRS: 1</t>
  </si>
  <si>
    <t>MAIN WEBSITE (HOT): 3, META6: 2, Referral (HOT): 1</t>
  </si>
  <si>
    <t>shrey@nexora.live</t>
  </si>
  <si>
    <t>E-2209</t>
  </si>
  <si>
    <t>Telegram: 1, STOCKMEME: 1, META6: 1, MAIN WEBSITE (HOT): 1</t>
  </si>
  <si>
    <t>Final_Payout</t>
  </si>
  <si>
    <t>Attendance Eligibility</t>
  </si>
  <si>
    <t>Referral (HOT): 10, META6: 6, MAIN WEBSITE (HOT): 3, Meta Crypto: 2, META3: 2, META-E: 1, Instagram: 1</t>
  </si>
  <si>
    <t>Eligible</t>
  </si>
  <si>
    <t>MAIN WEBSITE (HOT): 59, Referral (HOT): 17, META6: 1, MAIN WEBSITE (HOT) 1: 1, PRS: 1</t>
  </si>
  <si>
    <t>Not Eligible</t>
  </si>
  <si>
    <t>META6: 3, Referral (HOT): 2, Meta Crypto: 1, Meta(Murtaza2): 1</t>
  </si>
  <si>
    <t>Referral (HOT): 13, META6: 7, META3: 7, MAIN WEBSITE (HOT): 3, META-E: 1, Telegram: 1, APPLICATION: 1</t>
  </si>
  <si>
    <t>Referral (HOT): 1, MAIN WEBSITE (HOT): 1</t>
  </si>
  <si>
    <t>Referral (HOT): 10, META6: 6, Telegram: 3, MAIN WEBSITE (HOT): 2, META3: 2, Instagram: 2</t>
  </si>
  <si>
    <t>META6: 10, Referral (HOT): 8, MAIN WEBSITE (HOT): 4, Telegram: 3, OTH: 1, META3: 1</t>
  </si>
  <si>
    <t>META6: 15, Referral (HOT): 15, META-E: 2, META3: 2, Telegram: 2, Meta (Murtaza): 1, MAIN WEBSITE (HOT): 1, STOCKMEME: 1</t>
  </si>
  <si>
    <t>MAIN WEBSITE (HOT): 6, META6: 5, META-E: 2, Telegram: 1, Referral (HOT): 1, META3: 1</t>
  </si>
  <si>
    <t>MAIN WEBSITE (HOT): 6, Referral (HOT): 4, META6: 3, META2: 2, META3: 1</t>
  </si>
  <si>
    <t>E-2243</t>
  </si>
  <si>
    <t>E-2242</t>
  </si>
  <si>
    <t>E-2247</t>
  </si>
  <si>
    <t>MAIN WEBSITE (HOT): 7, Referral (HOT): 6, META6: 3, Meta Crypto: 2, META3: 1, Direct (HOT): 1</t>
  </si>
  <si>
    <t>Referral (HOT): 6, MAIN WEBSITE (HOT): 3, META6: 3, Meta Crypto: 1, Instagram: 1, STOCKMEME: 1</t>
  </si>
  <si>
    <t>META6: 9, MAIN WEBSITE (HOT): 7, Meta(Murtaza-E): 2, META3: 1, Referral (HOT): 1</t>
  </si>
  <si>
    <t>META6: 9, Referral (HOT): 6, MAIN WEBSITE (HOT): 4, META3: 2, META2: 1, META-E: 1</t>
  </si>
  <si>
    <t>MAIN WEBSITE (HOT): 53, Referral (HOT): 30, MAIN WEBSITE (HOT) 1: 2</t>
  </si>
  <si>
    <t>diyansh@nexora.live</t>
  </si>
  <si>
    <t>E-2212</t>
  </si>
  <si>
    <t>META6: 1, Instagram: 1</t>
  </si>
  <si>
    <t>META6: 2</t>
  </si>
  <si>
    <t>payal@nexora.live</t>
  </si>
  <si>
    <t>E-2215</t>
  </si>
  <si>
    <t>MAIN WEBSITE (HOT): 2, STOCKMEME: 2, Telegram: 1, META6: 1, Referral (HOT): 1</t>
  </si>
  <si>
    <t>MAIN WEBSITE (HOT): 5, META6: 4, META3: 2, Referral (HOT): 2, MAIN WEBSITE (HOT) 1: 1, META-E: 1</t>
  </si>
  <si>
    <t>E-2244</t>
  </si>
  <si>
    <t>META6: 10, Referral (HOT): 5, META3: 1, Meta Lookalike: 1, Telegram: 1</t>
  </si>
  <si>
    <t>Referral (HOT): 4, META6: 4, MAIN WEBSITE (HOT) C: 1, Telegram: 1, META3: 1, META2: 1, Instagram: 1, Meta Lookalike: 1</t>
  </si>
  <si>
    <t>MAIN WEBSITE (HOT): 55, Referral (HOT): 5, META6: 1, MAIN WEBSITE (HOT) 1: 1, STOCKMEME: 1</t>
  </si>
  <si>
    <t>MAIN WEBSITE (HOT): 60, Referral (HOT): 30, MAIN WEBSITE (HOT) 1: 5, APPLICATION: 1, SUNIL: 1, Direct: 1, META2: 1</t>
  </si>
  <si>
    <t>META6: 8, Instagram: 2, Referral (HOT): 2, OTH: 1, META3: 1</t>
  </si>
  <si>
    <t>MAIN WEBSITE (HOT): 60, Referral (HOT): 14, META3: 1</t>
  </si>
  <si>
    <t>yatin@nexora.live</t>
  </si>
  <si>
    <t>E-1906</t>
  </si>
  <si>
    <t>META6: 1, Meta Crypto: 1, Referral (HOT): 1</t>
  </si>
  <si>
    <t>MAIN WEBSITE (HOT): 4, MAIN WEBSITE (HOT) 1: 2, Referral (HOT): 2, STOCKMEME: 1, META6: 1, Meta Crypto: 1</t>
  </si>
  <si>
    <t>arzoo@nexora.live</t>
  </si>
  <si>
    <t>E-2214</t>
  </si>
  <si>
    <t>MAIN WEBSITE (HOT): 3, META3: 2</t>
  </si>
  <si>
    <t>Referral (HOT): 12, META6: 10, MAIN WEBSITE (HOT): 5, Meta(Murtaza2): 1, Instagram: 1</t>
  </si>
  <si>
    <t>MAIN WEBSITE (HOT): 2, META6: 1</t>
  </si>
  <si>
    <t>Referral (HOT): 7, MAIN WEBSITE (HOT) 1: 1, META6: 1, MAIN WEBSITE (HOT): 1, META3: 1</t>
  </si>
  <si>
    <t>META6: 9, META3: 4, Telegram: 2, STOCKMEME: 1, NHL: 1, Referral (HOT): 1, MAIN WEBSITE (HOT): 1</t>
  </si>
  <si>
    <t>MAIN WEBSITE (HOT): 10, META3: 5, META6: 3, Telegram: 1, MC (HOT): 1, Meta Crypto: 1</t>
  </si>
  <si>
    <t>MAIN WEBSITE (HOT): 54, Referral (HOT): 25, META3: 2, META-E: 1, Meta Crypto: 1, WA: 1, MAIN WEBSITE: 1</t>
  </si>
  <si>
    <t>META6: 15, Referral (HOT): 9, MAIN WEBSITE (HOT): 3, Meta Crypto: 1, MAIN WEBSITE (HOT) 1: 1, META3: 1</t>
  </si>
  <si>
    <t>META6: 8, Referral (HOT): 4, MAIN WEBSITE (HOT): 4, META3: 2, META2: 1, Telegram: 1</t>
  </si>
  <si>
    <t>META6: 11, Referral (HOT): 6, MAIN WEBSITE (HOT): 3, META3: 3, STOCKMEME: 1, META-E: 1, Meta Crypto: 1</t>
  </si>
  <si>
    <t>META6: 8, META3: 1, Telegram: 1, MAIN WEBSITE (HOT): 1, MAIN WEBSITE (HOT) 1: 1</t>
  </si>
  <si>
    <t>deepa@nexora.live</t>
  </si>
  <si>
    <t>E-2123</t>
  </si>
  <si>
    <t>Nirvik</t>
  </si>
  <si>
    <t>META6: 1</t>
  </si>
  <si>
    <t>META6: 1, MAIN WEBSITE (HOT): 1</t>
  </si>
  <si>
    <t>MAIN WEBSITE (HOT): 1, MAIN WEBSITE (HOT) 1: 1, META6: 1</t>
  </si>
  <si>
    <t>NHL: 1, MAIN WEBSITE (HOT) 1: 1, META3: 1, MAIN WEBSITE (HOT): 1</t>
  </si>
  <si>
    <t>Average</t>
  </si>
  <si>
    <t>Date of Joining</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</si>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</sst>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dd/m"/>
    <numFmt numFmtId="165" formatCode="d/m/yyyy"/>
    <numFmt numFmtId="166" formatCode="dd/mm/yy"/>
    <numFmt numFmtId="167" formatCode="d/mm/yyyy"/>
    <numFmt numFmtId="168" formatCode="d/m/yy"/>
    <numFmt numFmtId="169" formatCode="d/mm/yy"/>
    <numFmt numFmtId="170" formatCode="d\-mm\-yyyy"/>
    <numFmt numFmtId="171" formatCode="dd\-mm\-yyyy"/>
    <numFmt numFmtId="172" formatCode="dd\ mmm\,\ yyyy\ hh:mm:ss"/>
    <numFmt numFmtId="173" formatCode="0.0##############"/>
    <numFmt numFmtId="174" formatCode="dd\ mmm\ yyyy\ hh:mm:ss"/>
    <numFmt numFmtId="175" formatCode="0.0"/>
    <numFmt numFmtId="176" formatCode="0;\-0;&quot;-&quot;"/>
    <numFmt numFmtId="177" formatCode="_(* #,##0_);_(* \(#,##0\);_(* &quot;-&quot;_);_(@_)"/>
  </numFmts>
  <fonts count="34"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font>
    <font>
      <b/>
      <sz val="11"/>
      <name val="Calibri"/>
      <family val="2"/>
    </font>
    <font>
      <b/>
      <sz val="11"/>
      <color rgb="FFFFFFFF"/>
      <name val="Calibri"/>
      <family val="2"/>
    </font>
    <font>
      <b/>
      <sz val="11"/>
      <color rgb="FFFFFFFF"/>
      <name val="Aptos Narrow"/>
      <family val="2"/>
    </font>
    <font>
      <b/>
      <sz val="11"/>
      <name val="Aptos Narrow"/>
      <family val="2"/>
    </font>
    <font>
      <u/>
      <sz val="11"/>
      <color rgb="FF0563C1"/>
      <name val="Aptos Narrow"/>
      <family val="2"/>
    </font>
    <font>
      <b/>
      <sz val="11"/>
      <color theme="0"/>
      <name val="Calibri"/>
      <family val="2"/>
    </font>
    <font>
      <b/>
      <sz val="11"/>
      <color theme="1"/>
      <name val="Calibri"/>
      <family val="2"/>
    </font>
    <font>
      <b/>
      <sz val="10"/>
      <name val="Calibri"/>
      <family val="2"/>
    </font>
    <font>
      <b/>
      <sz val="11"/>
      <color theme="0"/>
      <name val="Aptos Narrow"/>
      <family val="2"/>
    </font>
    <font>
      <sz val="11"/>
      <color rgb="FF222222"/>
      <name val="Aptos Narrow"/>
      <family val="2"/>
    </font>
    <font>
      <sz val="11"/>
      <color theme="1"/>
      <name val="Aptos Narrow"/>
      <family val="2"/>
    </font>
    <font>
      <sz val="12"/>
      <color theme="1"/>
      <name val="Aptos Narrow"/>
      <family val="2"/>
    </font>
    <font>
      <sz val="12"/>
      <color theme="1"/>
      <name val="Calibri"/>
      <family val="2"/>
    </font>
    <font>
      <u/>
      <sz val="12"/>
      <color rgb="FF467886"/>
      <name val="Calibri"/>
      <family val="2"/>
    </font>
    <font>
      <sz val="10"/>
      <color theme="1"/>
      <name val="Aptos Narrow"/>
      <family val="2"/>
    </font>
    <font>
      <u/>
      <sz val="12"/>
      <color rgb="FF0563C1"/>
      <name val="Calibri"/>
      <family val="2"/>
    </font>
    <font>
      <sz val="12"/>
      <name val="Calibri"/>
      <family val="2"/>
    </font>
    <font>
      <u/>
      <sz val="12"/>
      <color rgb="FF0563C1"/>
      <name val="Aptos Narrow"/>
      <family val="2"/>
    </font>
    <font>
      <u/>
      <sz val="11"/>
      <color rgb="FF467886"/>
      <name val="Aptos Narrow"/>
      <family val="2"/>
    </font>
    <font>
      <sz val="11"/>
      <name val="Calibri"/>
      <family val="2"/>
    </font>
    <font>
      <sz val="11"/>
      <color theme="1"/>
      <name val="Calibri"/>
      <family val="2"/>
    </font>
    <font>
      <u/>
      <sz val="11"/>
      <color rgb="FF0563C1"/>
      <name val="Calibri"/>
      <family val="2"/>
    </font>
    <font>
      <b/>
      <sz val="10"/>
      <color theme="1"/>
      <name val="Arial"/>
      <family val="2"/>
    </font>
    <font>
      <b/>
      <sz val="11"/>
      <color theme="0"/>
      <name val="Aptos Narrow"/>
      <family val="2"/>
      <scheme val="minor"/>
    </font>
    <font>
      <b/>
      <sz val="12"/>
      <color theme="0"/>
      <name val="Aptos Narrow"/>
      <family val="2"/>
      <scheme val="minor"/>
    </font>
    <font>
      <b/>
      <sz val="10"/>
      <color theme="1"/>
      <name val="Aptos Narrow"/>
      <family val="2"/>
      <scheme val="minor"/>
    </font>
    <font>
      <b/>
      <sz val="11"/>
      <color theme="9" tint="-0.499984740745262"/>
      <name val="Aptos Narrow"/>
      <family val="2"/>
      <scheme val="minor"/>
    </font>
    <font>
      <sz val="11"/>
      <name val="Aptos Narrow"/>
      <family val="2"/>
      <scheme val="minor"/>
    </font>
    <font>
      <b/>
      <sz val="11"/>
      <name val="Aptos Narrow"/>
      <family val="2"/>
      <scheme val="minor"/>
    </font>
    <font>
      <sz val="10"/>
      <color indexed="8"/>
      <name val="Arial"/>
      <family val="2"/>
      <charset val="1"/>
    </font>
  </fonts>
  <fills count="30">
    <fill>
      <patternFill patternType="none"/>
    </fill>
    <fill>
      <patternFill patternType="gray125"/>
    </fill>
    <fill>
      <patternFill patternType="solid">
        <fgColor rgb="FFFFFF00"/>
        <bgColor rgb="FFFFFF00"/>
      </patternFill>
    </fill>
    <fill>
      <patternFill patternType="solid">
        <fgColor rgb="FF002060"/>
        <bgColor rgb="FF002060"/>
      </patternFill>
    </fill>
    <fill>
      <patternFill patternType="solid">
        <fgColor rgb="FFFFC000"/>
        <bgColor rgb="FFFFC000"/>
      </patternFill>
    </fill>
    <fill>
      <patternFill patternType="solid">
        <fgColor rgb="FF00B050"/>
        <bgColor rgb="FF00B050"/>
      </patternFill>
    </fill>
    <fill>
      <patternFill patternType="solid">
        <fgColor rgb="FF012847"/>
        <bgColor rgb="FF012847"/>
      </patternFill>
    </fill>
    <fill>
      <patternFill patternType="solid">
        <fgColor rgb="FF78206E"/>
        <bgColor rgb="FF78206E"/>
      </patternFill>
    </fill>
    <fill>
      <patternFill patternType="solid">
        <fgColor rgb="FF196B24"/>
        <bgColor rgb="FF196B24"/>
      </patternFill>
    </fill>
    <fill>
      <patternFill patternType="solid">
        <fgColor rgb="FFFF0000"/>
        <bgColor rgb="FFFF0000"/>
      </patternFill>
    </fill>
    <fill>
      <patternFill patternType="solid">
        <fgColor rgb="FFF05D5D"/>
        <bgColor rgb="FFF05D5D"/>
      </patternFill>
    </fill>
    <fill>
      <patternFill patternType="solid">
        <fgColor rgb="FFA10606"/>
        <bgColor rgb="FFA10606"/>
      </patternFill>
    </fill>
    <fill>
      <patternFill patternType="solid">
        <fgColor rgb="FFEDD33E"/>
        <bgColor rgb="FFEDD33E"/>
      </patternFill>
    </fill>
    <fill>
      <patternFill patternType="solid">
        <fgColor rgb="FFFFFF00"/>
        <bgColor indexed="64"/>
      </patternFill>
    </fill>
    <fill>
      <patternFill patternType="solid">
        <fgColor rgb="FFFFFFFF"/>
        <bgColor rgb="FFFFFFFF"/>
      </patternFill>
    </fill>
    <fill>
      <patternFill patternType="solid">
        <fgColor rgb="FFEF5364"/>
        <bgColor rgb="FFEF5364"/>
      </patternFill>
    </fill>
    <fill>
      <patternFill patternType="solid">
        <fgColor rgb="FFE31414"/>
        <bgColor rgb="FFE31414"/>
      </patternFill>
    </fill>
    <fill>
      <patternFill patternType="solid">
        <fgColor theme="4" tint="-0.499984740745262"/>
        <bgColor theme="4" tint="-0.499984740745262"/>
      </patternFill>
    </fill>
    <fill>
      <patternFill patternType="solid">
        <fgColor theme="9" tint="-0.499984740745262"/>
        <bgColor indexed="64"/>
      </patternFill>
    </fill>
    <fill>
      <patternFill patternType="solid">
        <fgColor theme="6" tint="-0.249977111117893"/>
        <bgColor indexed="64"/>
      </patternFill>
    </fill>
    <fill>
      <patternFill patternType="solid">
        <fgColor theme="3"/>
        <bgColor indexed="64"/>
      </patternFill>
    </fill>
    <fill>
      <patternFill patternType="solid">
        <fgColor theme="4"/>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6"/>
        <bgColor indexed="64"/>
      </patternFill>
    </fill>
    <fill>
      <patternFill patternType="solid">
        <fgColor theme="6" tint="0.79998168889431442"/>
        <bgColor indexed="64"/>
      </patternFill>
    </fill>
    <fill>
      <patternFill patternType="solid">
        <fgColor theme="6" tint="-0.499984740745262"/>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33" fillId="0" borderId="0"/>
  </cellStyleXfs>
  <cellXfs count="119">
    <xf numFmtId="0" fontId="0" fillId="0" borderId="0" xfId="0"/>
    <xf numFmtId="0" fontId="0" fillId="0" borderId="0" xfId="0" applyAlignment="1">
      <alignment horizontal="left"/>
    </xf>
    <xf numFmtId="14" fontId="0" fillId="0" borderId="0" xfId="0" applyNumberFormat="1"/>
    <xf numFmtId="0" fontId="2" fillId="0" borderId="0" xfId="0" applyFont="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0" fontId="4" fillId="4" borderId="1" xfId="0" applyFont="1" applyFill="1" applyBorder="1" applyAlignment="1">
      <alignment horizontal="center" wrapText="1"/>
    </xf>
    <xf numFmtId="0" fontId="4" fillId="5" borderId="1" xfId="0" applyFont="1" applyFill="1" applyBorder="1" applyAlignment="1">
      <alignment horizontal="center" wrapText="1"/>
    </xf>
    <xf numFmtId="0" fontId="4" fillId="2" borderId="1" xfId="0" applyFont="1" applyFill="1" applyBorder="1" applyAlignment="1">
      <alignment horizontal="center" wrapText="1"/>
    </xf>
    <xf numFmtId="0" fontId="5" fillId="6" borderId="1" xfId="0" applyFont="1" applyFill="1" applyBorder="1" applyAlignment="1">
      <alignment horizontal="center" wrapText="1"/>
    </xf>
    <xf numFmtId="0" fontId="6" fillId="3" borderId="1" xfId="0" applyFont="1" applyFill="1" applyBorder="1" applyAlignment="1">
      <alignment horizontal="center" wrapText="1"/>
    </xf>
    <xf numFmtId="0" fontId="5" fillId="7" borderId="1" xfId="0" applyFont="1" applyFill="1" applyBorder="1" applyAlignment="1">
      <alignment horizontal="center" wrapText="1"/>
    </xf>
    <xf numFmtId="0" fontId="5" fillId="8" borderId="1" xfId="0" applyFont="1" applyFill="1" applyBorder="1" applyAlignment="1">
      <alignment horizontal="center" wrapText="1"/>
    </xf>
    <xf numFmtId="0" fontId="4" fillId="9" borderId="1" xfId="0" applyFont="1" applyFill="1" applyBorder="1" applyAlignment="1">
      <alignment horizontal="center" wrapText="1"/>
    </xf>
    <xf numFmtId="0" fontId="5" fillId="10" borderId="1" xfId="0" applyFont="1" applyFill="1" applyBorder="1" applyAlignment="1">
      <alignment horizontal="center" wrapText="1"/>
    </xf>
    <xf numFmtId="0" fontId="5" fillId="11" borderId="1" xfId="0" applyFont="1" applyFill="1" applyBorder="1" applyAlignment="1">
      <alignment horizontal="center" wrapText="1"/>
    </xf>
    <xf numFmtId="0" fontId="4" fillId="12" borderId="1" xfId="0" applyFont="1" applyFill="1" applyBorder="1" applyAlignment="1">
      <alignment horizontal="center" wrapText="1"/>
    </xf>
    <xf numFmtId="0" fontId="7" fillId="13" borderId="1" xfId="0" applyFont="1" applyFill="1" applyBorder="1" applyAlignment="1">
      <alignment horizontal="center" wrapText="1"/>
    </xf>
    <xf numFmtId="0" fontId="2" fillId="13" borderId="1" xfId="0" applyFont="1" applyFill="1" applyBorder="1"/>
    <xf numFmtId="0" fontId="0" fillId="0" borderId="1" xfId="0" applyBorder="1" applyAlignment="1">
      <alignment horizontal="center"/>
    </xf>
    <xf numFmtId="0" fontId="8" fillId="0" borderId="1" xfId="0" applyFont="1" applyBorder="1" applyAlignment="1">
      <alignment horizontal="center"/>
    </xf>
    <xf numFmtId="165" fontId="0" fillId="0" borderId="1" xfId="0" applyNumberFormat="1" applyBorder="1" applyAlignment="1">
      <alignment horizontal="center"/>
    </xf>
    <xf numFmtId="0" fontId="0" fillId="0" borderId="1" xfId="0" quotePrefix="1" applyBorder="1" applyAlignment="1">
      <alignment horizontal="center"/>
    </xf>
    <xf numFmtId="0" fontId="4" fillId="5"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1" fillId="4" borderId="1" xfId="0" applyFont="1" applyFill="1" applyBorder="1" applyAlignment="1">
      <alignment horizontal="center" wrapText="1"/>
    </xf>
    <xf numFmtId="0" fontId="10" fillId="5" borderId="1" xfId="0" applyFont="1" applyFill="1" applyBorder="1" applyAlignment="1">
      <alignment horizontal="center"/>
    </xf>
    <xf numFmtId="0" fontId="0" fillId="0" borderId="1" xfId="0" applyBorder="1"/>
    <xf numFmtId="0" fontId="10" fillId="9" borderId="1" xfId="0" applyFont="1" applyFill="1" applyBorder="1" applyAlignment="1">
      <alignment horizontal="center" vertical="center" wrapText="1"/>
    </xf>
    <xf numFmtId="0" fontId="12" fillId="3" borderId="1" xfId="0" applyFont="1" applyFill="1" applyBorder="1" applyAlignment="1">
      <alignment horizontal="center" vertical="center"/>
    </xf>
    <xf numFmtId="166" fontId="0" fillId="0" borderId="1" xfId="0" applyNumberFormat="1" applyBorder="1" applyAlignment="1">
      <alignment horizontal="center"/>
    </xf>
    <xf numFmtId="0" fontId="13" fillId="0" borderId="1" xfId="0" applyFont="1" applyBorder="1" applyAlignment="1">
      <alignment horizontal="center"/>
    </xf>
    <xf numFmtId="167" fontId="0" fillId="0" borderId="1" xfId="0" applyNumberFormat="1" applyBorder="1" applyAlignment="1">
      <alignment horizontal="center"/>
    </xf>
    <xf numFmtId="0" fontId="14" fillId="0" borderId="1" xfId="0" applyFont="1" applyBorder="1" applyAlignment="1">
      <alignment horizontal="center"/>
    </xf>
    <xf numFmtId="168" fontId="0" fillId="0" borderId="1" xfId="0" applyNumberFormat="1" applyBorder="1" applyAlignment="1">
      <alignment horizontal="center"/>
    </xf>
    <xf numFmtId="0" fontId="15" fillId="0" borderId="1" xfId="0" applyFont="1" applyBorder="1" applyAlignment="1">
      <alignment horizontal="center"/>
    </xf>
    <xf numFmtId="0" fontId="3" fillId="0" borderId="1" xfId="0" applyFont="1" applyBorder="1" applyAlignment="1">
      <alignment horizontal="center"/>
    </xf>
    <xf numFmtId="0" fontId="16" fillId="0" borderId="1" xfId="0" applyFont="1" applyBorder="1" applyAlignment="1">
      <alignment horizontal="center" wrapText="1"/>
    </xf>
    <xf numFmtId="0" fontId="17" fillId="0" borderId="1" xfId="0" applyFont="1" applyBorder="1" applyAlignment="1">
      <alignment horizontal="center" wrapText="1"/>
    </xf>
    <xf numFmtId="165" fontId="16" fillId="0" borderId="1" xfId="0" applyNumberFormat="1" applyFont="1" applyBorder="1" applyAlignment="1">
      <alignment horizontal="center" wrapText="1"/>
    </xf>
    <xf numFmtId="0" fontId="18" fillId="0" borderId="1" xfId="0" applyFont="1" applyBorder="1" applyAlignment="1">
      <alignment horizontal="center"/>
    </xf>
    <xf numFmtId="0" fontId="19" fillId="0" borderId="1" xfId="0" applyFont="1" applyBorder="1" applyAlignment="1">
      <alignment horizontal="center" wrapText="1"/>
    </xf>
    <xf numFmtId="0" fontId="6" fillId="3" borderId="1" xfId="0" applyFont="1" applyFill="1" applyBorder="1" applyAlignment="1">
      <alignment horizontal="center"/>
    </xf>
    <xf numFmtId="0" fontId="4" fillId="9" borderId="1" xfId="0" applyFont="1" applyFill="1" applyBorder="1" applyAlignment="1">
      <alignment horizontal="center" vertical="center"/>
    </xf>
    <xf numFmtId="0" fontId="16" fillId="14" borderId="1" xfId="0" applyFont="1" applyFill="1" applyBorder="1" applyAlignment="1">
      <alignment horizontal="center" wrapText="1"/>
    </xf>
    <xf numFmtId="0" fontId="16" fillId="14" borderId="1" xfId="0" applyFont="1" applyFill="1" applyBorder="1" applyAlignment="1">
      <alignment horizontal="center"/>
    </xf>
    <xf numFmtId="0" fontId="17" fillId="14" borderId="1" xfId="0" applyFont="1" applyFill="1" applyBorder="1" applyAlignment="1">
      <alignment horizontal="center"/>
    </xf>
    <xf numFmtId="167" fontId="20" fillId="14" borderId="1" xfId="0" applyNumberFormat="1" applyFont="1" applyFill="1" applyBorder="1" applyAlignment="1">
      <alignment horizontal="center"/>
    </xf>
    <xf numFmtId="0" fontId="0" fillId="15" borderId="1" xfId="0" applyFill="1" applyBorder="1" applyAlignment="1">
      <alignment horizontal="center"/>
    </xf>
    <xf numFmtId="0" fontId="0" fillId="9" borderId="1" xfId="0" applyFill="1" applyBorder="1" applyAlignment="1">
      <alignment horizontal="center"/>
    </xf>
    <xf numFmtId="169" fontId="0" fillId="0" borderId="1" xfId="0" applyNumberFormat="1" applyBorder="1" applyAlignment="1">
      <alignment horizontal="center"/>
    </xf>
    <xf numFmtId="0" fontId="4" fillId="16" borderId="1" xfId="0" applyFont="1" applyFill="1" applyBorder="1" applyAlignment="1">
      <alignment horizontal="center" vertical="center"/>
    </xf>
    <xf numFmtId="0" fontId="10" fillId="16" borderId="1" xfId="0" applyFont="1" applyFill="1" applyBorder="1" applyAlignment="1">
      <alignment horizontal="center"/>
    </xf>
    <xf numFmtId="0" fontId="9" fillId="11" borderId="1" xfId="0" applyFont="1" applyFill="1" applyBorder="1" applyAlignment="1">
      <alignment horizontal="center" vertical="center" wrapText="1"/>
    </xf>
    <xf numFmtId="0" fontId="4" fillId="17" borderId="1" xfId="0" applyFont="1" applyFill="1" applyBorder="1" applyAlignment="1">
      <alignment horizontal="center" vertical="center"/>
    </xf>
    <xf numFmtId="0" fontId="10" fillId="12" borderId="1" xfId="0" applyFont="1" applyFill="1" applyBorder="1" applyAlignment="1">
      <alignment horizontal="center" wrapText="1"/>
    </xf>
    <xf numFmtId="0" fontId="21" fillId="0" borderId="1" xfId="0" applyFont="1" applyBorder="1" applyAlignment="1">
      <alignment horizontal="center"/>
    </xf>
    <xf numFmtId="167" fontId="15" fillId="0" borderId="1" xfId="0" applyNumberFormat="1" applyFont="1" applyBorder="1" applyAlignment="1">
      <alignment horizontal="center"/>
    </xf>
    <xf numFmtId="0" fontId="20" fillId="14" borderId="1" xfId="0" applyFont="1" applyFill="1" applyBorder="1" applyAlignment="1">
      <alignment horizontal="center"/>
    </xf>
    <xf numFmtId="0" fontId="22" fillId="14" borderId="1" xfId="0" applyFont="1" applyFill="1" applyBorder="1" applyAlignment="1">
      <alignment horizontal="center"/>
    </xf>
    <xf numFmtId="0" fontId="20" fillId="0" borderId="1" xfId="0" applyFont="1" applyBorder="1" applyAlignment="1">
      <alignment horizontal="center"/>
    </xf>
    <xf numFmtId="0" fontId="19" fillId="0" borderId="1" xfId="0" applyFont="1" applyBorder="1" applyAlignment="1">
      <alignment horizontal="center"/>
    </xf>
    <xf numFmtId="0" fontId="23" fillId="9" borderId="1" xfId="0" applyFont="1" applyFill="1" applyBorder="1" applyAlignment="1">
      <alignment horizontal="center" vertical="center"/>
    </xf>
    <xf numFmtId="0" fontId="24" fillId="14" borderId="1" xfId="0" applyFont="1" applyFill="1" applyBorder="1" applyAlignment="1">
      <alignment horizontal="center"/>
    </xf>
    <xf numFmtId="0" fontId="25" fillId="14" borderId="1" xfId="0" applyFont="1" applyFill="1" applyBorder="1" applyAlignment="1">
      <alignment horizontal="center"/>
    </xf>
    <xf numFmtId="170" fontId="24" fillId="14" borderId="1" xfId="0" applyNumberFormat="1" applyFont="1" applyFill="1" applyBorder="1" applyAlignment="1">
      <alignment horizontal="center"/>
    </xf>
    <xf numFmtId="171" fontId="24" fillId="14" borderId="1" xfId="0" applyNumberFormat="1" applyFont="1" applyFill="1" applyBorder="1" applyAlignment="1">
      <alignment horizontal="center"/>
    </xf>
    <xf numFmtId="0" fontId="4" fillId="0" borderId="1" xfId="0" applyFont="1" applyBorder="1" applyAlignment="1">
      <alignment horizontal="center" vertical="center"/>
    </xf>
    <xf numFmtId="165" fontId="15" fillId="0" borderId="1" xfId="0" applyNumberFormat="1" applyFont="1" applyBorder="1" applyAlignment="1">
      <alignment horizontal="center"/>
    </xf>
    <xf numFmtId="14" fontId="0" fillId="0" borderId="1" xfId="0" applyNumberFormat="1" applyBorder="1" applyAlignment="1">
      <alignment horizontal="center"/>
    </xf>
    <xf numFmtId="9" fontId="0" fillId="0" borderId="0" xfId="1" applyFont="1"/>
    <xf numFmtId="0" fontId="26" fillId="0" borderId="0" xfId="0" applyFont="1" applyAlignment="1">
      <alignment horizontal="center"/>
    </xf>
    <xf numFmtId="172" fontId="0" fillId="0" borderId="0" xfId="0" applyNumberFormat="1" applyAlignment="1">
      <alignment horizontal="left"/>
    </xf>
    <xf numFmtId="173" fontId="0" fillId="0" borderId="0" xfId="0" applyNumberFormat="1" applyAlignment="1">
      <alignment horizontal="right"/>
    </xf>
    <xf numFmtId="174" fontId="0" fillId="0" borderId="0" xfId="0" applyNumberFormat="1" applyAlignment="1">
      <alignment horizontal="left"/>
    </xf>
    <xf numFmtId="14" fontId="26" fillId="0" borderId="0" xfId="0" applyNumberFormat="1" applyFont="1" applyAlignment="1">
      <alignment horizontal="center"/>
    </xf>
    <xf numFmtId="14" fontId="0" fillId="0" borderId="0" xfId="0" applyNumberFormat="1" applyAlignment="1">
      <alignment horizontal="left"/>
    </xf>
    <xf numFmtId="0" fontId="0" fillId="0" borderId="0" xfId="0" pivotButton="1"/>
    <xf numFmtId="9" fontId="0" fillId="0" borderId="1" xfId="1" applyFont="1" applyBorder="1"/>
    <xf numFmtId="9" fontId="2" fillId="13" borderId="1" xfId="1" applyFont="1" applyFill="1" applyBorder="1"/>
    <xf numFmtId="1" fontId="0" fillId="0" borderId="1" xfId="1" applyNumberFormat="1" applyFont="1" applyBorder="1"/>
    <xf numFmtId="1" fontId="0" fillId="0" borderId="0" xfId="1" applyNumberFormat="1" applyFont="1"/>
    <xf numFmtId="9" fontId="0" fillId="0" borderId="1" xfId="1" applyFont="1" applyFill="1" applyBorder="1"/>
    <xf numFmtId="0" fontId="26" fillId="0" borderId="1" xfId="0" applyFont="1" applyBorder="1" applyAlignment="1">
      <alignment horizontal="center"/>
    </xf>
    <xf numFmtId="0" fontId="0" fillId="0" borderId="1" xfId="0" applyBorder="1" applyAlignment="1">
      <alignment horizontal="left"/>
    </xf>
    <xf numFmtId="173" fontId="0" fillId="0" borderId="1" xfId="0" applyNumberFormat="1" applyBorder="1" applyAlignment="1">
      <alignment horizontal="right"/>
    </xf>
    <xf numFmtId="0" fontId="27" fillId="19" borderId="1" xfId="0" applyFont="1" applyFill="1" applyBorder="1"/>
    <xf numFmtId="0" fontId="27" fillId="18" borderId="1" xfId="0" applyFont="1" applyFill="1" applyBorder="1" applyAlignment="1">
      <alignment horizontal="center" vertical="center" wrapText="1"/>
    </xf>
    <xf numFmtId="0" fontId="0" fillId="0" borderId="1" xfId="0" applyBorder="1" applyAlignment="1">
      <alignment horizontal="center" vertical="center"/>
    </xf>
    <xf numFmtId="0" fontId="28" fillId="20" borderId="1" xfId="0" applyFont="1" applyFill="1" applyBorder="1" applyAlignment="1">
      <alignment horizontal="center" vertical="center"/>
    </xf>
    <xf numFmtId="0" fontId="28" fillId="21" borderId="1" xfId="0" applyFont="1" applyFill="1" applyBorder="1" applyAlignment="1">
      <alignment horizontal="center" vertical="center"/>
    </xf>
    <xf numFmtId="0" fontId="28" fillId="22" borderId="1" xfId="0" applyFont="1" applyFill="1" applyBorder="1" applyAlignment="1">
      <alignment horizontal="center" vertical="center"/>
    </xf>
    <xf numFmtId="0" fontId="28" fillId="23" borderId="1" xfId="0" applyFont="1" applyFill="1" applyBorder="1" applyAlignment="1">
      <alignment horizontal="center" vertical="center"/>
    </xf>
    <xf numFmtId="0" fontId="28" fillId="24" borderId="1" xfId="0" applyFont="1" applyFill="1" applyBorder="1" applyAlignment="1">
      <alignment horizontal="center" vertical="center"/>
    </xf>
    <xf numFmtId="0" fontId="28" fillId="25" borderId="1" xfId="0" applyFont="1" applyFill="1" applyBorder="1" applyAlignment="1">
      <alignment horizontal="center" vertical="center"/>
    </xf>
    <xf numFmtId="0" fontId="28" fillId="26" borderId="1" xfId="0" applyFont="1" applyFill="1" applyBorder="1" applyAlignment="1">
      <alignment horizontal="center" vertical="center"/>
    </xf>
    <xf numFmtId="0" fontId="29" fillId="13" borderId="1" xfId="0" applyFont="1" applyFill="1" applyBorder="1" applyAlignment="1">
      <alignment horizontal="center" vertical="center" wrapText="1"/>
    </xf>
    <xf numFmtId="177" fontId="30" fillId="27" borderId="1" xfId="0" applyNumberFormat="1" applyFont="1" applyFill="1" applyBorder="1" applyAlignment="1">
      <alignment vertical="center"/>
    </xf>
    <xf numFmtId="0" fontId="31" fillId="0" borderId="1" xfId="0" applyFont="1" applyBorder="1" applyAlignment="1">
      <alignment horizontal="left" vertical="center" wrapText="1" indent="1"/>
    </xf>
    <xf numFmtId="9" fontId="31" fillId="0" borderId="1" xfId="0" applyNumberFormat="1" applyFont="1" applyBorder="1" applyAlignment="1">
      <alignment horizontal="center" vertical="center"/>
    </xf>
    <xf numFmtId="0" fontId="31" fillId="0" borderId="1" xfId="0" applyFont="1" applyBorder="1" applyAlignment="1">
      <alignment horizontal="left" vertical="center" indent="1"/>
    </xf>
    <xf numFmtId="0" fontId="31" fillId="0" borderId="1" xfId="0" applyFont="1" applyBorder="1" applyAlignment="1">
      <alignment horizontal="center" vertical="center"/>
    </xf>
    <xf numFmtId="177" fontId="31" fillId="0" borderId="1" xfId="0" applyNumberFormat="1" applyFont="1" applyBorder="1" applyAlignment="1">
      <alignment vertical="center"/>
    </xf>
    <xf numFmtId="177" fontId="32" fillId="0" borderId="1" xfId="0" applyNumberFormat="1" applyFont="1" applyBorder="1" applyAlignment="1">
      <alignment vertical="center"/>
    </xf>
    <xf numFmtId="175" fontId="31" fillId="0" borderId="1" xfId="0" applyNumberFormat="1" applyFont="1" applyBorder="1" applyAlignment="1">
      <alignment horizontal="center" vertical="center"/>
    </xf>
    <xf numFmtId="176" fontId="31" fillId="0" borderId="1" xfId="0" applyNumberFormat="1" applyFont="1" applyBorder="1" applyAlignment="1">
      <alignment horizontal="center" vertical="center"/>
    </xf>
    <xf numFmtId="0" fontId="32" fillId="0" borderId="1" xfId="0" applyFont="1" applyBorder="1" applyAlignment="1">
      <alignment horizontal="center" vertical="center"/>
    </xf>
    <xf numFmtId="176" fontId="31" fillId="0" borderId="1" xfId="0" applyNumberFormat="1" applyFont="1" applyBorder="1" applyAlignment="1">
      <alignment vertical="center"/>
    </xf>
    <xf numFmtId="0" fontId="2" fillId="13" borderId="5" xfId="0" applyFont="1" applyFill="1" applyBorder="1"/>
    <xf numFmtId="177" fontId="30" fillId="0" borderId="1" xfId="0" applyNumberFormat="1" applyFont="1" applyFill="1" applyBorder="1" applyAlignment="1">
      <alignment vertical="center"/>
    </xf>
    <xf numFmtId="0" fontId="0" fillId="0" borderId="1" xfId="0" applyFill="1" applyBorder="1"/>
    <xf numFmtId="0" fontId="27" fillId="28" borderId="2" xfId="0" applyFont="1" applyFill="1" applyBorder="1" applyAlignment="1">
      <alignment horizontal="center"/>
    </xf>
    <xf numFmtId="0" fontId="27" fillId="28" borderId="3" xfId="0" applyFont="1" applyFill="1" applyBorder="1" applyAlignment="1">
      <alignment horizontal="center"/>
    </xf>
    <xf numFmtId="0" fontId="27" fillId="28" borderId="4" xfId="0" applyFont="1" applyFill="1" applyBorder="1" applyAlignment="1">
      <alignment horizontal="center"/>
    </xf>
    <xf numFmtId="0" fontId="27" fillId="29" borderId="1" xfId="0" applyFont="1" applyFill="1" applyBorder="1"/>
    <xf numFmtId="10" fontId="0" fillId="0" borderId="0" xfId="0" applyNumberFormat="1"/>
    <xf numFmtId="1" fontId="0" fillId="0" borderId="0" xfId="0" applyNumberFormat="1"/>
  </cellXfs>
  <cellStyles count="3">
    <cellStyle name="Normal" xfId="0" builtinId="0"/>
    <cellStyle name="Normal 2" xfId="2" xr:uid="{D7A5EC80-71D5-44D6-97CD-6BB1E1BCA9FD}"/>
    <cellStyle name="Percent" xfId="1" builtinId="5"/>
  </cellStyles>
  <dxfs count="2">
    <dxf>
      <font>
        <i/>
        <color theme="1" tint="0.499984740745262"/>
      </font>
    </dxf>
    <dxf>
      <border>
        <bottom style="thin">
          <color theme="3" tint="0.499984740745262"/>
        </bottom>
      </border>
    </dxf>
  </dxfs>
  <tableStyles count="0" defaultTableStyle="TableStyleMedium2" defaultPivotStyle="PivotStyleLight16"/>
  <colors>
    <mruColors>
      <color rgb="FFD156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9.569665972223" createdVersion="8" refreshedVersion="8" minRefreshableVersion="3" recordCount="1382" xr:uid="{4B38E5B0-46B7-4E5A-A0AA-3A3E8E37D9FB}">
  <cacheSource type="worksheet">
    <worksheetSource ref="A1:I1383" sheet="Realised Conversions"/>
  </cacheSource>
  <cacheFields count="13">
    <cacheField name="New_Id" numFmtId="0">
      <sharedItems/>
    </cacheField>
    <cacheField name="Status" numFmtId="0">
      <sharedItems/>
    </cacheField>
    <cacheField name="Followup_owner" numFmtId="0">
      <sharedItems count="52">
        <s v="alina@nexora.live"/>
        <s v="deepa.negi@nexora.live"/>
        <s v="saurabh.s@nexora.live"/>
        <s v="sandeep@nexora.live"/>
        <s v="shambu@nexora.live"/>
        <s v="sangita.m@nexora.live"/>
        <s v="siddhesh@nexora.live"/>
        <s v="kanika@nexora.live"/>
        <s v="mitali@nexora.live"/>
        <s v="irfan@nexora.live"/>
        <s v="ashutosh@nexora.live"/>
        <s v="sushil@nexora.live"/>
        <s v="haresh@nexora.live"/>
        <s v="ishika@nexora.live"/>
        <s v="sachin.g@nexora.live"/>
        <s v="abhishek.k@nexora.live"/>
        <s v="oreen@nexora.live"/>
        <s v="aamir@nexora.live"/>
        <s v="prince@nexora.live"/>
        <s v="kawaljit.k@nexora.live"/>
        <s v="waman@nexora.live"/>
        <s v="suresh@nexora.live"/>
        <s v="sumanth@nexora.live"/>
        <s v="manpreet@nexora.live"/>
        <s v="nair@nexora.live"/>
        <s v="aslam.k@nexora.live"/>
        <s v="divya.d@nexora.live"/>
        <s v="anjali@nexora.live"/>
        <s v="disha@nexora.live"/>
        <s v="fahrukh@nexora.live"/>
        <s v="vaibhav@nexora.live"/>
        <s v="supriya@nexora.live"/>
        <s v="chandan.y@nexora.live"/>
        <s v="shiv@nexora.live"/>
        <s v="deepraj@nexora.live"/>
        <s v="monika@nexora.live"/>
        <s v="nitish@nexora.live"/>
        <s v="sana@nexora.live"/>
        <s v="renu@nexora.live"/>
        <s v="sushma@nexora.live"/>
        <s v="vedant@nexora.live"/>
        <s v="shubham.a@nexora.live"/>
        <s v="ritesh@nexora.live"/>
        <s v="riddhi@nexora.live"/>
        <s v="akhil@nexora.live"/>
        <s v="ankita@nexora.live"/>
        <s v="ramya@nexora.live"/>
        <s v="mohan@nexora.live"/>
        <s v="adharv@nexora.live"/>
        <s v="vamshi@nexora.live"/>
        <s v="ranbeer@nexora.live"/>
        <s v="amrit@nexora.live"/>
      </sharedItems>
    </cacheField>
    <cacheField name="Date" numFmtId="14">
      <sharedItems containsSemiMixedTypes="0" containsNonDate="0" containsDate="1" containsString="0" minDate="2026-07-01T03:43:09" maxDate="2026-07-31T23:08:48" count="1378">
        <d v="2026-07-23T17:49:49"/>
        <d v="2026-07-28T11:50:33"/>
        <d v="2026-07-03T17:58:30"/>
        <d v="2026-07-29T09:42:10"/>
        <d v="2026-07-14T00:02:10"/>
        <d v="2026-07-09T17:25:19"/>
        <d v="2026-07-20T10:14:03"/>
        <d v="2026-07-13T11:07:05"/>
        <d v="2026-07-24T11:54:59"/>
        <d v="2026-07-27T09:32:25"/>
        <d v="2026-07-17T10:19:12"/>
        <d v="2026-07-24T12:51:55"/>
        <d v="2026-07-03T14:18:58"/>
        <d v="2026-07-20T15:12:32"/>
        <d v="2026-07-28T13:26:22"/>
        <d v="2026-07-27T12:55:55"/>
        <d v="2026-07-07T13:46:08"/>
        <d v="2026-07-08T18:22:10"/>
        <d v="2026-07-27T13:35:21"/>
        <d v="2026-07-27T17:00:32"/>
        <d v="2026-07-13T16:35:17"/>
        <d v="2026-07-11T10:52:12"/>
        <d v="2026-07-29T17:18:41"/>
        <d v="2026-07-17T15:21:04"/>
        <d v="2026-07-27T12:42:05"/>
        <d v="2026-07-04T00:01:51"/>
        <d v="2026-07-29T10:50:29"/>
        <d v="2026-07-23T16:09:29"/>
        <d v="2026-07-24T13:53:58"/>
        <d v="2026-07-07T09:20:15"/>
        <d v="2026-07-23T12:05:38"/>
        <d v="2026-07-15T22:37:50"/>
        <d v="2026-07-07T16:51:16"/>
        <d v="2026-07-09T18:28:21"/>
        <d v="2026-07-08T17:22:00"/>
        <d v="2026-07-20T23:12:29"/>
        <d v="2026-07-31T14:40:15"/>
        <d v="2026-07-31T09:58:39"/>
        <d v="2026-07-30T11:26:05"/>
        <d v="2026-07-16T09:13:48"/>
        <d v="2026-07-20T16:35:28"/>
        <d v="2026-07-20T15:10:59"/>
        <d v="2026-07-27T09:55:35"/>
        <d v="2026-07-30T13:36:44"/>
        <d v="2026-07-10T15:41:05"/>
        <d v="2026-07-08T10:26:09"/>
        <d v="2026-07-05T16:32:25"/>
        <d v="2026-07-07T14:34:05"/>
        <d v="2026-07-03T10:32:15"/>
        <d v="2026-07-27T17:13:59"/>
        <d v="2026-07-16T11:35:06"/>
        <d v="2026-07-31T16:00:13"/>
        <d v="2026-07-13T21:26:40"/>
        <d v="2026-07-30T22:21:49"/>
        <d v="2026-07-30T15:38:19"/>
        <d v="2026-07-04T10:39:45"/>
        <d v="2026-07-09T14:07:39"/>
        <d v="2026-07-30T13:49:53"/>
        <d v="2026-07-03T05:03:18"/>
        <d v="2026-07-22T13:59:09"/>
        <d v="2026-07-30T19:31:58"/>
        <d v="2026-07-23T11:29:11"/>
        <d v="2026-07-08T14:12:05"/>
        <d v="2026-07-01T11:43:16"/>
        <d v="2026-07-22T11:10:28"/>
        <d v="2026-07-09T13:39:21"/>
        <d v="2026-07-27T11:53:40"/>
        <d v="2026-07-31T20:17:44"/>
        <d v="2026-07-21T23:17:01"/>
        <d v="2026-07-15T12:27:58"/>
        <d v="2026-07-02T19:51:09"/>
        <d v="2026-07-31T19:35:08"/>
        <d v="2026-07-02T12:20:32"/>
        <d v="2026-07-19T14:12:20"/>
        <d v="2026-07-17T14:29:45"/>
        <d v="2026-07-06T03:58:42"/>
        <d v="2026-07-31T11:15:40"/>
        <d v="2026-07-08T18:27:24"/>
        <d v="2026-07-17T19:45:35"/>
        <d v="2026-07-22T19:40:01"/>
        <d v="2026-07-08T15:15:49"/>
        <d v="2026-07-19T13:26:46"/>
        <d v="2026-07-20T11:51:57"/>
        <d v="2026-07-20T11:07:53"/>
        <d v="2026-07-27T15:35:41"/>
        <d v="2026-07-02T19:16:57"/>
        <d v="2026-07-01T10:10:57"/>
        <d v="2026-07-20T18:10:09"/>
        <d v="2026-07-21T15:25:31"/>
        <d v="2026-07-27T10:21:47"/>
        <d v="2026-07-27T18:07:54"/>
        <d v="2026-07-02T14:22:51"/>
        <d v="2026-07-02T15:24:27"/>
        <d v="2026-07-29T18:00:16"/>
        <d v="2026-07-29T14:35:33"/>
        <d v="2026-07-22T10:03:36"/>
        <d v="2026-07-01T19:55:51"/>
        <d v="2026-07-24T11:23:25"/>
        <d v="2026-07-19T10:56:59"/>
        <d v="2026-07-15T14:56:31"/>
        <d v="2026-07-22T13:15:56"/>
        <d v="2026-07-16T09:37:06"/>
        <d v="2026-07-11T14:16:24"/>
        <d v="2026-07-10T22:08:14"/>
        <d v="2026-07-08T19:10:14"/>
        <d v="2026-07-15T21:44:30"/>
        <d v="2026-07-23T11:37:33"/>
        <d v="2026-07-15T13:07:00"/>
        <d v="2026-07-30T11:24:29"/>
        <d v="2026-07-21T10:25:50"/>
        <d v="2026-07-22T09:52:36"/>
        <d v="2026-07-10T19:40:49"/>
        <d v="2026-07-23T09:48:18"/>
        <d v="2026-07-06T09:19:40"/>
        <d v="2026-07-29T20:40:40"/>
        <d v="2026-07-14T11:41:36"/>
        <d v="2026-07-28T09:52:55"/>
        <d v="2026-07-12T04:54:29"/>
        <d v="2026-07-27T10:58:37"/>
        <d v="2026-07-17T18:35:12"/>
        <d v="2026-07-28T20:47:18"/>
        <d v="2026-07-23T13:15:43"/>
        <d v="2026-07-16T19:47:49"/>
        <d v="2026-07-14T19:12:55"/>
        <d v="2026-07-16T18:24:42"/>
        <d v="2026-07-04T20:56:08"/>
        <d v="2026-07-21T13:36:34"/>
        <d v="2026-07-20T10:03:41"/>
        <d v="2026-07-03T20:05:01"/>
        <d v="2026-07-22T18:35:00"/>
        <d v="2026-07-21T20:48:32"/>
        <d v="2026-07-01T11:36:18"/>
        <d v="2026-07-29T11:04:48"/>
        <d v="2026-07-03T19:15:10"/>
        <d v="2026-07-03T11:22:27"/>
        <d v="2026-07-20T18:37:05"/>
        <d v="2026-07-09T19:22:09"/>
        <d v="2026-07-09T09:32:49"/>
        <d v="2026-07-09T14:40:16"/>
        <d v="2026-07-30T10:27:12"/>
        <d v="2026-07-07T11:00:15"/>
        <d v="2026-07-07T17:33:12"/>
        <d v="2026-07-07T00:24:34"/>
        <d v="2026-07-23T16:53:20"/>
        <d v="2026-07-09T17:53:35"/>
        <d v="2026-07-14T12:15:56"/>
        <d v="2026-07-14T18:18:11"/>
        <d v="2026-07-20T11:48:59"/>
        <d v="2026-07-02T23:10:10"/>
        <d v="2026-07-27T15:08:07"/>
        <d v="2026-07-21T19:30:29"/>
        <d v="2026-07-09T11:26:19"/>
        <d v="2026-07-06T12:59:49"/>
        <d v="2026-07-06T14:48:24"/>
        <d v="2026-07-13T16:15:17"/>
        <d v="2026-07-30T17:29:02"/>
        <d v="2026-07-08T19:48:09"/>
        <d v="2026-07-30T14:42:08"/>
        <d v="2026-07-06T11:58:30"/>
        <d v="2026-07-09T15:36:48"/>
        <d v="2026-07-07T20:22:58"/>
        <d v="2026-07-04T16:33:39"/>
        <d v="2026-07-23T10:37:45"/>
        <d v="2026-07-20T09:18:22"/>
        <d v="2026-07-23T14:17:33"/>
        <d v="2026-07-15T17:45:18"/>
        <d v="2026-07-25T19:09:15"/>
        <d v="2026-07-08T16:34:34"/>
        <d v="2026-07-08T15:19:43"/>
        <d v="2026-07-17T18:11:03"/>
        <d v="2026-07-17T14:56:21"/>
        <d v="2026-07-07T09:18:20"/>
        <d v="2026-07-13T15:56:58"/>
        <d v="2026-07-02T19:20:34"/>
        <d v="2026-07-27T12:14:21"/>
        <d v="2026-07-14T15:18:21"/>
        <d v="2026-07-27T11:26:36"/>
        <d v="2026-07-17T19:51:10"/>
        <d v="2026-07-21T20:49:36"/>
        <d v="2026-07-21T10:40:46"/>
        <d v="2026-07-24T22:53:19"/>
        <d v="2026-07-23T20:18:38"/>
        <d v="2026-07-15T16:40:36"/>
        <d v="2026-07-13T10:22:18"/>
        <d v="2026-07-19T08:45:53"/>
        <d v="2026-07-14T10:15:16"/>
        <d v="2026-07-29T13:36:30"/>
        <d v="2026-07-01T21:01:31"/>
        <d v="2026-07-23T09:57:13"/>
        <d v="2026-07-20T18:51:42"/>
        <d v="2026-07-13T13:38:24"/>
        <d v="2026-07-15T18:09:17"/>
        <d v="2026-07-23T11:06:36"/>
        <d v="2026-07-14T18:08:32"/>
        <d v="2026-07-08T10:45:53"/>
        <d v="2026-07-13T10:41:10"/>
        <d v="2026-07-11T10:49:56"/>
        <d v="2026-07-31T11:11:13"/>
        <d v="2026-07-07T10:02:50"/>
        <d v="2026-07-21T11:53:54"/>
        <d v="2026-07-19T23:05:26"/>
        <d v="2026-07-17T12:08:59"/>
        <d v="2026-07-09T07:33:57"/>
        <d v="2026-07-07T12:21:55"/>
        <d v="2026-07-04T20:39:54"/>
        <d v="2026-07-01T13:03:00"/>
        <d v="2026-07-26T09:58:21"/>
        <d v="2026-07-14T14:56:26"/>
        <d v="2026-07-09T18:31:04"/>
        <d v="2026-07-28T14:23:08"/>
        <d v="2026-07-06T11:23:51"/>
        <d v="2026-07-16T12:58:15"/>
        <d v="2026-07-15T12:56:06"/>
        <d v="2026-07-30T12:18:18"/>
        <d v="2026-07-17T21:26:19"/>
        <d v="2026-07-19T20:05:26"/>
        <d v="2026-07-01T07:35:58"/>
        <d v="2026-07-08T12:18:41"/>
        <d v="2026-07-31T12:44:20"/>
        <d v="2026-07-14T11:28:43"/>
        <d v="2026-07-28T12:39:19"/>
        <d v="2026-07-02T18:22:08"/>
        <d v="2026-07-02T15:57:10"/>
        <d v="2026-07-13T13:53:31"/>
        <d v="2026-07-04T21:42:53"/>
        <d v="2026-07-09T11:30:18"/>
        <d v="2026-07-14T09:41:01"/>
        <d v="2026-07-01T09:39:12"/>
        <d v="2026-07-16T09:43:28"/>
        <d v="2026-07-08T10:12:30"/>
        <d v="2026-07-07T11:59:05"/>
        <d v="2026-07-06T17:30:27"/>
        <d v="2026-07-05T19:15:05"/>
        <d v="2026-07-01T14:22:13"/>
        <d v="2026-07-17T09:43:34"/>
        <d v="2026-07-14T12:56:46"/>
        <d v="2026-07-16T09:15:35"/>
        <d v="2026-07-14T15:25:32"/>
        <d v="2026-07-13T20:03:21"/>
        <d v="2026-07-09T09:53:49"/>
        <d v="2026-07-27T13:30:05"/>
        <d v="2026-07-21T18:16:18"/>
        <d v="2026-07-06T19:08:27"/>
        <d v="2026-07-02T23:48:03"/>
        <d v="2026-07-03T11:11:06"/>
        <d v="2026-07-03T12:59:58"/>
        <d v="2026-07-31T15:39:36"/>
        <d v="2026-07-09T09:58:33"/>
        <d v="2026-07-06T10:23:32"/>
        <d v="2026-07-10T10:13:24"/>
        <d v="2026-07-15T09:36:53"/>
        <d v="2026-07-01T13:15:42"/>
        <d v="2026-07-07T12:44:30"/>
        <d v="2026-07-22T12:48:25"/>
        <d v="2026-07-23T14:11:54"/>
        <d v="2026-07-23T10:25:14"/>
        <d v="2026-07-18T18:25:36"/>
        <d v="2026-07-23T14:45:08"/>
        <d v="2026-07-01T14:30:52"/>
        <d v="2026-07-20T12:01:59"/>
        <d v="2026-07-17T16:01:49"/>
        <d v="2026-07-06T14:02:09"/>
        <d v="2026-07-13T09:46:12"/>
        <d v="2026-07-16T23:28:07"/>
        <d v="2026-07-28T09:44:31"/>
        <d v="2026-07-17T16:32:55"/>
        <d v="2026-07-02T11:46:59"/>
        <d v="2026-07-28T08:30:52"/>
        <d v="2026-07-15T12:58:17"/>
        <d v="2026-07-24T22:48:09"/>
        <d v="2026-07-27T12:22:43"/>
        <d v="2026-07-27T10:21:45"/>
        <d v="2026-07-16T09:21:12"/>
        <d v="2026-07-22T13:38:41"/>
        <d v="2026-07-04T17:33:32"/>
        <d v="2026-07-02T15:01:42"/>
        <d v="2026-07-29T13:47:14"/>
        <d v="2026-07-22T12:43:49"/>
        <d v="2026-07-27T10:22:37"/>
        <d v="2026-07-01T20:43:02"/>
        <d v="2026-07-09T19:30:24"/>
        <d v="2026-07-15T13:01:00"/>
        <d v="2026-07-15T12:16:15"/>
        <d v="2026-07-16T11:34:30"/>
        <d v="2026-07-23T10:27:38"/>
        <d v="2026-07-20T12:09:57"/>
        <d v="2026-07-06T13:13:24"/>
        <d v="2026-07-15T21:44:25"/>
        <d v="2026-07-15T19:54:23"/>
        <d v="2026-07-14T10:39:08"/>
        <d v="2026-07-13T22:30:35"/>
        <d v="2026-07-14T13:23:27"/>
        <d v="2026-07-07T13:58:33"/>
        <d v="2026-07-30T11:24:32"/>
        <d v="2026-07-20T11:59:36"/>
        <d v="2026-07-13T06:05:58"/>
        <d v="2026-07-21T09:23:47"/>
        <d v="2026-07-14T16:13:41"/>
        <d v="2026-07-23T14:05:05"/>
        <d v="2026-07-21T09:25:52"/>
        <d v="2026-07-02T13:14:06"/>
        <d v="2026-07-23T13:29:10"/>
        <d v="2026-07-21T11:45:22"/>
        <d v="2026-07-19T01:08:53"/>
        <d v="2026-07-14T19:08:30"/>
        <d v="2026-07-22T17:57:56"/>
        <d v="2026-07-21T11:06:04"/>
        <d v="2026-07-09T11:32:49"/>
        <d v="2026-07-20T18:12:48"/>
        <d v="2026-07-09T22:21:44"/>
        <d v="2026-07-09T15:17:46"/>
        <d v="2026-07-07T11:37:13"/>
        <d v="2026-07-24T19:04:48"/>
        <d v="2026-07-20T10:24:06"/>
        <d v="2026-07-14T15:44:56"/>
        <d v="2026-07-16T10:57:48"/>
        <d v="2026-07-22T11:09:59"/>
        <d v="2026-07-23T12:55:23"/>
        <d v="2026-07-28T17:30:08"/>
        <d v="2026-07-05T20:13:24"/>
        <d v="2026-07-11T20:45:19"/>
        <d v="2026-07-07T15:20:01"/>
        <d v="2026-07-22T10:52:23"/>
        <d v="2026-07-24T17:56:11"/>
        <d v="2026-07-12T14:29:37"/>
        <d v="2026-07-01T09:42:22"/>
        <d v="2026-07-02T21:15:47"/>
        <d v="2026-07-08T14:06:39"/>
        <d v="2026-07-04T16:20:27"/>
        <d v="2026-07-07T10:52:07"/>
        <d v="2026-07-31T19:55:12"/>
        <d v="2026-07-16T14:43:56"/>
        <d v="2026-07-17T14:16:07"/>
        <d v="2026-07-13T13:48:56"/>
        <d v="2026-07-30T11:41:20"/>
        <d v="2026-07-17T09:23:04"/>
        <d v="2026-07-22T13:12:44"/>
        <d v="2026-07-08T15:33:29"/>
        <d v="2026-07-28T16:56:10"/>
        <d v="2026-07-17T11:16:31"/>
        <d v="2026-07-30T11:37:03"/>
        <d v="2026-07-06T15:05:44"/>
        <d v="2026-07-24T22:37:19"/>
        <d v="2026-07-20T12:11:47"/>
        <d v="2026-07-28T14:04:43"/>
        <d v="2026-07-21T16:16:23"/>
        <d v="2026-07-13T04:35:27"/>
        <d v="2026-07-29T11:08:08"/>
        <d v="2026-07-15T20:43:01"/>
        <d v="2026-07-23T14:20:48"/>
        <d v="2026-07-09T15:52:41"/>
        <d v="2026-07-29T11:06:06"/>
        <d v="2026-07-14T12:05:15"/>
        <d v="2026-07-01T18:54:20"/>
        <d v="2026-07-01T19:50:33"/>
        <d v="2026-07-02T13:45:05"/>
        <d v="2026-07-08T15:13:11"/>
        <d v="2026-07-13T11:45:57"/>
        <d v="2026-07-31T14:23:51"/>
        <d v="2026-07-08T13:48:52"/>
        <d v="2026-07-28T09:25:13"/>
        <d v="2026-07-23T20:42:03"/>
        <d v="2026-07-14T14:00:05"/>
        <d v="2026-07-22T18:59:34"/>
        <d v="2026-07-06T13:07:47"/>
        <d v="2026-07-09T09:24:06"/>
        <d v="2026-07-28T06:36:15"/>
        <d v="2026-07-21T09:21:09"/>
        <d v="2026-07-24T20:54:59"/>
        <d v="2026-07-27T20:31:45"/>
        <d v="2026-07-22T12:31:10"/>
        <d v="2026-07-22T15:24:10"/>
        <d v="2026-07-29T09:21:53"/>
        <d v="2026-07-23T13:08:22"/>
        <d v="2026-07-22T09:22:24"/>
        <d v="2026-07-13T15:32:04"/>
        <d v="2026-07-13T23:22:26"/>
        <d v="2026-07-16T01:38:55"/>
        <d v="2026-07-14T12:36:37"/>
        <d v="2026-07-13T09:36:33"/>
        <d v="2026-07-13T22:10:48"/>
        <d v="2026-07-08T18:56:55"/>
        <d v="2026-07-31T14:01:24"/>
        <d v="2026-07-31T13:26:51"/>
        <d v="2026-07-17T09:42:19"/>
        <d v="2026-07-21T09:30:56"/>
        <d v="2026-07-10T11:05:29"/>
        <d v="2026-07-09T20:31:43"/>
        <d v="2026-07-17T14:55:25"/>
        <d v="2026-07-08T10:33:46"/>
        <d v="2026-07-07T13:07:40"/>
        <d v="2026-07-03T18:12:55"/>
        <d v="2026-07-09T10:34:03"/>
        <d v="2026-07-29T23:31:34"/>
        <d v="2026-07-14T15:25:27"/>
        <d v="2026-07-15T16:49:32"/>
        <d v="2026-07-14T13:10:20"/>
        <d v="2026-07-23T11:53:55"/>
        <d v="2026-07-09T09:24:32"/>
        <d v="2026-07-08T13:11:55"/>
        <d v="2026-07-09T17:14:01"/>
        <d v="2026-07-21T16:48:08"/>
        <d v="2026-07-08T11:51:05"/>
        <d v="2026-07-01T09:37:50"/>
        <d v="2026-07-16T11:53:04"/>
        <d v="2026-07-30T18:01:04"/>
        <d v="2026-07-06T09:22:46"/>
        <d v="2026-07-06T14:20:25"/>
        <d v="2026-07-03T06:48:22"/>
        <d v="2026-07-22T10:44:44"/>
        <d v="2026-07-07T13:49:53"/>
        <d v="2026-07-21T23:11:14"/>
        <d v="2026-07-30T20:07:07"/>
        <d v="2026-07-20T16:13:21"/>
        <d v="2026-07-02T12:21:53"/>
        <d v="2026-07-31T09:44:46"/>
        <d v="2026-07-07T18:00:00"/>
        <d v="2026-07-17T13:24:42"/>
        <d v="2026-07-17T19:16:37"/>
        <d v="2026-07-14T12:21:38"/>
        <d v="2026-07-20T23:54:21"/>
        <d v="2026-07-24T15:12:08"/>
        <d v="2026-07-22T19:05:43"/>
        <d v="2026-07-27T23:00:32"/>
        <d v="2026-07-24T23:58:07"/>
        <d v="2026-07-17T19:40:49"/>
        <d v="2026-07-28T09:36:34"/>
        <d v="2026-07-23T20:52:49"/>
        <d v="2026-07-24T17:31:44"/>
        <d v="2026-07-02T09:16:11"/>
        <d v="2026-07-06T23:32:51"/>
        <d v="2026-07-29T14:00:48"/>
        <d v="2026-07-29T15:27:01"/>
        <d v="2026-07-10T09:27:43"/>
        <d v="2026-07-13T12:52:00"/>
        <d v="2026-07-15T14:13:42"/>
        <d v="2026-07-18T19:26:19"/>
        <d v="2026-07-24T15:47:01"/>
        <d v="2026-07-13T11:02:56"/>
        <d v="2026-07-16T04:11:08"/>
        <d v="2026-07-06T10:45:24"/>
        <d v="2026-07-13T18:03:18"/>
        <d v="2026-07-14T18:23:35"/>
        <d v="2026-07-22T10:03:45"/>
        <d v="2026-07-13T13:16:02"/>
        <d v="2026-07-09T22:57:38"/>
        <d v="2026-07-13T18:01:44"/>
        <d v="2026-07-15T13:42:09"/>
        <d v="2026-07-30T00:44:43"/>
        <d v="2026-07-19T08:52:34"/>
        <d v="2026-07-18T23:13:30"/>
        <d v="2026-07-20T20:28:24"/>
        <d v="2026-07-06T10:20:04"/>
        <d v="2026-07-22T16:50:53"/>
        <d v="2026-07-06T13:40:42"/>
        <d v="2026-07-17T21:03:05"/>
        <d v="2026-07-21T12:51:57"/>
        <d v="2026-07-21T09:43:26"/>
        <d v="2026-07-24T08:38:28"/>
        <d v="2026-07-20T11:29:16"/>
        <d v="2026-07-01T18:43:01"/>
        <d v="2026-07-25T19:09:09"/>
        <d v="2026-07-13T06:40:03"/>
        <d v="2026-07-23T21:48:48"/>
        <d v="2026-07-08T10:44:17"/>
        <d v="2026-07-03T09:49:26"/>
        <d v="2026-07-30T23:27:42"/>
        <d v="2026-07-21T09:49:05"/>
        <d v="2026-07-30T20:20:54"/>
        <d v="2026-07-14T19:01:43"/>
        <d v="2026-07-27T09:25:57"/>
        <d v="2026-07-03T09:37:12"/>
        <d v="2026-07-08T13:20:26"/>
        <d v="2026-07-20T19:04:18"/>
        <d v="2026-07-29T17:17:24"/>
        <d v="2026-07-09T20:24:59"/>
        <d v="2026-07-20T17:57:09"/>
        <d v="2026-07-08T16:34:24"/>
        <d v="2026-07-11T20:04:42"/>
        <d v="2026-07-11T16:20:49"/>
        <d v="2026-07-10T12:39:22"/>
        <d v="2026-07-10T12:28:48"/>
        <d v="2026-07-05T14:53:53"/>
        <d v="2026-07-14T14:51:41"/>
        <d v="2026-07-03T10:34:15"/>
        <d v="2026-07-27T15:21:21"/>
        <d v="2026-07-16T11:41:46"/>
        <d v="2026-07-22T11:14:00"/>
        <d v="2026-07-27T16:11:17"/>
        <d v="2026-07-10T19:48:09"/>
        <d v="2026-07-14T13:17:43"/>
        <d v="2026-07-29T18:07:10"/>
        <d v="2026-07-05T13:36:23"/>
        <d v="2026-07-04T18:46:46"/>
        <d v="2026-07-30T15:31:55"/>
        <d v="2026-07-30T13:00:00"/>
        <d v="2026-07-08T13:53:44"/>
        <d v="2026-07-09T07:12:04"/>
        <d v="2026-07-03T21:33:36"/>
        <d v="2026-07-29T12:36:51"/>
        <d v="2026-07-08T13:20:46"/>
        <d v="2026-07-16T14:26:10"/>
        <d v="2026-07-06T09:40:27"/>
        <d v="2026-07-13T12:53:19"/>
        <d v="2026-07-13T15:01:34"/>
        <d v="2026-07-22T10:45:40"/>
        <d v="2026-07-03T17:13:26"/>
        <d v="2026-07-20T10:38:44"/>
        <d v="2026-07-31T17:26:12"/>
        <d v="2026-07-31T09:57:51"/>
        <d v="2026-07-10T11:57:52"/>
        <d v="2026-07-19T16:00:03"/>
        <d v="2026-07-31T16:58:54"/>
        <d v="2026-07-13T14:00:31"/>
        <d v="2026-07-23T09:19:10"/>
        <d v="2026-07-24T14:05:51"/>
        <d v="2026-07-28T09:52:53"/>
        <d v="2026-07-06T09:59:39"/>
        <d v="2026-07-04T20:39:59"/>
        <d v="2026-07-27T14:24:39"/>
        <d v="2026-07-16T06:23:19"/>
        <d v="2026-07-15T09:41:00"/>
        <d v="2026-07-02T15:42:41"/>
        <d v="2026-07-16T23:22:02"/>
        <d v="2026-07-28T17:15:50"/>
        <d v="2026-07-28T14:39:43"/>
        <d v="2026-07-29T10:42:56"/>
        <d v="2026-07-29T14:29:25"/>
        <d v="2026-07-01T11:22:00"/>
        <d v="2026-07-23T09:50:10"/>
        <d v="2026-07-24T10:18:47"/>
        <d v="2026-07-16T12:41:39"/>
        <d v="2026-07-10T17:12:27"/>
        <d v="2026-07-15T12:46:15"/>
        <d v="2026-07-09T18:08:13"/>
        <d v="2026-07-07T12:21:03"/>
        <d v="2026-07-10T09:17:52"/>
        <d v="2026-07-08T09:59:41"/>
        <d v="2026-07-21T23:15:59"/>
        <d v="2026-07-30T17:20:48"/>
        <d v="2026-07-21T09:19:11"/>
        <d v="2026-07-17T11:29:47"/>
        <d v="2026-07-13T15:34:15"/>
        <d v="2026-07-27T11:13:45"/>
        <d v="2026-07-17T12:37:24"/>
        <d v="2026-07-03T18:43:10"/>
        <d v="2026-07-06T22:34:22"/>
        <d v="2026-07-09T11:47:56"/>
        <d v="2026-07-17T15:24:20"/>
        <d v="2026-07-14T10:49:06"/>
        <d v="2026-07-20T09:50:24"/>
        <d v="2026-07-24T09:19:53"/>
        <d v="2026-07-03T21:26:22"/>
        <d v="2026-07-16T14:47:06"/>
        <d v="2026-07-20T03:42:38"/>
        <d v="2026-07-24T11:33:15"/>
        <d v="2026-07-03T12:08:21"/>
        <d v="2026-07-20T10:05:06"/>
        <d v="2026-07-03T10:54:21"/>
        <d v="2026-07-06T17:53:47"/>
        <d v="2026-07-02T17:50:08"/>
        <d v="2026-07-02T06:26:34"/>
        <d v="2026-07-05T11:42:02"/>
        <d v="2026-07-10T09:17:24"/>
        <d v="2026-07-03T09:21:28"/>
        <d v="2026-07-11T18:50:57"/>
        <d v="2026-07-21T14:21:43"/>
        <d v="2026-07-03T11:21:05"/>
        <d v="2026-07-06T19:32:54"/>
        <d v="2026-07-07T11:26:43"/>
        <d v="2026-07-07T16:21:05"/>
        <d v="2026-07-02T19:30:22"/>
        <d v="2026-07-29T20:36:47"/>
        <d v="2026-07-14T16:27:32"/>
        <d v="2026-07-22T10:28:00"/>
        <d v="2026-07-23T13:50:15"/>
        <d v="2026-07-03T17:36:48"/>
        <d v="2026-07-03T12:07:35"/>
        <d v="2026-07-01T10:21:43"/>
        <d v="2026-07-16T15:22:52"/>
        <d v="2026-07-24T17:42:25"/>
        <d v="2026-07-14T18:56:00"/>
        <d v="2026-07-03T09:47:35"/>
        <d v="2026-07-16T10:07:33"/>
        <d v="2026-07-30T14:37:30"/>
        <d v="2026-07-04T18:04:24"/>
        <d v="2026-07-31T19:44:09"/>
        <d v="2026-07-09T18:47:31"/>
        <d v="2026-07-27T11:54:22"/>
        <d v="2026-07-04T12:52:39"/>
        <d v="2026-07-03T18:55:33"/>
        <d v="2026-07-01T12:09:18"/>
        <d v="2026-07-20T03:51:09"/>
        <d v="2026-07-03T14:15:18"/>
        <d v="2026-07-01T14:19:19"/>
        <d v="2026-07-29T23:48:41"/>
        <d v="2026-07-23T14:39:10"/>
        <d v="2026-07-02T13:47:10"/>
        <d v="2026-07-17T11:04:16"/>
        <d v="2026-07-31T10:17:14"/>
        <d v="2026-07-06T16:03:38"/>
        <d v="2026-07-07T08:24:30"/>
        <d v="2026-07-22T09:28:41"/>
        <d v="2026-07-31T17:51:33"/>
        <d v="2026-07-14T23:18:12"/>
        <d v="2026-07-06T14:07:27"/>
        <d v="2026-07-09T19:11:38"/>
        <d v="2026-07-28T12:16:33"/>
        <d v="2026-07-29T12:41:18"/>
        <d v="2026-07-24T11:47:42"/>
        <d v="2026-07-16T14:05:01"/>
        <d v="2026-07-22T22:19:03"/>
        <d v="2026-07-23T18:31:06"/>
        <d v="2026-07-19T14:49:16"/>
        <d v="2026-07-21T19:48:14"/>
        <d v="2026-07-02T18:00:05"/>
        <d v="2026-07-02T15:10:51"/>
        <d v="2026-07-14T11:09:05"/>
        <d v="2026-07-28T17:30:04"/>
        <d v="2026-07-28T10:54:21"/>
        <d v="2026-07-15T17:54:20"/>
        <d v="2026-07-15T15:12:46"/>
        <d v="2026-07-27T12:33:30"/>
        <d v="2026-07-09T09:34:52"/>
        <d v="2026-07-23T13:02:48"/>
        <d v="2026-07-14T11:51:59"/>
        <d v="2026-07-13T09:48:36"/>
        <d v="2026-07-15T13:41:03"/>
        <d v="2026-07-14T09:54:36"/>
        <d v="2026-07-17T23:07:04"/>
        <d v="2026-07-31T13:46:34"/>
        <d v="2026-07-30T11:46:48"/>
        <d v="2026-07-20T09:20:30"/>
        <d v="2026-07-10T20:02:55"/>
        <d v="2026-07-20T06:39:12"/>
        <d v="2026-07-20T14:22:11"/>
        <d v="2026-07-01T21:26:40"/>
        <d v="2026-07-16T10:27:41"/>
        <d v="2026-07-24T10:30:28"/>
        <d v="2026-07-10T09:35:35"/>
        <d v="2026-07-19T15:10:47"/>
        <d v="2026-07-07T15:19:40"/>
        <d v="2026-07-24T12:43:11"/>
        <d v="2026-07-17T14:21:04"/>
        <d v="2026-07-20T12:57:02"/>
        <d v="2026-07-14T14:34:16"/>
        <d v="2026-07-28T09:23:42"/>
        <d v="2026-07-02T10:15:35"/>
        <d v="2026-07-05T15:48:27"/>
        <d v="2026-07-02T18:39:37"/>
        <d v="2026-07-14T11:01:23"/>
        <d v="2026-07-08T12:51:04"/>
        <d v="2026-07-03T14:15:52"/>
        <d v="2026-07-10T21:35:23"/>
        <d v="2026-07-08T11:09:40"/>
        <d v="2026-07-08T18:12:59"/>
        <d v="2026-07-28T19:19:43"/>
        <d v="2026-07-21T18:59:13"/>
        <d v="2026-07-16T16:31:18"/>
        <d v="2026-07-16T11:57:41"/>
        <d v="2026-07-30T22:54:02"/>
        <d v="2026-07-14T12:22:36"/>
        <d v="2026-07-06T22:07:09"/>
        <d v="2026-07-28T16:05:23"/>
        <d v="2026-07-23T11:17:24"/>
        <d v="2026-07-10T19:51:45"/>
        <d v="2026-07-01T11:46:30"/>
        <d v="2026-07-25T00:21:52"/>
        <d v="2026-07-08T12:36:09"/>
        <d v="2026-07-30T09:46:37"/>
        <d v="2026-07-09T11:40:19"/>
        <d v="2026-07-27T10:13:50"/>
        <d v="2026-07-20T09:25:39"/>
        <d v="2026-07-23T09:16:16"/>
        <d v="2026-07-16T14:26:19"/>
        <d v="2026-07-17T15:42:24"/>
        <d v="2026-07-22T13:47:08"/>
        <d v="2026-07-31T18:40:27"/>
        <d v="2026-07-07T19:36:48"/>
        <d v="2026-07-23T14:14:13"/>
        <d v="2026-07-29T23:09:50"/>
        <d v="2026-07-20T12:58:32"/>
        <d v="2026-07-06T16:44:32"/>
        <d v="2026-07-17T18:42:57"/>
        <d v="2026-07-09T19:22:43"/>
        <d v="2026-07-07T10:53:16"/>
        <d v="2026-07-17T18:43:30"/>
        <d v="2026-07-31T13:42:39"/>
        <d v="2026-07-17T14:16:22"/>
        <d v="2026-07-28T09:45:28"/>
        <d v="2026-07-24T12:16:36"/>
        <d v="2026-07-08T11:47:08"/>
        <d v="2026-07-23T19:02:40"/>
        <d v="2026-07-16T19:14:30"/>
        <d v="2026-07-19T16:38:35"/>
        <d v="2026-07-03T10:01:35"/>
        <d v="2026-07-11T20:16:46"/>
        <d v="2026-07-01T11:16:57"/>
        <d v="2026-07-01T12:34:50"/>
        <d v="2026-07-09T10:20:40"/>
        <d v="2026-07-13T11:06:39"/>
        <d v="2026-07-07T13:58:38"/>
        <d v="2026-07-03T13:44:47"/>
        <d v="2026-07-27T18:17:12"/>
        <d v="2026-07-28T14:03:38"/>
        <d v="2026-07-28T11:12:28"/>
        <d v="2026-07-08T14:50:33"/>
        <d v="2026-07-28T10:15:20"/>
        <d v="2026-07-22T11:05:30"/>
        <d v="2026-07-26T17:30:52"/>
        <d v="2026-07-08T15:01:41"/>
        <d v="2026-07-24T19:18:11"/>
        <d v="2026-07-06T21:12:35"/>
        <d v="2026-07-15T12:39:46"/>
        <d v="2026-07-28T16:11:50"/>
        <d v="2026-07-15T11:17:00"/>
        <d v="2026-07-13T16:12:02"/>
        <d v="2026-07-16T13:22:21"/>
        <d v="2026-07-15T11:49:47"/>
        <d v="2026-07-02T10:05:09"/>
        <d v="2026-07-14T17:28:21"/>
        <d v="2026-07-07T17:27:30"/>
        <d v="2026-07-14T09:22:26"/>
        <d v="2026-07-14T09:36:01"/>
        <d v="2026-07-22T17:11:30"/>
        <d v="2026-07-30T14:21:17"/>
        <d v="2026-07-10T11:31:47"/>
        <d v="2026-07-20T15:19:17"/>
        <d v="2026-07-13T03:32:21"/>
        <d v="2026-07-29T10:43:53"/>
        <d v="2026-07-31T12:43:42"/>
        <d v="2026-07-04T21:02:34"/>
        <d v="2026-07-06T13:07:16"/>
        <d v="2026-07-04T18:28:57"/>
        <d v="2026-07-07T13:49:52"/>
        <d v="2026-07-29T21:02:23"/>
        <d v="2026-07-09T10:03:04"/>
        <d v="2026-07-27T11:00:10"/>
        <d v="2026-07-28T15:53:10"/>
        <d v="2026-07-14T12:00:41"/>
        <d v="2026-07-14T13:38:28"/>
        <d v="2026-07-31T15:56:05"/>
        <d v="2026-07-23T13:03:23"/>
        <d v="2026-07-30T19:16:34"/>
        <d v="2026-07-04T20:40:06"/>
        <d v="2026-07-06T16:06:45"/>
        <d v="2026-07-10T09:40:25"/>
        <d v="2026-07-03T10:20:10"/>
        <d v="2026-07-21T23:02:54"/>
        <d v="2026-07-30T18:51:22"/>
        <d v="2026-07-09T14:29:14"/>
        <d v="2026-07-03T16:09:37"/>
        <d v="2026-07-04T23:21:04"/>
        <d v="2026-07-08T15:21:33"/>
        <d v="2026-07-01T19:00:25"/>
        <d v="2026-07-09T12:39:30"/>
        <d v="2026-07-31T18:04:35"/>
        <d v="2026-07-31T19:02:54"/>
        <d v="2026-07-21T21:25:34"/>
        <d v="2026-07-31T09:18:54"/>
        <d v="2026-07-06T23:21:24"/>
        <d v="2026-07-02T10:52:35"/>
        <d v="2026-07-17T18:10:07"/>
        <d v="2026-07-02T14:17:13"/>
        <d v="2026-07-31T19:12:19"/>
        <d v="2026-07-31T12:31:11"/>
        <d v="2026-07-07T19:33:16"/>
        <d v="2026-07-31T10:49:54"/>
        <d v="2026-07-17T16:02:59"/>
        <d v="2026-07-19T17:20:32"/>
        <d v="2026-07-07T11:12:20"/>
        <d v="2026-07-28T11:27:58"/>
        <d v="2026-07-28T12:34:20"/>
        <d v="2026-07-04T22:18:10"/>
        <d v="2026-07-21T10:58:01"/>
        <d v="2026-07-27T12:26:09"/>
        <d v="2026-07-28T11:54:03"/>
        <d v="2026-07-21T15:59:14"/>
        <d v="2026-07-27T10:32:39"/>
        <d v="2026-07-15T11:51:24"/>
        <d v="2026-07-12T15:38:44"/>
        <d v="2026-07-25T21:25:47"/>
        <d v="2026-07-10T17:43:54"/>
        <d v="2026-07-03T13:00:40"/>
        <d v="2026-07-28T17:30:39"/>
        <d v="2026-07-03T18:10:51"/>
        <d v="2026-07-06T15:25:17"/>
        <d v="2026-07-22T11:34:39"/>
        <d v="2026-07-29T09:19:29"/>
        <d v="2026-07-23T18:48:43"/>
        <d v="2026-07-22T13:47:51"/>
        <d v="2026-07-23T11:04:32"/>
        <d v="2026-07-22T09:46:56"/>
        <d v="2026-07-16T10:11:38"/>
        <d v="2026-07-05T16:17:26"/>
        <d v="2026-07-23T18:31:31"/>
        <d v="2026-07-15T19:17:33"/>
        <d v="2026-07-14T09:30:05"/>
        <d v="2026-07-15T12:25:17"/>
        <d v="2026-07-31T13:32:29"/>
        <d v="2026-07-07T14:54:15"/>
        <d v="2026-07-07T11:03:25"/>
        <d v="2026-07-13T22:10:00"/>
        <d v="2026-07-09T17:38:59"/>
        <d v="2026-07-22T13:49:34"/>
        <d v="2026-07-31T13:33:35"/>
        <d v="2026-07-18T20:48:18"/>
        <d v="2026-07-21T09:22:56"/>
        <d v="2026-07-24T16:14:44"/>
        <d v="2026-07-14T20:42:08"/>
        <d v="2026-07-21T10:49:10"/>
        <d v="2026-07-02T23:03:15"/>
        <d v="2026-07-26T23:55:29"/>
        <d v="2026-07-24T23:53:34"/>
        <d v="2026-07-29T10:42:35"/>
        <d v="2026-07-24T15:47:03"/>
        <d v="2026-07-06T13:17:11"/>
        <d v="2026-07-14T13:38:21"/>
        <d v="2026-07-09T16:18:43"/>
        <d v="2026-07-16T12:30:11"/>
        <d v="2026-07-17T13:25:20"/>
        <d v="2026-07-16T13:20:39"/>
        <d v="2026-07-23T13:04:18"/>
        <d v="2026-07-01T13:16:53"/>
        <d v="2026-07-17T13:45:14"/>
        <d v="2026-07-21T09:39:26"/>
        <d v="2026-07-24T10:54:20"/>
        <d v="2026-07-09T13:40:39"/>
        <d v="2026-07-04T07:13:31"/>
        <d v="2026-07-20T17:05:55"/>
        <d v="2026-07-20T17:20:19"/>
        <d v="2026-07-13T09:20:44"/>
        <d v="2026-07-11T10:53:21"/>
        <d v="2026-07-12T16:35:47"/>
        <d v="2026-07-28T21:38:57"/>
        <d v="2026-07-08T09:30:08"/>
        <d v="2026-07-04T20:29:31"/>
        <d v="2026-07-07T13:44:21"/>
        <d v="2026-07-02T09:22:08"/>
        <d v="2026-07-27T11:24:28"/>
        <d v="2026-07-16T15:15:14"/>
        <d v="2026-07-14T11:51:40"/>
        <d v="2026-07-18T21:31:49"/>
        <d v="2026-07-03T10:54:10"/>
        <d v="2026-07-28T15:33:13"/>
        <d v="2026-07-19T15:37:15"/>
        <d v="2026-07-03T19:13:38"/>
        <d v="2026-07-13T11:13:12"/>
        <d v="2026-07-22T04:32:16"/>
        <d v="2026-07-10T23:03:33"/>
        <d v="2026-07-09T06:25:04"/>
        <d v="2026-07-30T12:05:07"/>
        <d v="2026-07-02T21:50:32"/>
        <d v="2026-07-31T23:08:48"/>
        <d v="2026-07-28T18:16:20"/>
        <d v="2026-07-16T14:06:42"/>
        <d v="2026-07-17T16:30:49"/>
        <d v="2026-07-31T07:20:09"/>
        <d v="2026-07-14T11:41:00"/>
        <d v="2026-07-23T09:16:50"/>
        <d v="2026-07-20T13:13:47"/>
        <d v="2026-07-20T11:56:02"/>
        <d v="2026-07-09T19:19:36"/>
        <d v="2026-07-17T14:34:47"/>
        <d v="2026-07-31T10:04:41"/>
        <d v="2026-07-06T15:31:22"/>
        <d v="2026-07-16T22:13:58"/>
        <d v="2026-07-07T09:06:52"/>
        <d v="2026-07-08T12:06:35"/>
        <d v="2026-07-06T13:32:37"/>
        <d v="2026-07-23T09:45:41"/>
        <d v="2026-07-14T20:46:52"/>
        <d v="2026-07-22T16:18:21"/>
        <d v="2026-07-24T14:04:40"/>
        <d v="2026-07-22T09:29:58"/>
        <d v="2026-07-28T09:15:33"/>
        <d v="2026-07-27T17:05:55"/>
        <d v="2026-07-02T10:37:40"/>
        <d v="2026-07-28T19:32:37"/>
        <d v="2026-07-22T11:32:54"/>
        <d v="2026-07-12T21:43:59"/>
        <d v="2026-07-28T20:46:29"/>
        <d v="2026-07-29T13:21:27"/>
        <d v="2026-07-28T10:31:18"/>
        <d v="2026-07-09T14:41:39"/>
        <d v="2026-07-24T16:22:24"/>
        <d v="2026-07-20T20:34:32"/>
        <d v="2026-07-24T14:11:35"/>
        <d v="2026-07-16T11:17:56"/>
        <d v="2026-07-07T10:07:18"/>
        <d v="2026-07-14T10:00:03"/>
        <d v="2026-07-13T09:45:04"/>
        <d v="2026-07-06T12:01:02"/>
        <d v="2026-07-12T12:59:20"/>
        <d v="2026-07-14T15:04:11"/>
        <d v="2026-07-30T13:55:58"/>
        <d v="2026-07-28T15:27:28"/>
        <d v="2026-07-03T17:49:20"/>
        <d v="2026-07-12T13:51:12"/>
        <d v="2026-07-17T16:57:54"/>
        <d v="2026-07-20T20:03:14"/>
        <d v="2026-07-09T15:28:49"/>
        <d v="2026-07-15T13:34:40"/>
        <d v="2026-07-30T13:15:22"/>
        <d v="2026-07-16T12:45:47"/>
        <d v="2026-07-21T20:06:49"/>
        <d v="2026-07-08T00:54:35"/>
        <d v="2026-07-21T18:47:44"/>
        <d v="2026-07-07T10:10:10"/>
        <d v="2026-07-21T19:59:43"/>
        <d v="2026-07-14T10:35:16"/>
        <d v="2026-07-20T23:28:02"/>
        <d v="2026-07-24T10:03:51"/>
        <d v="2026-07-06T12:57:35"/>
        <d v="2026-07-28T09:35:20"/>
        <d v="2026-07-13T11:23:09"/>
        <d v="2026-07-01T15:00:28"/>
        <d v="2026-07-24T15:14:21"/>
        <d v="2026-07-03T14:20:28"/>
        <d v="2026-07-13T09:43:38"/>
        <d v="2026-07-09T10:54:50"/>
        <d v="2026-07-07T20:11:01"/>
        <d v="2026-07-07T20:06:23"/>
        <d v="2026-07-06T12:28:42"/>
        <d v="2026-07-03T11:32:35"/>
        <d v="2026-07-29T19:28:29"/>
        <d v="2026-07-27T13:02:51"/>
        <d v="2026-07-16T17:08:09"/>
        <d v="2026-07-06T17:59:34"/>
        <d v="2026-07-22T11:17:13"/>
        <d v="2026-07-14T12:31:18"/>
        <d v="2026-07-13T18:22:13"/>
        <d v="2026-07-03T09:23:06"/>
        <d v="2026-07-07T22:43:57"/>
        <d v="2026-07-01T17:34:42"/>
        <d v="2026-07-16T18:49:11"/>
        <d v="2026-07-14T23:33:30"/>
        <d v="2026-07-08T16:46:52"/>
        <d v="2026-07-07T10:37:27"/>
        <d v="2026-07-03T09:28:20"/>
        <d v="2026-07-14T11:17:52"/>
        <d v="2026-07-10T21:53:24"/>
        <d v="2026-07-09T12:51:01"/>
        <d v="2026-07-31T22:16:03"/>
        <d v="2026-07-28T14:43:45"/>
        <d v="2026-07-06T09:36:07"/>
        <d v="2026-07-02T11:19:35"/>
        <d v="2026-07-06T09:46:37"/>
        <d v="2026-07-20T10:01:39"/>
        <d v="2026-07-22T08:50:37"/>
        <d v="2026-07-30T12:32:42"/>
        <d v="2026-07-13T13:59:06"/>
        <d v="2026-07-16T19:42:11"/>
        <d v="2026-07-03T17:03:07"/>
        <d v="2026-07-01T14:32:11"/>
        <d v="2026-07-24T11:29:52"/>
        <d v="2026-07-17T13:40:25"/>
        <d v="2026-07-03T14:27:10"/>
        <d v="2026-07-24T15:09:08"/>
        <d v="2026-07-23T12:42:49"/>
        <d v="2026-07-28T12:13:03"/>
        <d v="2026-07-23T18:31:43"/>
        <d v="2026-07-08T14:34:50"/>
        <d v="2026-07-28T18:07:00"/>
        <d v="2026-07-07T11:41:42"/>
        <d v="2026-07-11T21:10:19"/>
        <d v="2026-07-08T12:29:21"/>
        <d v="2026-07-09T23:10:21"/>
        <d v="2026-07-23T11:27:22"/>
        <d v="2026-07-27T18:26:52"/>
        <d v="2026-07-21T13:16:40"/>
        <d v="2026-07-24T13:50:15"/>
        <d v="2026-07-27T17:35:40"/>
        <d v="2026-07-01T12:21:51"/>
        <d v="2026-07-15T20:04:41"/>
        <d v="2026-07-21T16:31:54"/>
        <d v="2026-07-29T15:25:36"/>
        <d v="2026-07-23T13:23:50"/>
        <d v="2026-07-01T20:04:56"/>
        <d v="2026-07-24T12:46:37"/>
        <d v="2026-07-03T13:07:31"/>
        <d v="2026-07-16T10:44:13"/>
        <d v="2026-07-21T13:08:47"/>
        <d v="2026-07-22T13:24:59"/>
        <d v="2026-07-15T17:07:30"/>
        <d v="2026-07-14T19:08:36"/>
        <d v="2026-07-13T18:16:01"/>
        <d v="2026-07-23T19:41:23"/>
        <d v="2026-07-31T14:01:33"/>
        <d v="2026-07-27T10:58:45"/>
        <d v="2026-07-14T14:35:48"/>
        <d v="2026-07-17T12:25:26"/>
        <d v="2026-07-20T19:32:52"/>
        <d v="2026-07-07T13:28:13"/>
        <d v="2026-07-05T12:03:32"/>
        <d v="2026-07-21T05:43:42"/>
        <d v="2026-07-23T12:47:01"/>
        <d v="2026-07-23T09:46:38"/>
        <d v="2026-07-20T10:18:20"/>
        <d v="2026-07-01T09:39:48"/>
        <d v="2026-07-16T19:45:27"/>
        <d v="2026-07-02T19:33:14"/>
        <d v="2026-07-17T16:42:16"/>
        <d v="2026-07-15T09:59:38"/>
        <d v="2026-07-02T10:31:42"/>
        <d v="2026-07-27T09:36:21"/>
        <d v="2026-07-21T21:35:09"/>
        <d v="2026-07-13T21:23:51"/>
        <d v="2026-07-08T20:25:57"/>
        <d v="2026-07-14T14:51:16"/>
        <d v="2026-07-12T11:37:23"/>
        <d v="2026-07-08T14:45:32"/>
        <d v="2026-07-27T15:36:03"/>
        <d v="2026-07-22T08:37:35"/>
        <d v="2026-07-07T10:21:30"/>
        <d v="2026-07-14T15:21:01"/>
        <d v="2026-07-16T11:28:11"/>
        <d v="2026-07-20T11:51:58"/>
        <d v="2026-07-31T15:12:49"/>
        <d v="2026-07-23T12:30:31"/>
        <d v="2026-07-30T19:01:28"/>
        <d v="2026-07-02T10:00:43"/>
        <d v="2026-07-29T19:26:28"/>
        <d v="2026-07-23T13:10:16"/>
        <d v="2026-07-09T20:00:12"/>
        <d v="2026-07-08T10:01:34"/>
        <d v="2026-07-08T00:19:25"/>
        <d v="2026-07-21T19:42:34"/>
        <d v="2026-07-30T16:04:29"/>
        <d v="2026-07-09T17:10:28"/>
        <d v="2026-07-28T11:01:48"/>
        <d v="2026-07-18T13:42:57"/>
        <d v="2026-07-02T11:23:20"/>
        <d v="2026-07-06T11:58:49"/>
        <d v="2026-07-22T16:46:58"/>
        <d v="2026-07-18T17:01:05"/>
        <d v="2026-07-03T17:49:05"/>
        <d v="2026-07-09T21:55:48"/>
        <d v="2026-07-20T14:37:17"/>
        <d v="2026-07-31T19:09:34"/>
        <d v="2026-07-08T19:05:41"/>
        <d v="2026-07-17T20:45:19"/>
        <d v="2026-07-07T09:23:20"/>
        <d v="2026-07-17T17:09:32"/>
        <d v="2026-07-28T16:49:19"/>
        <d v="2026-07-17T18:01:51"/>
        <d v="2026-07-22T19:18:45"/>
        <d v="2026-07-16T22:16:51"/>
        <d v="2026-07-02T19:49:31"/>
        <d v="2026-07-24T13:29:15"/>
        <d v="2026-07-14T18:00:08"/>
        <d v="2026-07-21T13:10:17"/>
        <d v="2026-07-30T10:21:57"/>
        <d v="2026-07-14T22:06:58"/>
        <d v="2026-07-03T19:31:05"/>
        <d v="2026-07-17T09:03:25"/>
        <d v="2026-07-14T20:00:22"/>
        <d v="2026-07-06T15:40:17"/>
        <d v="2026-07-07T15:21:11"/>
        <d v="2026-07-08T10:24:57"/>
        <d v="2026-07-06T16:31:49"/>
        <d v="2026-07-21T21:10:11"/>
        <d v="2026-07-14T14:41:31"/>
        <d v="2026-07-28T10:48:50"/>
        <d v="2026-07-27T13:18:22"/>
        <d v="2026-07-10T11:16:08"/>
        <d v="2026-07-08T15:22:09"/>
        <d v="2026-07-29T13:31:29"/>
        <d v="2026-07-22T14:59:41"/>
        <d v="2026-07-28T15:01:21"/>
        <d v="2026-07-29T10:30:46"/>
        <d v="2026-07-10T14:49:02"/>
        <d v="2026-07-16T13:13:42"/>
        <d v="2026-07-21T13:36:29"/>
        <d v="2026-07-15T18:23:46"/>
        <d v="2026-07-10T12:47:54"/>
        <d v="2026-07-06T10:53:09"/>
        <d v="2026-07-16T17:20:31"/>
        <d v="2026-07-31T11:12:09"/>
        <d v="2026-07-30T11:24:39"/>
        <d v="2026-07-17T11:09:47"/>
        <d v="2026-07-17T13:51:06"/>
        <d v="2026-07-06T13:14:41"/>
        <d v="2026-07-29T09:59:06"/>
        <d v="2026-07-24T10:27:31"/>
        <d v="2026-07-10T18:42:23"/>
        <d v="2026-07-06T09:22:02"/>
        <d v="2026-07-05T04:16:21"/>
        <d v="2026-07-03T10:53:01"/>
        <d v="2026-07-01T10:08:40"/>
        <d v="2026-07-28T15:29:05"/>
        <d v="2026-07-21T23:15:57"/>
        <d v="2026-07-30T13:35:00"/>
        <d v="2026-07-20T14:02:37"/>
        <d v="2026-07-10T19:42:20"/>
        <d v="2026-07-06T09:20:19"/>
        <d v="2026-07-09T17:04:25"/>
        <d v="2026-07-07T09:15:18"/>
        <d v="2026-07-16T16:31:58"/>
        <d v="2026-07-30T22:01:02"/>
        <d v="2026-07-08T22:03:59"/>
        <d v="2026-07-28T15:05:32"/>
        <d v="2026-07-10T09:18:49"/>
        <d v="2026-07-05T11:56:31"/>
        <d v="2026-07-06T09:49:44"/>
        <d v="2026-07-03T14:35:13"/>
        <d v="2026-07-07T12:02:28"/>
        <d v="2026-07-18T10:53:46"/>
        <d v="2026-07-22T23:55:14"/>
        <d v="2026-07-07T12:53:26"/>
        <d v="2026-07-22T12:22:35"/>
        <d v="2026-07-19T13:53:36"/>
        <d v="2026-07-17T13:45:39"/>
        <d v="2026-07-17T19:01:24"/>
        <d v="2026-07-16T13:44:19"/>
        <d v="2026-07-20T15:16:06"/>
        <d v="2026-07-31T10:00:19"/>
        <d v="2026-07-17T17:52:00"/>
        <d v="2026-07-27T14:01:52"/>
        <d v="2026-07-07T09:27:16"/>
        <d v="2026-07-21T12:53:08"/>
        <d v="2026-07-02T17:54:07"/>
        <d v="2026-07-28T13:34:00"/>
        <d v="2026-07-23T20:16:19"/>
        <d v="2026-07-28T12:20:35"/>
        <d v="2026-07-23T12:44:03"/>
        <d v="2026-07-14T10:09:38"/>
        <d v="2026-07-28T09:42:45"/>
        <d v="2026-07-21T15:28:27"/>
        <d v="2026-07-17T14:15:32"/>
        <d v="2026-07-15T17:28:58"/>
        <d v="2026-07-20T11:40:14"/>
        <d v="2026-07-01T10:33:38"/>
        <d v="2026-07-29T14:17:19"/>
        <d v="2026-07-29T14:54:41"/>
        <d v="2026-07-28T14:30:35"/>
        <d v="2026-07-08T10:42:35"/>
        <d v="2026-07-24T10:55:47"/>
        <d v="2026-07-23T14:53:04"/>
        <d v="2026-07-22T13:46:08"/>
        <d v="2026-07-15T18:32:28"/>
        <d v="2026-07-09T10:09:48"/>
        <d v="2026-07-16T08:32:04"/>
        <d v="2026-07-09T23:25:36"/>
        <d v="2026-07-14T10:29:48"/>
        <d v="2026-07-13T12:19:54"/>
        <d v="2026-07-10T19:20:00"/>
        <d v="2026-07-16T14:52:42"/>
        <d v="2026-07-15T10:42:26"/>
        <d v="2026-07-30T18:06:07"/>
        <d v="2026-07-30T15:20:30"/>
        <d v="2026-07-20T17:49:07"/>
        <d v="2026-07-01T22:22:52"/>
        <d v="2026-07-13T10:42:04"/>
        <d v="2026-07-27T15:53:46"/>
        <d v="2026-07-30T12:47:27"/>
        <d v="2026-07-23T20:13:55"/>
        <d v="2026-07-28T13:40:28"/>
        <d v="2026-07-23T12:02:58"/>
        <d v="2026-07-09T21:11:21"/>
        <d v="2026-07-28T00:11:06"/>
        <d v="2026-07-02T17:52:46"/>
        <d v="2026-07-28T16:46:32"/>
        <d v="2026-07-22T14:04:51"/>
        <d v="2026-07-15T18:47:37"/>
        <d v="2026-07-31T11:46:56"/>
        <d v="2026-07-16T14:05:13"/>
        <d v="2026-07-23T16:35:18"/>
        <d v="2026-07-08T14:57:18"/>
        <d v="2026-07-11T20:06:36"/>
        <d v="2026-07-27T18:58:34"/>
        <d v="2026-07-03T09:43:26"/>
        <d v="2026-07-01T09:21:00"/>
        <d v="2026-07-01T14:38:01"/>
        <d v="2026-07-03T15:08:32"/>
        <d v="2026-07-01T10:41:58"/>
        <d v="2026-07-10T09:39:49"/>
        <d v="2026-07-10T09:56:34"/>
        <d v="2026-07-14T10:17:53"/>
        <d v="2026-07-20T18:40:55"/>
        <d v="2026-07-20T19:39:57"/>
        <d v="2026-07-07T19:23:41"/>
        <d v="2026-07-09T14:41:05"/>
        <d v="2026-07-10T18:02:12"/>
        <d v="2026-07-09T12:30:51"/>
        <d v="2026-07-06T09:57:31"/>
        <d v="2026-07-04T10:42:10"/>
        <d v="2026-07-07T11:52:48"/>
        <d v="2026-07-29T19:41:49"/>
        <d v="2026-07-27T10:28:36"/>
        <d v="2026-07-22T09:22:29"/>
        <d v="2026-07-14T17:03:50"/>
        <d v="2026-07-03T12:14:31"/>
        <d v="2026-07-28T19:08:13"/>
        <d v="2026-07-31T16:07:19"/>
        <d v="2026-07-03T11:00:25"/>
        <d v="2026-07-05T15:09:49"/>
        <d v="2026-07-21T15:15:13"/>
        <d v="2026-07-08T13:16:52"/>
        <d v="2026-07-09T10:36:44"/>
        <d v="2026-07-08T21:31:24"/>
        <d v="2026-07-06T10:28:17"/>
        <d v="2026-07-09T13:09:45"/>
        <d v="2026-07-22T10:23:19"/>
        <d v="2026-07-23T13:12:54"/>
        <d v="2026-07-04T10:54:48"/>
        <d v="2026-07-01T12:17:01"/>
        <d v="2026-07-19T00:28:39"/>
        <d v="2026-07-18T00:12:31"/>
        <d v="2026-07-30T11:31:52"/>
        <d v="2026-07-23T15:51:06"/>
        <d v="2026-07-17T09:26:19"/>
        <d v="2026-07-17T14:04:44"/>
        <d v="2026-07-19T16:38:23"/>
        <d v="2026-07-01T11:47:45"/>
        <d v="2026-07-08T13:43:59"/>
        <d v="2026-07-27T14:08:20"/>
        <d v="2026-07-24T11:56:55"/>
        <d v="2026-07-21T09:49:44"/>
        <d v="2026-07-20T10:32:22"/>
        <d v="2026-07-23T14:51:24"/>
        <d v="2026-07-09T20:10:44"/>
        <d v="2026-07-23T14:33:23"/>
        <d v="2026-07-01T17:36:58"/>
        <d v="2026-07-22T14:33:59"/>
        <d v="2026-07-29T16:22:08"/>
        <d v="2026-07-08T18:06:44"/>
        <d v="2026-07-25T18:26:49"/>
        <d v="2026-07-29T09:33:49"/>
        <d v="2026-07-22T13:31:26"/>
        <d v="2026-07-13T18:33:36"/>
        <d v="2026-07-22T20:55:15"/>
        <d v="2026-07-24T09:39:18"/>
        <d v="2026-07-15T13:00:12"/>
        <d v="2026-07-10T16:40:54"/>
        <d v="2026-07-15T12:12:41"/>
        <d v="2026-07-09T20:12:16"/>
        <d v="2026-07-07T09:16:51"/>
        <d v="2026-07-12T13:27:53"/>
        <d v="2026-07-10T12:12:22"/>
        <d v="2026-07-07T17:00:56"/>
        <d v="2026-07-30T20:38:47"/>
        <d v="2026-07-29T18:27:26"/>
        <d v="2026-07-21T13:51:39"/>
        <d v="2026-07-20T12:15:22"/>
        <d v="2026-07-21T10:44:24"/>
        <d v="2026-07-21T11:57:14"/>
        <d v="2026-07-02T17:05:17"/>
        <d v="2026-07-21T09:33:11"/>
        <d v="2026-07-09T10:40:33"/>
        <d v="2026-07-02T15:21:10"/>
        <d v="2026-07-01T10:34:33"/>
        <d v="2026-07-17T19:50:39"/>
        <d v="2026-07-21T09:30:54"/>
        <d v="2026-07-21T15:09:14"/>
        <d v="2026-07-16T09:26:23"/>
        <d v="2026-07-31T14:32:55"/>
        <d v="2026-07-07T13:26:52"/>
        <d v="2026-07-28T09:45:30"/>
        <d v="2026-07-02T14:49:38"/>
        <d v="2026-07-14T23:56:20"/>
        <d v="2026-07-24T09:26:18"/>
        <d v="2026-07-15T13:49:01"/>
        <d v="2026-07-13T09:31:09"/>
        <d v="2026-07-06T14:28:24"/>
        <d v="2026-07-10T10:10:25"/>
        <d v="2026-07-04T07:42:16"/>
        <d v="2026-07-07T23:11:00"/>
        <d v="2026-07-13T09:59:57"/>
        <d v="2026-07-29T19:27:21"/>
        <d v="2026-07-29T19:09:21"/>
        <d v="2026-07-14T18:38:55"/>
        <d v="2026-07-16T10:34:13"/>
        <d v="2026-07-22T10:59:51"/>
        <d v="2026-07-15T15:25:27"/>
        <d v="2026-07-07T10:25:55"/>
        <d v="2026-07-05T13:24:21"/>
        <d v="2026-07-07T10:05:53"/>
        <d v="2026-07-30T02:20:11"/>
        <d v="2026-07-22T11:30:38"/>
        <d v="2026-07-15T15:09:48"/>
        <d v="2026-07-30T09:47:50"/>
        <d v="2026-07-06T12:09:22"/>
        <d v="2026-07-01T10:05:25"/>
        <d v="2026-07-17T10:27:37"/>
        <d v="2026-07-14T14:35:27"/>
        <d v="2026-07-04T15:00:50"/>
        <d v="2026-07-28T11:04:30"/>
        <d v="2026-07-08T15:02:01"/>
        <d v="2026-07-28T18:53:17"/>
        <d v="2026-07-04T20:40:17"/>
        <d v="2026-07-06T10:29:27"/>
        <d v="2026-07-03T15:58:32"/>
        <d v="2026-07-17T14:12:51"/>
        <d v="2026-07-17T12:30:45"/>
        <d v="2026-07-06T23:39:12"/>
        <d v="2026-07-30T11:33:10"/>
        <d v="2026-07-13T14:56:06"/>
        <d v="2026-07-20T12:48:46"/>
        <d v="2026-07-31T16:12:19"/>
        <d v="2026-07-06T15:08:14"/>
        <d v="2026-07-17T14:43:30"/>
        <d v="2026-07-16T15:21:24"/>
        <d v="2026-07-10T10:25:09"/>
        <d v="2026-07-06T16:19:17"/>
        <d v="2026-07-21T09:24:22"/>
        <d v="2026-07-09T18:37:56"/>
        <d v="2026-07-03T11:31:27"/>
        <d v="2026-07-26T21:59:40"/>
        <d v="2026-07-27T00:48:18"/>
        <d v="2026-07-02T12:41:17"/>
        <d v="2026-07-02T20:30:07"/>
        <d v="2026-07-27T14:03:52"/>
        <d v="2026-07-27T09:54:59"/>
        <d v="2026-07-15T11:15:56"/>
        <d v="2026-07-09T15:05:01"/>
        <d v="2026-07-16T13:01:42"/>
        <d v="2026-07-15T19:01:27"/>
        <d v="2026-07-10T14:27:26"/>
        <d v="2026-07-10T13:41:37"/>
        <d v="2026-07-08T20:23:08"/>
        <d v="2026-07-17T19:04:49"/>
        <d v="2026-07-31T11:15:54"/>
        <d v="2026-07-06T17:59:42"/>
        <d v="2026-07-20T09:28:36"/>
        <d v="2026-07-20T13:59:10"/>
        <d v="2026-07-20T18:57:22"/>
        <d v="2026-07-27T14:31:35"/>
        <d v="2026-07-30T18:13:22"/>
        <d v="2026-07-01T15:25:51"/>
        <d v="2026-07-24T13:05:42"/>
        <d v="2026-07-13T12:23:45"/>
        <d v="2026-07-16T10:44:16"/>
        <d v="2026-07-02T12:33:17"/>
        <d v="2026-07-21T23:52:06"/>
        <d v="2026-07-14T15:43:07"/>
        <d v="2026-07-15T13:14:46"/>
        <d v="2026-07-16T09:47:50"/>
        <d v="2026-07-20T08:13:30"/>
        <d v="2026-07-28T09:20:13"/>
        <d v="2026-07-01T19:00:20"/>
        <d v="2026-07-01T03:43:09"/>
        <d v="2026-07-14T17:39:50"/>
        <d v="2026-07-09T22:05:25"/>
        <d v="2026-07-12T13:59:00"/>
        <d v="2026-07-10T12:42:59"/>
        <d v="2026-07-11T19:17:00"/>
        <d v="2026-07-10T14:01:53"/>
        <d v="2026-07-04T20:38:21"/>
        <d v="2026-07-24T17:39:39"/>
        <d v="2026-07-16T11:28:37"/>
        <d v="2026-07-21T19:36:14"/>
        <d v="2026-07-14T15:19:05"/>
        <d v="2026-07-23T12:30:28"/>
        <d v="2026-07-15T12:03:10"/>
        <d v="2026-07-05T17:22:13"/>
        <d v="2026-07-03T13:34:22"/>
        <d v="2026-07-05T14:51:28"/>
        <d v="2026-07-14T13:05:58"/>
        <d v="2026-07-07T10:46:20"/>
        <d v="2026-07-05T17:09:33"/>
        <d v="2026-07-10T16:06:30"/>
        <d v="2026-07-03T11:08:21"/>
        <d v="2026-07-29T19:00:44"/>
        <d v="2026-07-14T11:56:53"/>
        <d v="2026-07-08T14:24:54"/>
        <d v="2026-07-06T09:46:08"/>
        <d v="2026-07-31T11:44:19"/>
        <d v="2026-07-27T10:04:10"/>
        <d v="2026-07-04T18:04:02"/>
        <d v="2026-07-18T13:21:39"/>
        <d v="2026-07-31T21:52:26"/>
        <d v="2026-07-26T19:16:10"/>
        <d v="2026-07-06T13:13:59"/>
        <d v="2026-07-17T16:15:02"/>
        <d v="2026-07-24T14:58:48"/>
        <d v="2026-07-06T09:52:27"/>
        <d v="2026-07-06T18:32:37"/>
      </sharedItems>
      <fieldGroup par="12"/>
    </cacheField>
    <cacheField name="Date Clean" numFmtId="14">
      <sharedItems containsSemiMixedTypes="0" containsNonDate="0" containsDate="1" containsString="0" minDate="2026-07-01T00:00:00" maxDate="2026-08-01T00:00:00" count="31">
        <d v="2026-07-23T00:00:00"/>
        <d v="2026-07-28T00:00:00"/>
        <d v="2026-07-03T00:00:00"/>
        <d v="2026-07-29T00:00:00"/>
        <d v="2026-07-14T00:00:00"/>
        <d v="2026-07-09T00:00:00"/>
        <d v="2026-07-20T00:00:00"/>
        <d v="2026-07-13T00:00:00"/>
        <d v="2026-07-24T00:00:00"/>
        <d v="2026-07-27T00:00:00"/>
        <d v="2026-07-17T00:00:00"/>
        <d v="2026-07-07T00:00:00"/>
        <d v="2026-07-08T00:00:00"/>
        <d v="2026-07-11T00:00:00"/>
        <d v="2026-07-04T00:00:00"/>
        <d v="2026-07-15T00:00:00"/>
        <d v="2026-07-31T00:00:00"/>
        <d v="2026-07-30T00:00:00"/>
        <d v="2026-07-16T00:00:00"/>
        <d v="2026-07-10T00:00:00"/>
        <d v="2026-07-05T00:00:00"/>
        <d v="2026-07-22T00:00:00"/>
        <d v="2026-07-01T00:00:00"/>
        <d v="2026-07-21T00:00:00"/>
        <d v="2026-07-02T00:00:00"/>
        <d v="2026-07-19T00:00:00"/>
        <d v="2026-07-06T00:00:00"/>
        <d v="2026-07-12T00:00:00"/>
        <d v="2026-07-25T00:00:00"/>
        <d v="2026-07-26T00:00:00"/>
        <d v="2026-07-18T00:00:00"/>
      </sharedItems>
    </cacheField>
    <cacheField name="Lead Source" numFmtId="0">
      <sharedItems/>
    </cacheField>
    <cacheField name="FTD" numFmtId="0">
      <sharedItems containsMixedTypes="1" containsNumber="1" minValue="1" maxValue="200000"/>
    </cacheField>
    <cacheField name="Weightage" numFmtId="0">
      <sharedItems containsSemiMixedTypes="0" containsString="0" containsNumber="1" containsInteger="1" minValue="1" maxValue="3"/>
    </cacheField>
    <cacheField name="Day Status" numFmtId="0">
      <sharedItems count="3">
        <s v="Working Day"/>
        <s v="Saturday"/>
        <s v="Sunday"/>
      </sharedItems>
    </cacheField>
    <cacheField name="Seconds (Date)" numFmtId="0" databaseField="0">
      <fieldGroup base="3">
        <rangePr groupBy="seconds" startDate="2026-07-01T03:43:09" endDate="2026-07-31T23:08:48"/>
        <groupItems count="62">
          <s v="&lt;01/07/20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07/2026"/>
        </groupItems>
      </fieldGroup>
    </cacheField>
    <cacheField name="Minutes (Date)" numFmtId="0" databaseField="0">
      <fieldGroup base="3">
        <rangePr groupBy="minutes" startDate="2026-07-01T03:43:09" endDate="2026-07-31T23:08:48"/>
        <groupItems count="62">
          <s v="&lt;01/07/20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07/2026"/>
        </groupItems>
      </fieldGroup>
    </cacheField>
    <cacheField name="Hours (Date)" numFmtId="0" databaseField="0">
      <fieldGroup base="3">
        <rangePr groupBy="hours" startDate="2026-07-01T03:43:09" endDate="2026-07-31T23:08:48"/>
        <groupItems count="26">
          <s v="&lt;01/07/2026"/>
          <s v="12 AM"/>
          <s v="1 AM"/>
          <s v="2 AM"/>
          <s v="3 AM"/>
          <s v="4 AM"/>
          <s v="5 AM"/>
          <s v="6 AM"/>
          <s v="7 AM"/>
          <s v="8 AM"/>
          <s v="9 AM"/>
          <s v="10 AM"/>
          <s v="11 AM"/>
          <s v="12 PM"/>
          <s v="1 PM"/>
          <s v="2 PM"/>
          <s v="3 PM"/>
          <s v="4 PM"/>
          <s v="5 PM"/>
          <s v="6 PM"/>
          <s v="7 PM"/>
          <s v="8 PM"/>
          <s v="9 PM"/>
          <s v="10 PM"/>
          <s v="11 PM"/>
          <s v="&gt;31/07/2026"/>
        </groupItems>
      </fieldGroup>
    </cacheField>
    <cacheField name="Days (Date)" numFmtId="0" databaseField="0">
      <fieldGroup base="3">
        <rangePr groupBy="days" startDate="2026-07-01T03:43:09" endDate="2026-07-31T23:08:48"/>
        <groupItems count="368">
          <s v="&lt;01/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2">
  <r>
    <s v="M148590"/>
    <s v="Old Portal_1YT"/>
    <x v="0"/>
    <x v="0"/>
    <x v="0"/>
    <s v="MAIN WEBSITE (HOT)"/>
    <n v="1000"/>
    <n v="1"/>
    <x v="0"/>
  </r>
  <r>
    <s v="A150877"/>
    <s v="Old Portal_1YT"/>
    <x v="1"/>
    <x v="1"/>
    <x v="1"/>
    <s v="Referral (HOT)"/>
    <n v="2000"/>
    <n v="3"/>
    <x v="0"/>
  </r>
  <r>
    <s v="V140863"/>
    <s v="Old Portal_1YT"/>
    <x v="2"/>
    <x v="2"/>
    <x v="2"/>
    <s v="MAIN WEBSITE (HOT)"/>
    <n v="1500"/>
    <n v="1"/>
    <x v="0"/>
  </r>
  <r>
    <s v="S33113"/>
    <s v="Not traded new panel"/>
    <x v="3"/>
    <x v="3"/>
    <x v="3"/>
    <s v="META3"/>
    <n v="4000"/>
    <n v="3"/>
    <x v="0"/>
  </r>
  <r>
    <s v="J145459"/>
    <s v="Old Portal_1YT"/>
    <x v="4"/>
    <x v="4"/>
    <x v="4"/>
    <s v="MAIN WEBSITE (HOT)"/>
    <n v="1000"/>
    <n v="1"/>
    <x v="0"/>
  </r>
  <r>
    <s v="B74568"/>
    <s v="Not traded new panel"/>
    <x v="5"/>
    <x v="5"/>
    <x v="5"/>
    <s v="MAIN WEBSITE (HOT)"/>
    <n v="1000"/>
    <n v="1"/>
    <x v="0"/>
  </r>
  <r>
    <s v="K147126"/>
    <s v="Old Portal_1YT"/>
    <x v="2"/>
    <x v="6"/>
    <x v="6"/>
    <s v="MAIN WEBSITE (HOT) 1"/>
    <n v="8400"/>
    <n v="1"/>
    <x v="0"/>
  </r>
  <r>
    <s v="D143267"/>
    <s v="Traded_Old Portal"/>
    <x v="6"/>
    <x v="7"/>
    <x v="7"/>
    <s v="Referral (HOT)"/>
    <n v="2000"/>
    <n v="3"/>
    <x v="0"/>
  </r>
  <r>
    <s v="S149558"/>
    <s v="Old Portal_1YT"/>
    <x v="7"/>
    <x v="8"/>
    <x v="8"/>
    <s v="Instagram"/>
    <n v="500"/>
    <n v="2"/>
    <x v="0"/>
  </r>
  <r>
    <s v="A137571"/>
    <s v="Traded Conversions"/>
    <x v="8"/>
    <x v="9"/>
    <x v="9"/>
    <s v="Meta6"/>
    <n v="1000"/>
    <n v="1"/>
    <x v="0"/>
  </r>
  <r>
    <s v="M121811"/>
    <s v="Traded Conversions"/>
    <x v="8"/>
    <x v="10"/>
    <x v="10"/>
    <s v="MAIN WEBSITE (HOT)"/>
    <n v="1000"/>
    <n v="1"/>
    <x v="0"/>
  </r>
  <r>
    <s v="R149379"/>
    <s v="Traded Conversions"/>
    <x v="9"/>
    <x v="11"/>
    <x v="8"/>
    <s v="Meta6"/>
    <n v="1001"/>
    <n v="1"/>
    <x v="0"/>
  </r>
  <r>
    <s v="A134801"/>
    <s v="Traded Conversions"/>
    <x v="10"/>
    <x v="12"/>
    <x v="2"/>
    <s v="MAIN WEBSITE (HOT)"/>
    <n v="5000"/>
    <n v="1"/>
    <x v="0"/>
  </r>
  <r>
    <s v="P29276"/>
    <s v="Traded Conversions"/>
    <x v="5"/>
    <x v="13"/>
    <x v="6"/>
    <s v="META3"/>
    <n v="2000"/>
    <n v="3"/>
    <x v="0"/>
  </r>
  <r>
    <s v="S149908"/>
    <s v="Traded Conversions"/>
    <x v="11"/>
    <x v="14"/>
    <x v="1"/>
    <s v="Whatsapp"/>
    <n v="2000"/>
    <n v="2"/>
    <x v="0"/>
  </r>
  <r>
    <s v="M149214"/>
    <s v="Traded Conversions"/>
    <x v="12"/>
    <x v="15"/>
    <x v="9"/>
    <s v="Referral (HOT)"/>
    <n v="5000"/>
    <n v="3"/>
    <x v="0"/>
  </r>
  <r>
    <s v="P142557"/>
    <s v="Traded Conversions"/>
    <x v="13"/>
    <x v="16"/>
    <x v="11"/>
    <s v="Referral (HOT)"/>
    <n v="2000"/>
    <n v="3"/>
    <x v="0"/>
  </r>
  <r>
    <s v="D143131"/>
    <s v="Traded Conversions"/>
    <x v="14"/>
    <x v="17"/>
    <x v="12"/>
    <s v="MAIN WEBSITE (HOT)"/>
    <n v="1000"/>
    <n v="1"/>
    <x v="0"/>
  </r>
  <r>
    <s v="L150043"/>
    <s v="Traded Conversions"/>
    <x v="15"/>
    <x v="18"/>
    <x v="9"/>
    <s v="Meta6"/>
    <n v="5000"/>
    <n v="1"/>
    <x v="0"/>
  </r>
  <r>
    <s v="K150733"/>
    <s v="Traded Conversions"/>
    <x v="15"/>
    <x v="19"/>
    <x v="9"/>
    <s v="Meta6"/>
    <n v="1010"/>
    <n v="1"/>
    <x v="0"/>
  </r>
  <r>
    <s v="V145342"/>
    <s v="Traded Conversions"/>
    <x v="9"/>
    <x v="20"/>
    <x v="7"/>
    <s v="Referral (HOT)"/>
    <n v="5000"/>
    <n v="3"/>
    <x v="0"/>
  </r>
  <r>
    <s v="A144182"/>
    <s v="Traded Conversions"/>
    <x v="16"/>
    <x v="21"/>
    <x v="13"/>
    <s v="MAIN WEBSITE (HOT)"/>
    <n v="1015"/>
    <n v="1"/>
    <x v="1"/>
  </r>
  <r>
    <s v="D143703"/>
    <s v="Traded Conversions"/>
    <x v="17"/>
    <x v="22"/>
    <x v="3"/>
    <s v="MAIN WEBSITE (HOT)"/>
    <n v="60000"/>
    <n v="1"/>
    <x v="0"/>
  </r>
  <r>
    <s v="S147101"/>
    <s v="Traded Conversions"/>
    <x v="11"/>
    <x v="23"/>
    <x v="10"/>
    <s v="MAIN WEBSITE (HOT)"/>
    <n v="1000"/>
    <n v="1"/>
    <x v="0"/>
  </r>
  <r>
    <s v="P149171"/>
    <s v="Traded Conversions"/>
    <x v="14"/>
    <x v="24"/>
    <x v="9"/>
    <s v="MAIN WEBSITE (HOT)"/>
    <n v="1000"/>
    <n v="1"/>
    <x v="0"/>
  </r>
  <r>
    <s v="J140825"/>
    <s v="Traded Conversions"/>
    <x v="18"/>
    <x v="25"/>
    <x v="14"/>
    <s v="MAIN WEBSITE (HOT)"/>
    <n v="2000"/>
    <n v="1"/>
    <x v="1"/>
  </r>
  <r>
    <s v="L151690"/>
    <s v="Traded Conversions"/>
    <x v="15"/>
    <x v="26"/>
    <x v="3"/>
    <s v="Meta6"/>
    <n v="1000"/>
    <n v="1"/>
    <x v="0"/>
  </r>
  <r>
    <s v="S149281"/>
    <s v="Traded Conversions"/>
    <x v="19"/>
    <x v="27"/>
    <x v="0"/>
    <s v="Referral (HOT)"/>
    <n v="1000"/>
    <n v="3"/>
    <x v="0"/>
  </r>
  <r>
    <s v="S148834"/>
    <s v="Traded Conversions"/>
    <x v="11"/>
    <x v="28"/>
    <x v="8"/>
    <s v="MAIN WEBSITE (HOT)"/>
    <n v="10000"/>
    <n v="1"/>
    <x v="0"/>
  </r>
  <r>
    <s v="M140711"/>
    <s v="Traded Conversions"/>
    <x v="18"/>
    <x v="29"/>
    <x v="11"/>
    <s v="MAIN WEBSITE (HOT)"/>
    <n v="20000"/>
    <n v="1"/>
    <x v="0"/>
  </r>
  <r>
    <s v="S143075"/>
    <s v="Traded Conversions"/>
    <x v="12"/>
    <x v="30"/>
    <x v="0"/>
    <s v="Meta6"/>
    <n v="1000"/>
    <n v="1"/>
    <x v="0"/>
  </r>
  <r>
    <s v="T145909"/>
    <s v="Traded Conversions"/>
    <x v="11"/>
    <x v="31"/>
    <x v="15"/>
    <s v="MAIN WEBSITE (HOT)"/>
    <n v="1000"/>
    <n v="1"/>
    <x v="0"/>
  </r>
  <r>
    <s v="J142396"/>
    <s v="Traded Conversions"/>
    <x v="11"/>
    <x v="32"/>
    <x v="11"/>
    <s v="MAIN WEBSITE (HOT)"/>
    <n v="4000"/>
    <n v="1"/>
    <x v="0"/>
  </r>
  <r>
    <s v="N143869"/>
    <s v="Traded Conversions"/>
    <x v="20"/>
    <x v="33"/>
    <x v="5"/>
    <s v="MAIN WEBSITE (HOT)"/>
    <n v="1000"/>
    <n v="1"/>
    <x v="0"/>
  </r>
  <r>
    <s v="A143246"/>
    <s v="Traded Conversions"/>
    <x v="20"/>
    <x v="34"/>
    <x v="12"/>
    <s v="Referral (HOT)"/>
    <n v="1000"/>
    <n v="3"/>
    <x v="0"/>
  </r>
  <r>
    <s v="R147986"/>
    <s v="Traded Conversions"/>
    <x v="9"/>
    <x v="35"/>
    <x v="6"/>
    <s v="Meta6"/>
    <n v="1000"/>
    <n v="1"/>
    <x v="0"/>
  </r>
  <r>
    <s v="S152807"/>
    <s v="Traded Conversions"/>
    <x v="21"/>
    <x v="36"/>
    <x v="16"/>
    <s v="Referral (HOT)"/>
    <n v="1000"/>
    <n v="3"/>
    <x v="0"/>
  </r>
  <r>
    <s v="R148088"/>
    <s v="Traded Conversions"/>
    <x v="14"/>
    <x v="37"/>
    <x v="16"/>
    <s v="MAIN WEBSITE (HOT)"/>
    <n v="1900"/>
    <n v="1"/>
    <x v="0"/>
  </r>
  <r>
    <s v="A151443"/>
    <s v="Traded Conversions"/>
    <x v="14"/>
    <x v="38"/>
    <x v="17"/>
    <s v="MAIN WEBSITE (HOT)"/>
    <n v="51000"/>
    <n v="1"/>
    <x v="0"/>
  </r>
  <r>
    <s v="A146323"/>
    <s v="Traded Conversions"/>
    <x v="22"/>
    <x v="39"/>
    <x v="18"/>
    <s v="MAIN WEBSITE (HOT)"/>
    <n v="6000"/>
    <n v="1"/>
    <x v="0"/>
  </r>
  <r>
    <s v="P148110"/>
    <s v="Traded Conversions"/>
    <x v="12"/>
    <x v="40"/>
    <x v="6"/>
    <s v="Meta6"/>
    <n v="1001"/>
    <n v="1"/>
    <x v="0"/>
  </r>
  <r>
    <s v="B133233"/>
    <s v="Traded Conversions"/>
    <x v="23"/>
    <x v="41"/>
    <x v="6"/>
    <s v="Meta6"/>
    <n v="1000"/>
    <n v="1"/>
    <x v="0"/>
  </r>
  <r>
    <s v="D149790"/>
    <s v="Traded Conversions"/>
    <x v="11"/>
    <x v="42"/>
    <x v="9"/>
    <s v="MAIN WEBSITE (HOT)"/>
    <n v="15000"/>
    <n v="1"/>
    <x v="0"/>
  </r>
  <r>
    <s v="K152136"/>
    <s v="Traded Conversions"/>
    <x v="11"/>
    <x v="43"/>
    <x v="17"/>
    <s v="MAIN WEBSITE (HOT)"/>
    <n v="1000"/>
    <n v="1"/>
    <x v="0"/>
  </r>
  <r>
    <s v="R144331"/>
    <s v="Traded Conversions"/>
    <x v="14"/>
    <x v="44"/>
    <x v="19"/>
    <s v="MAIN WEBSITE (HOT)"/>
    <n v="8000"/>
    <n v="1"/>
    <x v="0"/>
  </r>
  <r>
    <s v="A142975"/>
    <s v="Traded Conversions"/>
    <x v="14"/>
    <x v="45"/>
    <x v="12"/>
    <s v="MAIN WEBSITE (HOT)"/>
    <n v="3500"/>
    <n v="1"/>
    <x v="0"/>
  </r>
  <r>
    <s v="A141636"/>
    <s v="Traded Conversions"/>
    <x v="24"/>
    <x v="46"/>
    <x v="20"/>
    <s v="MAIN WEBSITE (HOT)"/>
    <n v="3000"/>
    <n v="1"/>
    <x v="2"/>
  </r>
  <r>
    <s v="A142569"/>
    <s v="Traded Conversions"/>
    <x v="25"/>
    <x v="47"/>
    <x v="11"/>
    <s v="MAIN WEBSITE (HOT)"/>
    <n v="1000"/>
    <n v="1"/>
    <x v="0"/>
  </r>
  <r>
    <s v="P135367"/>
    <s v="Traded Conversions"/>
    <x v="25"/>
    <x v="48"/>
    <x v="2"/>
    <s v="MAIN WEBSITE (HOT)"/>
    <n v="1000"/>
    <n v="1"/>
    <x v="0"/>
  </r>
  <r>
    <s v="S150700"/>
    <s v="Traded Conversions"/>
    <x v="4"/>
    <x v="49"/>
    <x v="9"/>
    <s v="Telegram ads"/>
    <n v="1000"/>
    <n v="2"/>
    <x v="0"/>
  </r>
  <r>
    <s v="M146352"/>
    <s v="Traded Conversions"/>
    <x v="12"/>
    <x v="50"/>
    <x v="18"/>
    <s v="Referral (HOT)"/>
    <n v="1000"/>
    <n v="3"/>
    <x v="0"/>
  </r>
  <r>
    <s v="S145445"/>
    <s v="Traded Conversions"/>
    <x v="20"/>
    <x v="51"/>
    <x v="16"/>
    <s v="MAIN WEBSITE (HOT)"/>
    <n v="4900"/>
    <n v="1"/>
    <x v="0"/>
  </r>
  <r>
    <s v="N141892"/>
    <s v="Traded Conversions"/>
    <x v="20"/>
    <x v="52"/>
    <x v="7"/>
    <s v="MAIN WEBSITE (HOT)"/>
    <n v="1000"/>
    <n v="1"/>
    <x v="0"/>
  </r>
  <r>
    <s v="S147458"/>
    <s v="Traded Conversions"/>
    <x v="4"/>
    <x v="53"/>
    <x v="17"/>
    <s v="Referral (HOT)"/>
    <n v="1000"/>
    <n v="3"/>
    <x v="0"/>
  </r>
  <r>
    <s v="R152300"/>
    <s v="Traded Conversions"/>
    <x v="19"/>
    <x v="54"/>
    <x v="17"/>
    <s v="Meta6"/>
    <n v="1050"/>
    <n v="1"/>
    <x v="0"/>
  </r>
  <r>
    <s v="M141121"/>
    <s v="Traded Conversions"/>
    <x v="17"/>
    <x v="55"/>
    <x v="14"/>
    <s v="META2"/>
    <n v="1000"/>
    <n v="3"/>
    <x v="1"/>
  </r>
  <r>
    <s v="J30855"/>
    <s v="Traded Conversions"/>
    <x v="4"/>
    <x v="56"/>
    <x v="5"/>
    <s v="MAIN WEBSITE (HOT)"/>
    <n v="5000"/>
    <n v="1"/>
    <x v="0"/>
  </r>
  <r>
    <s v="M152147"/>
    <s v="Traded Conversions"/>
    <x v="14"/>
    <x v="57"/>
    <x v="17"/>
    <s v="MAIN WEBSITE (HOT)"/>
    <n v="2000"/>
    <n v="1"/>
    <x v="0"/>
  </r>
  <r>
    <s v="S140500"/>
    <s v="Old Portal_1YT"/>
    <x v="19"/>
    <x v="58"/>
    <x v="2"/>
    <s v="MAIN WEBSITE (HOT) 1"/>
    <n v="1500"/>
    <n v="1"/>
    <x v="0"/>
  </r>
  <r>
    <s v="M148808"/>
    <s v="Old Portal_1YT"/>
    <x v="26"/>
    <x v="59"/>
    <x v="21"/>
    <s v="Meta Crypto"/>
    <n v="605"/>
    <n v="3"/>
    <x v="0"/>
  </r>
  <r>
    <s v="R151923"/>
    <s v="Old Portal_1YT"/>
    <x v="11"/>
    <x v="60"/>
    <x v="17"/>
    <s v="MAIN WEBSITE (HOT)"/>
    <n v="11000"/>
    <n v="1"/>
    <x v="0"/>
  </r>
  <r>
    <s v="M21923"/>
    <s v="Not traded new panel"/>
    <x v="10"/>
    <x v="61"/>
    <x v="0"/>
    <s v="MAIN WEBSITE (HOT)"/>
    <n v="1000"/>
    <n v="1"/>
    <x v="0"/>
  </r>
  <r>
    <s v="D128589"/>
    <s v="Traded Conversions"/>
    <x v="18"/>
    <x v="62"/>
    <x v="12"/>
    <s v="Referral (HOT)"/>
    <n v="1000"/>
    <n v="3"/>
    <x v="0"/>
  </r>
  <r>
    <s v="K136040"/>
    <s v="Traded Conversions"/>
    <x v="17"/>
    <x v="63"/>
    <x v="22"/>
    <s v="MAIN WEBSITE (HOT)"/>
    <n v="1000"/>
    <n v="1"/>
    <x v="0"/>
  </r>
  <r>
    <s v="S134212"/>
    <s v="Traded Conversions"/>
    <x v="2"/>
    <x v="64"/>
    <x v="21"/>
    <s v="Meta6"/>
    <n v="2000"/>
    <n v="1"/>
    <x v="0"/>
  </r>
  <r>
    <s v="M134879"/>
    <s v="Traded Conversions"/>
    <x v="27"/>
    <x v="65"/>
    <x v="5"/>
    <s v="Meta6"/>
    <n v="1000"/>
    <n v="1"/>
    <x v="0"/>
  </r>
  <r>
    <s v="R149144"/>
    <s v="Traded Conversions"/>
    <x v="20"/>
    <x v="66"/>
    <x v="9"/>
    <s v="Referral (HOT)"/>
    <n v="1000"/>
    <n v="3"/>
    <x v="0"/>
  </r>
  <r>
    <s v="A152445"/>
    <s v="Traded Conversions"/>
    <x v="28"/>
    <x v="67"/>
    <x v="16"/>
    <s v="Referral (HOT)"/>
    <n v="2000"/>
    <n v="3"/>
    <x v="0"/>
  </r>
  <r>
    <s v="M112846"/>
    <s v="Traded Conversions"/>
    <x v="22"/>
    <x v="68"/>
    <x v="23"/>
    <s v="Instagram"/>
    <n v="1000"/>
    <n v="2"/>
    <x v="0"/>
  </r>
  <r>
    <s v="A145904"/>
    <s v="Traded Conversions"/>
    <x v="20"/>
    <x v="69"/>
    <x v="15"/>
    <s v="MAIN WEBSITE (HOT)"/>
    <n v="1000"/>
    <n v="1"/>
    <x v="0"/>
  </r>
  <r>
    <s v="S136808"/>
    <s v="Old Portal_1YT"/>
    <x v="13"/>
    <x v="70"/>
    <x v="24"/>
    <s v="MAIN WEBSITE (HOT)"/>
    <n v="1000"/>
    <n v="1"/>
    <x v="0"/>
  </r>
  <r>
    <s v="M48679"/>
    <s v="Not traded new panel"/>
    <x v="20"/>
    <x v="71"/>
    <x v="16"/>
    <s v="MAIN WEBSITE (HOT)"/>
    <n v="500"/>
    <n v="1"/>
    <x v="0"/>
  </r>
  <r>
    <s v="R137720"/>
    <s v="Traded Conversions"/>
    <x v="15"/>
    <x v="72"/>
    <x v="24"/>
    <s v="Meta6"/>
    <n v="1000"/>
    <n v="1"/>
    <x v="0"/>
  </r>
  <r>
    <s v="A147453"/>
    <s v="Traded Conversions"/>
    <x v="20"/>
    <x v="73"/>
    <x v="25"/>
    <s v="MAIN WEBSITE (HOT)"/>
    <n v="1000"/>
    <n v="1"/>
    <x v="2"/>
  </r>
  <r>
    <s v="P147014"/>
    <s v="Traded Conversions"/>
    <x v="29"/>
    <x v="74"/>
    <x v="10"/>
    <s v="Meta6"/>
    <n v="2000"/>
    <n v="1"/>
    <x v="0"/>
  </r>
  <r>
    <s v="S140836"/>
    <s v="Traded Conversions"/>
    <x v="24"/>
    <x v="75"/>
    <x v="26"/>
    <s v="MAIN WEBSITE (HOT)"/>
    <n v="2000"/>
    <n v="1"/>
    <x v="0"/>
  </r>
  <r>
    <s v="V152161"/>
    <s v="Traded Conversions"/>
    <x v="17"/>
    <x v="76"/>
    <x v="16"/>
    <s v="Referral (HOT)"/>
    <n v="1000"/>
    <n v="3"/>
    <x v="0"/>
  </r>
  <r>
    <s v="V136271"/>
    <s v="Traded Conversions"/>
    <x v="2"/>
    <x v="77"/>
    <x v="12"/>
    <s v="Telegram ads (redirect)"/>
    <n v="1000"/>
    <n v="2"/>
    <x v="0"/>
  </r>
  <r>
    <s v="A147166"/>
    <s v="Old Portal_1YT"/>
    <x v="30"/>
    <x v="78"/>
    <x v="10"/>
    <s v="META3"/>
    <n v="1492"/>
    <n v="3"/>
    <x v="0"/>
  </r>
  <r>
    <s v="V148975"/>
    <s v="Old Portal_1YT"/>
    <x v="24"/>
    <x v="79"/>
    <x v="21"/>
    <s v="MAIN WEBSITE (HOT)"/>
    <n v="1000"/>
    <n v="1"/>
    <x v="0"/>
  </r>
  <r>
    <s v="M143028"/>
    <s v="Traded Conversions"/>
    <x v="18"/>
    <x v="80"/>
    <x v="12"/>
    <s v="MAIN WEBSITE (HOT)"/>
    <n v="35000"/>
    <n v="1"/>
    <x v="0"/>
  </r>
  <r>
    <s v="M147760"/>
    <s v="Traded Conversions"/>
    <x v="24"/>
    <x v="81"/>
    <x v="25"/>
    <s v="MAIN WEBSITE (HOT)"/>
    <n v="2000"/>
    <n v="1"/>
    <x v="2"/>
  </r>
  <r>
    <s v="S147349"/>
    <s v="Traded Conversions"/>
    <x v="20"/>
    <x v="82"/>
    <x v="6"/>
    <s v="MAIN WEBSITE (HOT)"/>
    <n v="1000"/>
    <n v="1"/>
    <x v="0"/>
  </r>
  <r>
    <s v="N147578"/>
    <s v="Traded Conversions"/>
    <x v="20"/>
    <x v="83"/>
    <x v="6"/>
    <s v="MAIN WEBSITE (HOT)"/>
    <n v="1000"/>
    <n v="1"/>
    <x v="0"/>
  </r>
  <r>
    <s v="M150243"/>
    <s v="Traded Conversions"/>
    <x v="12"/>
    <x v="84"/>
    <x v="9"/>
    <s v="Telegram ads"/>
    <n v="2000"/>
    <n v="2"/>
    <x v="0"/>
  </r>
  <r>
    <s v="K140324"/>
    <s v="Traded Conversions"/>
    <x v="29"/>
    <x v="85"/>
    <x v="24"/>
    <s v="Meta6"/>
    <n v="1000"/>
    <n v="1"/>
    <x v="0"/>
  </r>
  <r>
    <s v="N139495"/>
    <s v="Traded Conversions"/>
    <x v="10"/>
    <x v="86"/>
    <x v="22"/>
    <s v="MAIN WEBSITE (HOT)"/>
    <n v="3000"/>
    <n v="1"/>
    <x v="0"/>
  </r>
  <r>
    <s v="A146808"/>
    <s v="Traded Conversions"/>
    <x v="11"/>
    <x v="87"/>
    <x v="6"/>
    <s v="MAIN WEBSITE (HOT)"/>
    <n v="1000"/>
    <n v="1"/>
    <x v="0"/>
  </r>
  <r>
    <s v="V146252"/>
    <s v="Traded Conversions"/>
    <x v="20"/>
    <x v="88"/>
    <x v="23"/>
    <s v="MAIN WEBSITE (HOT)"/>
    <n v="1000"/>
    <n v="1"/>
    <x v="0"/>
  </r>
  <r>
    <s v="M148951"/>
    <s v="Traded Conversions"/>
    <x v="27"/>
    <x v="89"/>
    <x v="9"/>
    <s v="MAIN WEBSITE (HOT)"/>
    <n v="45000"/>
    <n v="1"/>
    <x v="0"/>
  </r>
  <r>
    <s v="S134964"/>
    <s v="Traded Conversions"/>
    <x v="16"/>
    <x v="90"/>
    <x v="9"/>
    <s v="MAIN WEBSITE (HOT)"/>
    <n v="1000"/>
    <n v="1"/>
    <x v="0"/>
  </r>
  <r>
    <s v="S139940"/>
    <s v="Traded Conversions"/>
    <x v="14"/>
    <x v="91"/>
    <x v="24"/>
    <s v="Meta6"/>
    <n v="1000"/>
    <n v="1"/>
    <x v="0"/>
  </r>
  <r>
    <s v="S140221"/>
    <s v="Traded Conversions"/>
    <x v="20"/>
    <x v="92"/>
    <x v="24"/>
    <s v="MAIN WEBSITE (HOT)"/>
    <n v="2000"/>
    <n v="1"/>
    <x v="0"/>
  </r>
  <r>
    <s v="M151740"/>
    <s v="Traded Conversions"/>
    <x v="12"/>
    <x v="93"/>
    <x v="3"/>
    <s v="Referral (HOT)"/>
    <n v="6000"/>
    <n v="3"/>
    <x v="0"/>
  </r>
  <r>
    <s v="A144330"/>
    <s v="Traded Conversions"/>
    <x v="12"/>
    <x v="94"/>
    <x v="3"/>
    <s v="Referral (HOT)"/>
    <n v="1000"/>
    <n v="3"/>
    <x v="0"/>
  </r>
  <r>
    <s v="P147074"/>
    <s v="Traded Conversions"/>
    <x v="11"/>
    <x v="95"/>
    <x v="21"/>
    <s v="MAIN WEBSITE (HOT) 1"/>
    <n v="1000"/>
    <n v="1"/>
    <x v="0"/>
  </r>
  <r>
    <s v="S123486"/>
    <s v="Traded Conversions"/>
    <x v="31"/>
    <x v="96"/>
    <x v="22"/>
    <s v="Meta6"/>
    <n v="1000"/>
    <n v="1"/>
    <x v="0"/>
  </r>
  <r>
    <s v="H147864"/>
    <s v="Traded Conversions"/>
    <x v="9"/>
    <x v="97"/>
    <x v="8"/>
    <s v="Referral (HOT)"/>
    <n v="10000"/>
    <n v="3"/>
    <x v="0"/>
  </r>
  <r>
    <s v="S147697"/>
    <s v="Traded Conversions"/>
    <x v="24"/>
    <x v="98"/>
    <x v="25"/>
    <s v="YouTube"/>
    <n v="4000"/>
    <n v="2"/>
    <x v="2"/>
  </r>
  <r>
    <s v="A138852"/>
    <s v="Traded Conversions"/>
    <x v="12"/>
    <x v="99"/>
    <x v="15"/>
    <s v="Meta6"/>
    <n v="1000"/>
    <n v="1"/>
    <x v="0"/>
  </r>
  <r>
    <s v="S148788"/>
    <s v="Traded Conversions"/>
    <x v="14"/>
    <x v="100"/>
    <x v="21"/>
    <s v="MAIN WEBSITE (HOT)"/>
    <n v="1000"/>
    <n v="1"/>
    <x v="0"/>
  </r>
  <r>
    <s v="C146036"/>
    <s v="Traded Conversions"/>
    <x v="10"/>
    <x v="101"/>
    <x v="18"/>
    <s v="MAIN WEBSITE (HOT)"/>
    <n v="5999"/>
    <n v="1"/>
    <x v="0"/>
  </r>
  <r>
    <s v="A141124"/>
    <s v="Traded Conversions"/>
    <x v="32"/>
    <x v="102"/>
    <x v="13"/>
    <s v="Meta6"/>
    <n v="1000"/>
    <n v="1"/>
    <x v="1"/>
  </r>
  <r>
    <s v="R144141"/>
    <s v="Traded Conversions"/>
    <x v="20"/>
    <x v="103"/>
    <x v="19"/>
    <s v="Referral (HOT)"/>
    <n v="1000"/>
    <n v="3"/>
    <x v="0"/>
  </r>
  <r>
    <s v="T143273"/>
    <s v="Traded Conversions"/>
    <x v="24"/>
    <x v="104"/>
    <x v="12"/>
    <s v="MAIN WEBSITE (HOT)"/>
    <n v="1100"/>
    <n v="1"/>
    <x v="0"/>
  </r>
  <r>
    <s v="R136803"/>
    <s v="Traded Conversions"/>
    <x v="33"/>
    <x v="105"/>
    <x v="15"/>
    <s v="Meta6"/>
    <n v="1000"/>
    <n v="1"/>
    <x v="0"/>
  </r>
  <r>
    <s v="J148891"/>
    <s v="Traded Conversions"/>
    <x v="18"/>
    <x v="106"/>
    <x v="0"/>
    <s v="MAIN WEBSITE (HOT)"/>
    <n v="2000"/>
    <n v="1"/>
    <x v="0"/>
  </r>
  <r>
    <s v="J144056"/>
    <s v="Traded Conversions"/>
    <x v="17"/>
    <x v="107"/>
    <x v="15"/>
    <s v="MAIN WEBSITE (HOT)"/>
    <n v="1600"/>
    <n v="1"/>
    <x v="0"/>
  </r>
  <r>
    <s v="A152151"/>
    <s v="Traded Conversions"/>
    <x v="20"/>
    <x v="108"/>
    <x v="17"/>
    <s v="MAIN WEBSITE (HOT)"/>
    <n v="65000"/>
    <n v="1"/>
    <x v="0"/>
  </r>
  <r>
    <s v="H148363"/>
    <s v="Traded Conversions"/>
    <x v="14"/>
    <x v="109"/>
    <x v="23"/>
    <s v="MAIN WEBSITE (HOT)"/>
    <n v="2500"/>
    <n v="1"/>
    <x v="0"/>
  </r>
  <r>
    <s v="B145911"/>
    <s v="Traded Conversions"/>
    <x v="1"/>
    <x v="110"/>
    <x v="21"/>
    <s v=""/>
    <n v="2000"/>
    <n v="2"/>
    <x v="0"/>
  </r>
  <r>
    <s v="S143858"/>
    <s v="Traded Conversions"/>
    <x v="18"/>
    <x v="111"/>
    <x v="19"/>
    <s v="Referral (HOT)"/>
    <n v="1000"/>
    <n v="3"/>
    <x v="0"/>
  </r>
  <r>
    <s v="S148976"/>
    <s v="Traded Conversions"/>
    <x v="14"/>
    <x v="112"/>
    <x v="0"/>
    <s v="MAIN WEBSITE (HOT)"/>
    <n v="40000"/>
    <n v="1"/>
    <x v="0"/>
  </r>
  <r>
    <s v="N139608"/>
    <s v="Old Portal_1YT"/>
    <x v="12"/>
    <x v="113"/>
    <x v="26"/>
    <s v="MAIN WEBSITE (HOT)"/>
    <n v="1000"/>
    <n v="1"/>
    <x v="0"/>
  </r>
  <r>
    <s v="S150201"/>
    <s v="Old Portal_1YT"/>
    <x v="12"/>
    <x v="114"/>
    <x v="3"/>
    <s v="MAIN WEBSITE (HOT) 1"/>
    <n v="10000"/>
    <n v="1"/>
    <x v="0"/>
  </r>
  <r>
    <s v="P145664"/>
    <s v="Old Portal_1YT"/>
    <x v="4"/>
    <x v="115"/>
    <x v="4"/>
    <s v="MAIN WEBSITE (HOT)"/>
    <n v="1000"/>
    <n v="1"/>
    <x v="0"/>
  </r>
  <r>
    <s v="A146729"/>
    <s v="Old Portal_1YT"/>
    <x v="12"/>
    <x v="116"/>
    <x v="1"/>
    <s v="MAIN WEBSITE (HOT)"/>
    <n v="126"/>
    <n v="1"/>
    <x v="0"/>
  </r>
  <r>
    <s v="S144375"/>
    <s v="Old Portal_1YT"/>
    <x v="11"/>
    <x v="117"/>
    <x v="27"/>
    <s v="Meta-T"/>
    <n v="2000"/>
    <n v="3"/>
    <x v="2"/>
  </r>
  <r>
    <s v="R142106"/>
    <s v="Traded_Old Portal"/>
    <x v="1"/>
    <x v="118"/>
    <x v="9"/>
    <s v="MAIN WEBSITE (HOT)"/>
    <n v="10000"/>
    <n v="1"/>
    <x v="0"/>
  </r>
  <r>
    <s v="S146794"/>
    <s v="Old Portal_1YT"/>
    <x v="34"/>
    <x v="119"/>
    <x v="10"/>
    <s v="MAIN WEBSITE (HOT)"/>
    <n v="1205"/>
    <n v="1"/>
    <x v="0"/>
  </r>
  <r>
    <s v="K151454"/>
    <s v="Old Portal_1YT"/>
    <x v="16"/>
    <x v="120"/>
    <x v="1"/>
    <s v="MAIN WEBSITE (HOT) 1"/>
    <n v="3000"/>
    <n v="1"/>
    <x v="0"/>
  </r>
  <r>
    <s v="I133072"/>
    <s v="Old Portal_1YT"/>
    <x v="32"/>
    <x v="121"/>
    <x v="0"/>
    <s v="MAIN WEBSITE (HOT) 1"/>
    <n v="1000"/>
    <n v="1"/>
    <x v="0"/>
  </r>
  <r>
    <s v="G136192"/>
    <s v="Old Portal_1YT"/>
    <x v="13"/>
    <x v="122"/>
    <x v="18"/>
    <s v="META3"/>
    <n v="1000"/>
    <n v="3"/>
    <x v="0"/>
  </r>
  <r>
    <s v="M26707"/>
    <s v="Not traded new panel"/>
    <x v="35"/>
    <x v="123"/>
    <x v="4"/>
    <s v="MAIN WEBSITE (HOT)"/>
    <n v="2000"/>
    <n v="1"/>
    <x v="0"/>
  </r>
  <r>
    <s v="P61669"/>
    <s v="Not traded new panel"/>
    <x v="1"/>
    <x v="124"/>
    <x v="18"/>
    <s v="Meta6"/>
    <n v="1000"/>
    <n v="1"/>
    <x v="0"/>
  </r>
  <r>
    <s v="K140901"/>
    <s v="Old Portal_1YT"/>
    <x v="36"/>
    <x v="125"/>
    <x v="14"/>
    <s v="MAIN WEBSITE (HOT)"/>
    <n v="1529"/>
    <n v="1"/>
    <x v="1"/>
  </r>
  <r>
    <s v="V146216"/>
    <s v="Old Portal_1YT"/>
    <x v="32"/>
    <x v="126"/>
    <x v="23"/>
    <s v="MAIN WEBSITE (HOT)"/>
    <n v="10000"/>
    <n v="1"/>
    <x v="0"/>
  </r>
  <r>
    <s v="V145448"/>
    <s v="Old Portal_1YT"/>
    <x v="12"/>
    <x v="127"/>
    <x v="6"/>
    <s v="MAIN WEBSITE (HOT) 1"/>
    <n v="14300"/>
    <n v="1"/>
    <x v="0"/>
  </r>
  <r>
    <s v="T139855"/>
    <s v="Old Portal_1YT"/>
    <x v="1"/>
    <x v="128"/>
    <x v="2"/>
    <s v="MAIN WEBSITE (HOT)"/>
    <n v="1000"/>
    <n v="1"/>
    <x v="0"/>
  </r>
  <r>
    <s v="R148948"/>
    <s v="Traded Conversions"/>
    <x v="24"/>
    <x v="129"/>
    <x v="21"/>
    <s v="MAIN WEBSITE (HOT)"/>
    <n v="1000"/>
    <n v="1"/>
    <x v="0"/>
  </r>
  <r>
    <s v="R148555"/>
    <s v="Traded Conversions"/>
    <x v="20"/>
    <x v="130"/>
    <x v="23"/>
    <s v="MAIN WEBSITE (HOT)"/>
    <n v="1000"/>
    <n v="1"/>
    <x v="0"/>
  </r>
  <r>
    <s v="B136361"/>
    <s v="Traded Conversions"/>
    <x v="37"/>
    <x v="131"/>
    <x v="22"/>
    <s v="MAIN WEBSITE (HOT)"/>
    <n v="9000"/>
    <n v="1"/>
    <x v="0"/>
  </r>
  <r>
    <s v="R134179"/>
    <s v="Traded Conversions"/>
    <x v="11"/>
    <x v="132"/>
    <x v="3"/>
    <s v="MAIN WEBSITE (HOT)"/>
    <n v="1000"/>
    <n v="1"/>
    <x v="0"/>
  </r>
  <r>
    <s v="A138330"/>
    <s v="Traded Conversions"/>
    <x v="3"/>
    <x v="133"/>
    <x v="2"/>
    <s v="Referral (HOT)"/>
    <n v="3500"/>
    <n v="3"/>
    <x v="0"/>
  </r>
  <r>
    <s v="P138446"/>
    <s v="Traded Conversions"/>
    <x v="12"/>
    <x v="134"/>
    <x v="2"/>
    <s v="Telegram ads (digi)"/>
    <n v="1000"/>
    <n v="2"/>
    <x v="0"/>
  </r>
  <r>
    <s v="D148185"/>
    <s v="Traded Conversions"/>
    <x v="27"/>
    <x v="135"/>
    <x v="6"/>
    <s v="Meta6"/>
    <n v="1000"/>
    <n v="1"/>
    <x v="0"/>
  </r>
  <r>
    <s v="G142757"/>
    <s v="Traded Conversions"/>
    <x v="29"/>
    <x v="136"/>
    <x v="5"/>
    <s v="Meta6"/>
    <n v="1000"/>
    <n v="1"/>
    <x v="0"/>
  </r>
  <r>
    <s v="C143536"/>
    <s v="Traded Conversions"/>
    <x v="13"/>
    <x v="137"/>
    <x v="5"/>
    <s v="Referral (HOT)"/>
    <n v="2000"/>
    <n v="3"/>
    <x v="0"/>
  </r>
  <r>
    <s v="K140237"/>
    <s v="Traded Conversions"/>
    <x v="24"/>
    <x v="138"/>
    <x v="5"/>
    <s v="MAIN WEBSITE (HOT)"/>
    <n v="4000"/>
    <n v="1"/>
    <x v="0"/>
  </r>
  <r>
    <s v="S133885"/>
    <s v="Traded Conversions"/>
    <x v="3"/>
    <x v="139"/>
    <x v="17"/>
    <s v="MAIN WEBSITE (HOT)"/>
    <n v="17000"/>
    <n v="1"/>
    <x v="0"/>
  </r>
  <r>
    <s v="O141316"/>
    <s v="Traded Conversions"/>
    <x v="11"/>
    <x v="140"/>
    <x v="11"/>
    <s v="MAIN WEBSITE (HOT)"/>
    <n v="15000"/>
    <n v="1"/>
    <x v="0"/>
  </r>
  <r>
    <s v="R142562"/>
    <s v="Traded Conversions"/>
    <x v="4"/>
    <x v="141"/>
    <x v="11"/>
    <s v="Meta6"/>
    <n v="3000"/>
    <n v="1"/>
    <x v="0"/>
  </r>
  <r>
    <s v="D139353"/>
    <s v="Traded Conversions"/>
    <x v="11"/>
    <x v="142"/>
    <x v="11"/>
    <s v="MAIN WEBSITE (HOT)"/>
    <n v="2782"/>
    <n v="1"/>
    <x v="0"/>
  </r>
  <r>
    <s v="M135875"/>
    <s v="Traded Conversions"/>
    <x v="10"/>
    <x v="143"/>
    <x v="0"/>
    <s v="MAIN WEBSITE (HOT)"/>
    <n v="50000"/>
    <n v="1"/>
    <x v="0"/>
  </r>
  <r>
    <s v="R143814"/>
    <s v="Traded Conversions"/>
    <x v="18"/>
    <x v="144"/>
    <x v="5"/>
    <s v="Referral (HOT)"/>
    <n v="1000"/>
    <n v="3"/>
    <x v="0"/>
  </r>
  <r>
    <s v="R145387"/>
    <s v="Traded Conversions"/>
    <x v="11"/>
    <x v="145"/>
    <x v="4"/>
    <s v="MAIN WEBSITE (HOT)"/>
    <n v="1000"/>
    <n v="1"/>
    <x v="0"/>
  </r>
  <r>
    <s v="G106363"/>
    <s v="Traded Conversions"/>
    <x v="38"/>
    <x v="146"/>
    <x v="4"/>
    <s v="MAIN WEBSITE (HOT)"/>
    <n v="1000"/>
    <n v="1"/>
    <x v="0"/>
  </r>
  <r>
    <s v="Y147990"/>
    <s v="Old Portal_1YT"/>
    <x v="39"/>
    <x v="147"/>
    <x v="6"/>
    <s v="MAIN WEBSITE (HOT)"/>
    <n v="500"/>
    <n v="1"/>
    <x v="0"/>
  </r>
  <r>
    <s v="K139149"/>
    <s v="Old Portal_1YT"/>
    <x v="12"/>
    <x v="148"/>
    <x v="24"/>
    <s v="Referral (HOT)"/>
    <n v="2000"/>
    <n v="3"/>
    <x v="0"/>
  </r>
  <r>
    <s v="T150702"/>
    <s v="Old Portal_1YT"/>
    <x v="27"/>
    <x v="149"/>
    <x v="9"/>
    <s v="Referral (HOT)"/>
    <n v="1000"/>
    <n v="3"/>
    <x v="0"/>
  </r>
  <r>
    <s v="S101860"/>
    <s v="Not traded new panel"/>
    <x v="15"/>
    <x v="150"/>
    <x v="23"/>
    <s v="Meta6"/>
    <n v="1000"/>
    <n v="1"/>
    <x v="0"/>
  </r>
  <r>
    <s v="T143294"/>
    <s v="Traded Conversions"/>
    <x v="9"/>
    <x v="151"/>
    <x v="5"/>
    <s v="RCS 3"/>
    <n v="2000"/>
    <n v="2"/>
    <x v="0"/>
  </r>
  <r>
    <s v="G27164"/>
    <s v="Traded Conversions"/>
    <x v="29"/>
    <x v="152"/>
    <x v="26"/>
    <s v="MAIN WEBSITE (HOT) 1"/>
    <n v="1000"/>
    <n v="1"/>
    <x v="0"/>
  </r>
  <r>
    <s v="R100158"/>
    <s v="Traded Conversions"/>
    <x v="40"/>
    <x v="153"/>
    <x v="26"/>
    <s v="MAIN WEBSITE (HOT)"/>
    <n v="2000"/>
    <n v="1"/>
    <x v="0"/>
  </r>
  <r>
    <s v="R144783"/>
    <s v="Traded Conversions"/>
    <x v="3"/>
    <x v="154"/>
    <x v="7"/>
    <s v="Referral (HOT)"/>
    <n v="1000"/>
    <n v="3"/>
    <x v="0"/>
  </r>
  <r>
    <s v="L152175"/>
    <s v="Traded Conversions"/>
    <x v="19"/>
    <x v="155"/>
    <x v="17"/>
    <s v="Referral (HOT)"/>
    <n v="1000"/>
    <n v="3"/>
    <x v="0"/>
  </r>
  <r>
    <s v="D78898"/>
    <s v="Traded Conversions"/>
    <x v="37"/>
    <x v="156"/>
    <x v="12"/>
    <s v="NHL"/>
    <n v="1000"/>
    <n v="2"/>
    <x v="0"/>
  </r>
  <r>
    <s v="A152273"/>
    <s v="Traded Conversions"/>
    <x v="41"/>
    <x v="157"/>
    <x v="17"/>
    <s v="Referral (HOT)"/>
    <n v="1500"/>
    <n v="3"/>
    <x v="0"/>
  </r>
  <r>
    <s v="S140281"/>
    <s v="Traded Conversions"/>
    <x v="4"/>
    <x v="158"/>
    <x v="26"/>
    <s v="Telegram ads (digi)"/>
    <n v="1000"/>
    <n v="2"/>
    <x v="0"/>
  </r>
  <r>
    <s v="M76762"/>
    <s v="Traded Conversions"/>
    <x v="21"/>
    <x v="159"/>
    <x v="5"/>
    <s v="MAIN WEBSITE (HOT)"/>
    <n v="1000"/>
    <n v="1"/>
    <x v="0"/>
  </r>
  <r>
    <s v="V142773"/>
    <s v="Traded Conversions"/>
    <x v="2"/>
    <x v="160"/>
    <x v="11"/>
    <s v="Referral (HOT)"/>
    <n v="1700"/>
    <n v="3"/>
    <x v="0"/>
  </r>
  <r>
    <s v="H140928"/>
    <s v="Old Portal_1YT"/>
    <x v="29"/>
    <x v="161"/>
    <x v="14"/>
    <s v="MAIN WEBSITE (HOT)"/>
    <n v="1000"/>
    <n v="1"/>
    <x v="1"/>
  </r>
  <r>
    <s v="N147994"/>
    <s v="Old Portal_1YT"/>
    <x v="22"/>
    <x v="162"/>
    <x v="0"/>
    <s v="Instagram"/>
    <n v="771"/>
    <n v="2"/>
    <x v="0"/>
  </r>
  <r>
    <s v="K147110"/>
    <s v="Traded Conversions"/>
    <x v="12"/>
    <x v="163"/>
    <x v="6"/>
    <s v="Meta6"/>
    <n v="1000"/>
    <n v="1"/>
    <x v="0"/>
  </r>
  <r>
    <s v="N149205"/>
    <s v="Traded Conversions"/>
    <x v="12"/>
    <x v="164"/>
    <x v="0"/>
    <s v="Referral (HOT)"/>
    <n v="1000"/>
    <n v="3"/>
    <x v="0"/>
  </r>
  <r>
    <s v="A146209"/>
    <s v="Old Portal_1YT"/>
    <x v="1"/>
    <x v="165"/>
    <x v="15"/>
    <s v="MAIN WEBSITE (HOT) 1"/>
    <n v="1000"/>
    <n v="1"/>
    <x v="0"/>
  </r>
  <r>
    <s v="A105646"/>
    <s v="Not traded new panel"/>
    <x v="15"/>
    <x v="166"/>
    <x v="28"/>
    <s v="Meta6"/>
    <n v="1000"/>
    <n v="1"/>
    <x v="1"/>
  </r>
  <r>
    <s v="P138084"/>
    <s v="Old Portal_1YT"/>
    <x v="9"/>
    <x v="167"/>
    <x v="12"/>
    <s v="MAIN WEBSITE (HOT)"/>
    <n v="1000"/>
    <n v="1"/>
    <x v="0"/>
  </r>
  <r>
    <s v="M105706"/>
    <s v="Traded Conversions"/>
    <x v="25"/>
    <x v="168"/>
    <x v="12"/>
    <s v="Premium"/>
    <n v="1000"/>
    <n v="2"/>
    <x v="0"/>
  </r>
  <r>
    <s v="S146309"/>
    <s v="Traded Conversions"/>
    <x v="14"/>
    <x v="169"/>
    <x v="10"/>
    <s v="MAIN WEBSITE (HOT)"/>
    <n v="2000"/>
    <n v="1"/>
    <x v="0"/>
  </r>
  <r>
    <s v="S107371"/>
    <s v="Traded Conversions"/>
    <x v="27"/>
    <x v="170"/>
    <x v="10"/>
    <s v="MAIN WEBSITE (HOT)"/>
    <n v="2000"/>
    <n v="1"/>
    <x v="0"/>
  </r>
  <r>
    <s v="Y45610"/>
    <s v="Not traded new panel"/>
    <x v="19"/>
    <x v="171"/>
    <x v="11"/>
    <s v="Meta6"/>
    <n v="500"/>
    <n v="1"/>
    <x v="0"/>
  </r>
  <r>
    <s v="Y139843"/>
    <s v="Traded Conversions"/>
    <x v="1"/>
    <x v="172"/>
    <x v="7"/>
    <s v="Referral (HOT)"/>
    <n v="1000"/>
    <n v="3"/>
    <x v="0"/>
  </r>
  <r>
    <s v="P139883"/>
    <s v="Traded Conversions"/>
    <x v="25"/>
    <x v="173"/>
    <x v="24"/>
    <s v="MAIN WEBSITE (HOT)"/>
    <n v="1500"/>
    <n v="1"/>
    <x v="0"/>
  </r>
  <r>
    <s v="S148855"/>
    <s v="Traded Conversions"/>
    <x v="18"/>
    <x v="174"/>
    <x v="9"/>
    <s v="MAIN WEBSITE (HOT)"/>
    <n v="1000"/>
    <n v="1"/>
    <x v="0"/>
  </r>
  <r>
    <s v="D144595"/>
    <s v="Traded Conversions"/>
    <x v="10"/>
    <x v="175"/>
    <x v="4"/>
    <s v="MAIN WEBSITE (HOT)"/>
    <n v="5000"/>
    <n v="1"/>
    <x v="0"/>
  </r>
  <r>
    <s v="C150308"/>
    <s v="Traded Conversions"/>
    <x v="14"/>
    <x v="176"/>
    <x v="9"/>
    <s v="MAIN WEBSITE (HOT)"/>
    <n v="30000"/>
    <n v="1"/>
    <x v="0"/>
  </r>
  <r>
    <s v="D147222"/>
    <s v="Traded Conversions"/>
    <x v="18"/>
    <x v="177"/>
    <x v="10"/>
    <s v="MAIN WEBSITE (HOT)"/>
    <n v="1000"/>
    <n v="1"/>
    <x v="0"/>
  </r>
  <r>
    <s v="D144051"/>
    <s v="Traded Conversions"/>
    <x v="42"/>
    <x v="178"/>
    <x v="23"/>
    <s v="Telegram ads (digi)"/>
    <n v="1000"/>
    <n v="2"/>
    <x v="0"/>
  </r>
  <r>
    <s v="M23337"/>
    <s v="Traded Conversions"/>
    <x v="43"/>
    <x v="179"/>
    <x v="23"/>
    <s v="Telegram"/>
    <n v="1000"/>
    <n v="2"/>
    <x v="0"/>
  </r>
  <r>
    <s v="S149806"/>
    <s v="Traded Conversions"/>
    <x v="11"/>
    <x v="180"/>
    <x v="8"/>
    <s v="MAIN WEBSITE (HOT)"/>
    <n v="5000"/>
    <n v="1"/>
    <x v="0"/>
  </r>
  <r>
    <s v="A149005"/>
    <s v="Traded Conversions"/>
    <x v="10"/>
    <x v="181"/>
    <x v="0"/>
    <s v="Referral (HOT)"/>
    <n v="50000"/>
    <n v="3"/>
    <x v="0"/>
  </r>
  <r>
    <s v="R146186"/>
    <s v="Traded Conversions"/>
    <x v="14"/>
    <x v="182"/>
    <x v="15"/>
    <s v="MAIN WEBSITE (HOT)"/>
    <n v="50000"/>
    <n v="1"/>
    <x v="0"/>
  </r>
  <r>
    <s v="M144507"/>
    <s v="Traded Conversions"/>
    <x v="10"/>
    <x v="183"/>
    <x v="7"/>
    <s v="MAIN WEBSITE (HOT)"/>
    <n v="10000"/>
    <n v="1"/>
    <x v="0"/>
  </r>
  <r>
    <s v="T147370"/>
    <s v="Traded Conversions"/>
    <x v="18"/>
    <x v="184"/>
    <x v="25"/>
    <s v="MAIN WEBSITE (HOT)"/>
    <n v="1000"/>
    <n v="1"/>
    <x v="2"/>
  </r>
  <r>
    <s v="V139811"/>
    <s v="Traded Conversions"/>
    <x v="20"/>
    <x v="185"/>
    <x v="4"/>
    <s v="MAIN WEBSITE (HOT)"/>
    <n v="7750"/>
    <n v="1"/>
    <x v="0"/>
  </r>
  <r>
    <s v="A151549"/>
    <s v="Traded Conversions"/>
    <x v="3"/>
    <x v="186"/>
    <x v="3"/>
    <s v="Referral (HOT)"/>
    <n v="1000"/>
    <n v="3"/>
    <x v="0"/>
  </r>
  <r>
    <s v="A139584"/>
    <s v="Traded Conversions"/>
    <x v="11"/>
    <x v="187"/>
    <x v="22"/>
    <s v="MAIN WEBSITE (HOT)"/>
    <n v="2000"/>
    <n v="1"/>
    <x v="0"/>
  </r>
  <r>
    <s v="A147419"/>
    <s v="Traded Conversions"/>
    <x v="20"/>
    <x v="188"/>
    <x v="0"/>
    <s v="MAIN WEBSITE (HOT)"/>
    <n v="2000"/>
    <n v="1"/>
    <x v="0"/>
  </r>
  <r>
    <s v="U147287"/>
    <s v="Traded Conversions"/>
    <x v="18"/>
    <x v="189"/>
    <x v="6"/>
    <s v="MAIN WEBSITE (HOT)"/>
    <n v="2000"/>
    <n v="1"/>
    <x v="0"/>
  </r>
  <r>
    <s v="R107191"/>
    <s v="Traded Conversions"/>
    <x v="3"/>
    <x v="190"/>
    <x v="7"/>
    <s v="Meta6"/>
    <n v="1000"/>
    <n v="1"/>
    <x v="0"/>
  </r>
  <r>
    <s v="C126959"/>
    <s v="Traded Conversions"/>
    <x v="3"/>
    <x v="191"/>
    <x v="15"/>
    <s v="MAIN WEBSITE (HOT)"/>
    <n v="1000"/>
    <n v="1"/>
    <x v="0"/>
  </r>
  <r>
    <s v="V149137"/>
    <s v="Traded Conversions"/>
    <x v="20"/>
    <x v="192"/>
    <x v="0"/>
    <s v="Referral (HOT)"/>
    <n v="1000"/>
    <n v="3"/>
    <x v="0"/>
  </r>
  <r>
    <s v="B139776"/>
    <s v="Traded Conversions"/>
    <x v="44"/>
    <x v="193"/>
    <x v="4"/>
    <s v="MAIN WEBSITE (HOT)"/>
    <n v="1000"/>
    <n v="1"/>
    <x v="0"/>
  </r>
  <r>
    <s v="A115734"/>
    <s v="Traded Conversions"/>
    <x v="13"/>
    <x v="194"/>
    <x v="12"/>
    <s v="Meta(Murtaza-E)"/>
    <n v="5000"/>
    <n v="3"/>
    <x v="0"/>
  </r>
  <r>
    <s v="S145008"/>
    <s v="Traded Conversions"/>
    <x v="20"/>
    <x v="195"/>
    <x v="7"/>
    <s v="MAIN WEBSITE (HOT)"/>
    <n v="42000"/>
    <n v="1"/>
    <x v="0"/>
  </r>
  <r>
    <s v="R144616"/>
    <s v="Traded Conversions"/>
    <x v="45"/>
    <x v="196"/>
    <x v="13"/>
    <s v="Meta6"/>
    <n v="1000"/>
    <n v="1"/>
    <x v="1"/>
  </r>
  <r>
    <s v="C151820"/>
    <s v="Traded Conversions"/>
    <x v="24"/>
    <x v="197"/>
    <x v="16"/>
    <s v="MAIN WEBSITE (HOT)"/>
    <n v="1000"/>
    <n v="1"/>
    <x v="0"/>
  </r>
  <r>
    <s v="S141183"/>
    <s v="Traded Conversions"/>
    <x v="18"/>
    <x v="198"/>
    <x v="11"/>
    <s v="PRS"/>
    <n v="25000"/>
    <n v="1"/>
    <x v="0"/>
  </r>
  <r>
    <s v="A148031"/>
    <s v="Traded Conversions"/>
    <x v="9"/>
    <x v="199"/>
    <x v="23"/>
    <s v="META2"/>
    <n v="1000"/>
    <n v="3"/>
    <x v="0"/>
  </r>
  <r>
    <s v="K138719"/>
    <s v="Traded Conversions"/>
    <x v="3"/>
    <x v="200"/>
    <x v="25"/>
    <s v="Meta6"/>
    <n v="5300"/>
    <n v="1"/>
    <x v="2"/>
  </r>
  <r>
    <s v="G147002"/>
    <s v="Traded Conversions"/>
    <x v="7"/>
    <x v="201"/>
    <x v="10"/>
    <s v="Referral (HOT)"/>
    <n v="1000"/>
    <n v="3"/>
    <x v="0"/>
  </r>
  <r>
    <s v="K139880"/>
    <s v="Traded Conversions"/>
    <x v="24"/>
    <x v="202"/>
    <x v="5"/>
    <s v="Referral (HOT)"/>
    <n v="1000"/>
    <n v="3"/>
    <x v="0"/>
  </r>
  <r>
    <s v="D82174"/>
    <s v="Traded Conversions"/>
    <x v="2"/>
    <x v="203"/>
    <x v="11"/>
    <s v="MAIN WEBSITE (HOT) 1"/>
    <n v="32000"/>
    <n v="1"/>
    <x v="0"/>
  </r>
  <r>
    <s v="H141366"/>
    <s v="Traded Conversions"/>
    <x v="11"/>
    <x v="204"/>
    <x v="14"/>
    <s v="MAIN WEBSITE (HOT)"/>
    <n v="50000"/>
    <n v="1"/>
    <x v="1"/>
  </r>
  <r>
    <s v="A139387"/>
    <s v="Traded Conversions"/>
    <x v="20"/>
    <x v="205"/>
    <x v="22"/>
    <s v="MAIN WEBSITE (HOT)"/>
    <n v="2000"/>
    <n v="1"/>
    <x v="0"/>
  </r>
  <r>
    <s v="D89673"/>
    <s v="Not traded new panel"/>
    <x v="9"/>
    <x v="206"/>
    <x v="29"/>
    <s v="Meta6"/>
    <n v="1000"/>
    <n v="1"/>
    <x v="2"/>
  </r>
  <r>
    <s v="N129962"/>
    <s v="Traded_Old Portal"/>
    <x v="32"/>
    <x v="207"/>
    <x v="4"/>
    <s v="MAIN WEBSITE (HOT)"/>
    <n v="10000"/>
    <n v="1"/>
    <x v="0"/>
  </r>
  <r>
    <s v="A143862"/>
    <s v="Old Portal_1YT"/>
    <x v="8"/>
    <x v="208"/>
    <x v="5"/>
    <s v="SUNIL"/>
    <n v="1000"/>
    <n v="1"/>
    <x v="0"/>
  </r>
  <r>
    <s v="J150729"/>
    <s v="Old Portal_1YT"/>
    <x v="9"/>
    <x v="209"/>
    <x v="1"/>
    <s v="MAIN WEBSITE (HOT) 1"/>
    <n v="2900"/>
    <n v="1"/>
    <x v="0"/>
  </r>
  <r>
    <s v="M140811"/>
    <s v="Old Portal_1YT"/>
    <x v="26"/>
    <x v="210"/>
    <x v="26"/>
    <s v="MAIN WEBSITE (HOT)"/>
    <n v="1000"/>
    <n v="1"/>
    <x v="0"/>
  </r>
  <r>
    <s v="T142698"/>
    <s v="Old Portal_1YT"/>
    <x v="44"/>
    <x v="211"/>
    <x v="18"/>
    <s v="META3"/>
    <n v="500"/>
    <n v="3"/>
    <x v="0"/>
  </r>
  <r>
    <s v="B145739"/>
    <s v="Old Portal_1YT"/>
    <x v="19"/>
    <x v="212"/>
    <x v="15"/>
    <s v="MAIN WEBSITE (HOT)"/>
    <n v="13000"/>
    <n v="1"/>
    <x v="0"/>
  </r>
  <r>
    <s v="N152094"/>
    <s v="Old Portal_1YT"/>
    <x v="6"/>
    <x v="213"/>
    <x v="17"/>
    <s v="Referral (HOT)"/>
    <n v="1000"/>
    <n v="3"/>
    <x v="0"/>
  </r>
  <r>
    <s v="V147208"/>
    <s v="Old Portal_1YT"/>
    <x v="15"/>
    <x v="214"/>
    <x v="10"/>
    <s v="META3"/>
    <n v="5000"/>
    <n v="3"/>
    <x v="0"/>
  </r>
  <r>
    <s v="V146195"/>
    <s v="Old Portal_1YT"/>
    <x v="29"/>
    <x v="215"/>
    <x v="25"/>
    <s v="Referral (HOT)"/>
    <n v="1000"/>
    <n v="3"/>
    <x v="2"/>
  </r>
  <r>
    <s v="J131311"/>
    <s v="Old Portal_1YT"/>
    <x v="24"/>
    <x v="216"/>
    <x v="22"/>
    <s v="MAIN WEBSITE (HOT)"/>
    <n v="5000"/>
    <n v="1"/>
    <x v="0"/>
  </r>
  <r>
    <s v="V141772"/>
    <s v="Traded Conversions"/>
    <x v="18"/>
    <x v="217"/>
    <x v="12"/>
    <s v="MAIN WEBSITE (HOT) 1"/>
    <n v="10000"/>
    <n v="1"/>
    <x v="0"/>
  </r>
  <r>
    <s v="S150724"/>
    <s v="Traded Conversions"/>
    <x v="7"/>
    <x v="218"/>
    <x v="16"/>
    <s v="Referral (HOT)"/>
    <n v="2500"/>
    <n v="3"/>
    <x v="0"/>
  </r>
  <r>
    <s v="S137362"/>
    <s v="Traded Conversions"/>
    <x v="37"/>
    <x v="219"/>
    <x v="4"/>
    <s v="Meta6"/>
    <n v="1000"/>
    <n v="1"/>
    <x v="0"/>
  </r>
  <r>
    <s v="Y136483"/>
    <s v="Traded Conversions"/>
    <x v="35"/>
    <x v="220"/>
    <x v="1"/>
    <s v="MAIN WEBSITE (HOT)"/>
    <n v="10000"/>
    <n v="1"/>
    <x v="0"/>
  </r>
  <r>
    <s v="S138385"/>
    <s v="Traded Conversions"/>
    <x v="2"/>
    <x v="221"/>
    <x v="24"/>
    <s v="Telegram ads (digi)"/>
    <n v="2000"/>
    <n v="2"/>
    <x v="0"/>
  </r>
  <r>
    <s v="M104329"/>
    <s v="Traded Conversions"/>
    <x v="12"/>
    <x v="222"/>
    <x v="24"/>
    <s v="Meta6"/>
    <n v="1000"/>
    <n v="1"/>
    <x v="0"/>
  </r>
  <r>
    <s v="B76534"/>
    <s v="Traded Conversions"/>
    <x v="5"/>
    <x v="223"/>
    <x v="7"/>
    <s v="MAIN WEBSITE (HOT)"/>
    <n v="1000"/>
    <n v="1"/>
    <x v="0"/>
  </r>
  <r>
    <s v="U140209"/>
    <s v="Traded Conversions"/>
    <x v="24"/>
    <x v="224"/>
    <x v="14"/>
    <s v="MAIN WEBSITE (HOT)"/>
    <n v="5000"/>
    <n v="1"/>
    <x v="1"/>
  </r>
  <r>
    <s v="S128899"/>
    <s v="Traded Conversions"/>
    <x v="3"/>
    <x v="225"/>
    <x v="5"/>
    <s v="MAIN WEBSITE (HOT) 1"/>
    <n v="7000"/>
    <n v="1"/>
    <x v="0"/>
  </r>
  <r>
    <s v="U126664"/>
    <s v="Traded Conversions"/>
    <x v="46"/>
    <x v="226"/>
    <x v="4"/>
    <s v="MAIN WEBSITE (HOT)"/>
    <n v="2000"/>
    <n v="1"/>
    <x v="0"/>
  </r>
  <r>
    <s v="P34195"/>
    <s v="Traded Conversions"/>
    <x v="27"/>
    <x v="227"/>
    <x v="22"/>
    <s v="MAIN WEBSITE (HOT)"/>
    <n v="20000"/>
    <n v="1"/>
    <x v="0"/>
  </r>
  <r>
    <s v="A136745"/>
    <s v="Traded Conversions"/>
    <x v="11"/>
    <x v="228"/>
    <x v="18"/>
    <s v="Referral (HOT)"/>
    <n v="1000"/>
    <n v="3"/>
    <x v="0"/>
  </r>
  <r>
    <s v="H142955"/>
    <s v="Traded Conversions"/>
    <x v="45"/>
    <x v="229"/>
    <x v="12"/>
    <s v="Meta6"/>
    <n v="1000"/>
    <n v="1"/>
    <x v="0"/>
  </r>
  <r>
    <s v="V141986"/>
    <s v="Traded Conversions"/>
    <x v="11"/>
    <x v="230"/>
    <x v="11"/>
    <s v="MAIN WEBSITE (HOT)"/>
    <n v="1500"/>
    <n v="1"/>
    <x v="0"/>
  </r>
  <r>
    <s v="P141679"/>
    <s v="Traded Conversions"/>
    <x v="24"/>
    <x v="231"/>
    <x v="26"/>
    <s v="MAIN WEBSITE (HOT)"/>
    <n v="1000"/>
    <n v="1"/>
    <x v="0"/>
  </r>
  <r>
    <s v="M141369"/>
    <s v="Traded Conversions"/>
    <x v="32"/>
    <x v="232"/>
    <x v="20"/>
    <s v="Meta6"/>
    <n v="10000"/>
    <n v="1"/>
    <x v="2"/>
  </r>
  <r>
    <s v="S139556"/>
    <s v="Traded Conversions"/>
    <x v="20"/>
    <x v="233"/>
    <x v="22"/>
    <s v="MAIN WEBSITE (HOT)"/>
    <n v="45000"/>
    <n v="1"/>
    <x v="0"/>
  </r>
  <r>
    <s v="S142843"/>
    <s v="Traded Conversions"/>
    <x v="18"/>
    <x v="234"/>
    <x v="10"/>
    <s v="MAIN WEBSITE (HOT) 1"/>
    <n v="1200"/>
    <n v="1"/>
    <x v="0"/>
  </r>
  <r>
    <s v="Y145723"/>
    <s v="Traded Conversions"/>
    <x v="20"/>
    <x v="235"/>
    <x v="4"/>
    <s v="MAIN WEBSITE (HOT)"/>
    <n v="11000"/>
    <n v="1"/>
    <x v="0"/>
  </r>
  <r>
    <s v="S146141"/>
    <s v="Traded Conversions"/>
    <x v="11"/>
    <x v="236"/>
    <x v="18"/>
    <s v="APPLICATION"/>
    <n v="5000"/>
    <n v="1"/>
    <x v="0"/>
  </r>
  <r>
    <s v="S141719"/>
    <s v="Traded Conversions"/>
    <x v="18"/>
    <x v="237"/>
    <x v="4"/>
    <s v="MAIN WEBSITE (HOT) 1"/>
    <n v="2000"/>
    <n v="1"/>
    <x v="0"/>
  </r>
  <r>
    <s v="M139688"/>
    <s v="Traded Conversions"/>
    <x v="9"/>
    <x v="238"/>
    <x v="7"/>
    <s v="Meta6"/>
    <n v="1000"/>
    <n v="1"/>
    <x v="0"/>
  </r>
  <r>
    <s v="D133562"/>
    <s v="Old Portal_1YT"/>
    <x v="19"/>
    <x v="239"/>
    <x v="5"/>
    <s v="META2"/>
    <n v="19000"/>
    <n v="3"/>
    <x v="0"/>
  </r>
  <r>
    <s v="S150655"/>
    <s v="Old Portal_1YT"/>
    <x v="18"/>
    <x v="240"/>
    <x v="9"/>
    <s v="MAIN WEBSITE (HOT)"/>
    <n v="2304"/>
    <n v="1"/>
    <x v="0"/>
  </r>
  <r>
    <s v="M137333"/>
    <s v="Old Portal_1YT"/>
    <x v="2"/>
    <x v="241"/>
    <x v="23"/>
    <s v="Referral (HOT)"/>
    <n v="1000"/>
    <n v="3"/>
    <x v="0"/>
  </r>
  <r>
    <s v="P98125"/>
    <s v="Traded Conversions"/>
    <x v="45"/>
    <x v="242"/>
    <x v="26"/>
    <s v="STOCKMEME"/>
    <n v="1000"/>
    <n v="2"/>
    <x v="0"/>
  </r>
  <r>
    <s v="M139148"/>
    <s v="Traded Conversions"/>
    <x v="11"/>
    <x v="243"/>
    <x v="24"/>
    <s v="MAIN WEBSITE (HOT)"/>
    <n v="10000"/>
    <n v="1"/>
    <x v="0"/>
  </r>
  <r>
    <s v="A123300"/>
    <s v="Traded Conversions"/>
    <x v="27"/>
    <x v="244"/>
    <x v="2"/>
    <s v="Referral (HOT)"/>
    <n v="1000"/>
    <n v="3"/>
    <x v="0"/>
  </r>
  <r>
    <s v="A137176"/>
    <s v="Traded Conversions"/>
    <x v="20"/>
    <x v="245"/>
    <x v="2"/>
    <s v="MAIN WEBSITE (HOT)"/>
    <n v="1500"/>
    <n v="1"/>
    <x v="0"/>
  </r>
  <r>
    <s v="S49762"/>
    <s v="Traded Conversions"/>
    <x v="27"/>
    <x v="246"/>
    <x v="16"/>
    <s v="Meta6"/>
    <n v="1000"/>
    <n v="1"/>
    <x v="0"/>
  </r>
  <r>
    <s v="M143284"/>
    <s v="Traded Conversions"/>
    <x v="8"/>
    <x v="247"/>
    <x v="5"/>
    <s v="Meta6"/>
    <n v="3000"/>
    <n v="1"/>
    <x v="0"/>
  </r>
  <r>
    <s v="M140997"/>
    <s v="Traded Conversions"/>
    <x v="20"/>
    <x v="248"/>
    <x v="26"/>
    <s v="Referral (HOT)"/>
    <n v="4000"/>
    <n v="3"/>
    <x v="0"/>
  </r>
  <r>
    <s v="P139453"/>
    <s v="Old Portal_1YT"/>
    <x v="14"/>
    <x v="249"/>
    <x v="19"/>
    <s v="META3"/>
    <n v="1000"/>
    <n v="3"/>
    <x v="0"/>
  </r>
  <r>
    <s v="S130293"/>
    <s v="Traded Conversions"/>
    <x v="27"/>
    <x v="250"/>
    <x v="15"/>
    <s v="MAIN WEBSITE (HOT)"/>
    <n v="5000"/>
    <n v="1"/>
    <x v="0"/>
  </r>
  <r>
    <s v="P137996"/>
    <s v="Traded Conversions"/>
    <x v="4"/>
    <x v="251"/>
    <x v="22"/>
    <s v="Referral (HOT)"/>
    <n v="2000"/>
    <n v="3"/>
    <x v="0"/>
  </r>
  <r>
    <s v="T84430"/>
    <s v="Traded Conversions"/>
    <x v="38"/>
    <x v="252"/>
    <x v="11"/>
    <s v="MAIN WEBSITE (HOT)"/>
    <n v="2000"/>
    <n v="1"/>
    <x v="0"/>
  </r>
  <r>
    <s v="D147246"/>
    <s v="Traded Conversions"/>
    <x v="19"/>
    <x v="253"/>
    <x v="21"/>
    <s v="Telegram ads (digi)"/>
    <n v="1000"/>
    <n v="2"/>
    <x v="0"/>
  </r>
  <r>
    <s v="D149201"/>
    <s v="Traded Conversions"/>
    <x v="12"/>
    <x v="254"/>
    <x v="0"/>
    <s v="Referral (HOT)"/>
    <n v="1000"/>
    <n v="3"/>
    <x v="0"/>
  </r>
  <r>
    <s v="V149135"/>
    <s v="Traded Conversions"/>
    <x v="20"/>
    <x v="255"/>
    <x v="0"/>
    <s v="Referral (HOT)"/>
    <n v="1000"/>
    <n v="3"/>
    <x v="0"/>
  </r>
  <r>
    <s v="A147432"/>
    <s v="Traded Conversions"/>
    <x v="18"/>
    <x v="256"/>
    <x v="30"/>
    <s v="MAIN WEBSITE (HOT)"/>
    <n v="1000"/>
    <n v="1"/>
    <x v="1"/>
  </r>
  <r>
    <s v="R149141"/>
    <s v="Traded Conversions"/>
    <x v="20"/>
    <x v="257"/>
    <x v="0"/>
    <s v="Referral (HOT)"/>
    <n v="2000"/>
    <n v="3"/>
    <x v="0"/>
  </r>
  <r>
    <s v="S134386"/>
    <s v="Traded Conversions"/>
    <x v="1"/>
    <x v="258"/>
    <x v="22"/>
    <s v="Referral (HOT)"/>
    <n v="1000"/>
    <n v="3"/>
    <x v="0"/>
  </r>
  <r>
    <s v="N147534"/>
    <s v="Traded Conversions"/>
    <x v="20"/>
    <x v="259"/>
    <x v="6"/>
    <s v="MAIN WEBSITE (HOT)"/>
    <n v="1000"/>
    <n v="1"/>
    <x v="0"/>
  </r>
  <r>
    <s v="A146524"/>
    <s v="Traded Conversions"/>
    <x v="4"/>
    <x v="260"/>
    <x v="10"/>
    <s v="Meta6"/>
    <n v="2000"/>
    <n v="1"/>
    <x v="0"/>
  </r>
  <r>
    <s v="K141961"/>
    <s v="Traded Conversions"/>
    <x v="20"/>
    <x v="261"/>
    <x v="26"/>
    <s v="MAIN WEBSITE (HOT)"/>
    <n v="1000"/>
    <n v="1"/>
    <x v="0"/>
  </r>
  <r>
    <s v="V139018"/>
    <s v="Traded Conversions"/>
    <x v="43"/>
    <x v="262"/>
    <x v="7"/>
    <s v="Meta6"/>
    <n v="3000"/>
    <n v="1"/>
    <x v="0"/>
  </r>
  <r>
    <s v="A146637"/>
    <s v="Old Portal_1YT"/>
    <x v="40"/>
    <x v="263"/>
    <x v="18"/>
    <s v="MAIN WEBSITE (HOT)"/>
    <n v="14022"/>
    <n v="1"/>
    <x v="0"/>
  </r>
  <r>
    <s v="A148215"/>
    <s v="Old Portal_1YT"/>
    <x v="19"/>
    <x v="264"/>
    <x v="1"/>
    <s v="Referral (HOT)"/>
    <n v="10000"/>
    <n v="3"/>
    <x v="0"/>
  </r>
  <r>
    <s v="L147165"/>
    <s v="Old Portal_1YT"/>
    <x v="29"/>
    <x v="265"/>
    <x v="10"/>
    <s v="MAIN WEBSITE (HOT) 1"/>
    <n v="1000"/>
    <n v="1"/>
    <x v="0"/>
  </r>
  <r>
    <s v="S140043"/>
    <s v="Traded Conversions"/>
    <x v="20"/>
    <x v="266"/>
    <x v="24"/>
    <s v="Referral (HOT)"/>
    <n v="1000"/>
    <n v="3"/>
    <x v="0"/>
  </r>
  <r>
    <s v="A132387"/>
    <s v="Traded Conversions"/>
    <x v="8"/>
    <x v="267"/>
    <x v="1"/>
    <s v="Meta6"/>
    <n v="5000"/>
    <n v="1"/>
    <x v="0"/>
  </r>
  <r>
    <s v="R143638"/>
    <s v="Traded Conversions"/>
    <x v="18"/>
    <x v="268"/>
    <x v="15"/>
    <s v="MAIN WEBSITE (HOT)"/>
    <n v="25000"/>
    <n v="1"/>
    <x v="0"/>
  </r>
  <r>
    <s v="A149440"/>
    <s v="Traded Conversions"/>
    <x v="14"/>
    <x v="269"/>
    <x v="8"/>
    <s v="MAIN WEBSITE (HOT)"/>
    <n v="2000"/>
    <n v="1"/>
    <x v="0"/>
  </r>
  <r>
    <s v="M150657"/>
    <s v="Traded Conversions"/>
    <x v="14"/>
    <x v="270"/>
    <x v="9"/>
    <s v="MAIN WEBSITE (HOT) 1"/>
    <n v="1000"/>
    <n v="1"/>
    <x v="0"/>
  </r>
  <r>
    <s v="A150426"/>
    <s v="Traded Conversions"/>
    <x v="14"/>
    <x v="271"/>
    <x v="9"/>
    <s v="MAIN WEBSITE (HOT)"/>
    <n v="50000"/>
    <n v="1"/>
    <x v="0"/>
  </r>
  <r>
    <s v="A130385"/>
    <s v="Traded Conversions"/>
    <x v="17"/>
    <x v="272"/>
    <x v="18"/>
    <s v="MAIN WEBSITE (HOT)"/>
    <n v="20000"/>
    <n v="1"/>
    <x v="0"/>
  </r>
  <r>
    <s v="P148758"/>
    <s v="Traded Conversions"/>
    <x v="18"/>
    <x v="273"/>
    <x v="21"/>
    <s v="MAIN WEBSITE (HOT)"/>
    <n v="18000"/>
    <n v="1"/>
    <x v="0"/>
  </r>
  <r>
    <s v="S141295"/>
    <s v="Traded Conversions"/>
    <x v="0"/>
    <x v="274"/>
    <x v="14"/>
    <s v="Telegram ads"/>
    <n v="10000"/>
    <n v="2"/>
    <x v="1"/>
  </r>
  <r>
    <s v="S140007"/>
    <s v="Traded Conversions"/>
    <x v="24"/>
    <x v="275"/>
    <x v="24"/>
    <s v="MAIN WEBSITE (HOT)"/>
    <n v="20000"/>
    <n v="1"/>
    <x v="0"/>
  </r>
  <r>
    <s v="A151785"/>
    <s v="Traded Conversions"/>
    <x v="24"/>
    <x v="276"/>
    <x v="3"/>
    <s v="MAIN WEBSITE (HOT)"/>
    <n v="1000"/>
    <n v="1"/>
    <x v="0"/>
  </r>
  <r>
    <s v="A147292"/>
    <s v="Traded Conversions"/>
    <x v="18"/>
    <x v="277"/>
    <x v="21"/>
    <s v="MAIN WEBSITE (HOT)"/>
    <n v="10000"/>
    <n v="1"/>
    <x v="0"/>
  </r>
  <r>
    <s v="M150410"/>
    <s v="Traded Conversions"/>
    <x v="14"/>
    <x v="278"/>
    <x v="9"/>
    <s v="MAIN WEBSITE (HOT)"/>
    <n v="40000"/>
    <n v="1"/>
    <x v="0"/>
  </r>
  <r>
    <s v="O139531"/>
    <s v="Traded Conversions"/>
    <x v="29"/>
    <x v="279"/>
    <x v="22"/>
    <s v="Meta6"/>
    <n v="1500"/>
    <n v="1"/>
    <x v="0"/>
  </r>
  <r>
    <s v="A143832"/>
    <s v="Traded Conversions"/>
    <x v="27"/>
    <x v="280"/>
    <x v="5"/>
    <s v="MAIN WEBSITE (HOT) 1"/>
    <n v="7000"/>
    <n v="1"/>
    <x v="0"/>
  </r>
  <r>
    <s v="B146079"/>
    <s v="Traded Conversions"/>
    <x v="14"/>
    <x v="281"/>
    <x v="15"/>
    <s v="MAIN WEBSITE (HOT)"/>
    <n v="10000"/>
    <n v="1"/>
    <x v="0"/>
  </r>
  <r>
    <s v="R143955"/>
    <s v="Traded Conversions"/>
    <x v="1"/>
    <x v="282"/>
    <x v="15"/>
    <s v=""/>
    <n v="1000"/>
    <n v="2"/>
    <x v="0"/>
  </r>
  <r>
    <s v="M146482"/>
    <s v="Traded Conversions"/>
    <x v="14"/>
    <x v="283"/>
    <x v="18"/>
    <s v="MAIN WEBSITE (HOT)"/>
    <n v="10000"/>
    <n v="1"/>
    <x v="0"/>
  </r>
  <r>
    <s v="H149114"/>
    <s v="Traded Conversions"/>
    <x v="24"/>
    <x v="284"/>
    <x v="0"/>
    <s v="MAIN WEBSITE (HOT)"/>
    <n v="24000"/>
    <n v="1"/>
    <x v="0"/>
  </r>
  <r>
    <s v="M148023"/>
    <s v="Traded Conversions"/>
    <x v="41"/>
    <x v="285"/>
    <x v="6"/>
    <s v="Referral (HOT)"/>
    <n v="1000"/>
    <n v="3"/>
    <x v="0"/>
  </r>
  <r>
    <s v="P139422"/>
    <s v="Traded Conversions"/>
    <x v="45"/>
    <x v="286"/>
    <x v="26"/>
    <s v="Meta6"/>
    <n v="2000"/>
    <n v="1"/>
    <x v="0"/>
  </r>
  <r>
    <s v="P110973"/>
    <s v="Traded Conversions"/>
    <x v="17"/>
    <x v="287"/>
    <x v="15"/>
    <s v="Meta6"/>
    <n v="1000"/>
    <n v="1"/>
    <x v="0"/>
  </r>
  <r>
    <s v="V146262"/>
    <s v="Traded Conversions"/>
    <x v="26"/>
    <x v="288"/>
    <x v="15"/>
    <s v="Referral (HOT)"/>
    <n v="1200"/>
    <n v="3"/>
    <x v="0"/>
  </r>
  <r>
    <s v="A145679"/>
    <s v="Traded Conversions"/>
    <x v="20"/>
    <x v="289"/>
    <x v="4"/>
    <s v="MAIN WEBSITE (HOT)"/>
    <n v="1000"/>
    <n v="1"/>
    <x v="0"/>
  </r>
  <r>
    <s v="B142642"/>
    <s v="Traded Conversions"/>
    <x v="20"/>
    <x v="290"/>
    <x v="7"/>
    <s v="Referral (HOT)"/>
    <n v="6000"/>
    <n v="3"/>
    <x v="0"/>
  </r>
  <r>
    <s v="K145716"/>
    <s v="Traded Conversions"/>
    <x v="15"/>
    <x v="291"/>
    <x v="4"/>
    <s v="Telegram ads"/>
    <n v="1000"/>
    <n v="2"/>
    <x v="0"/>
  </r>
  <r>
    <s v="K139447"/>
    <s v="Traded Conversions"/>
    <x v="4"/>
    <x v="292"/>
    <x v="11"/>
    <s v="Meta6"/>
    <n v="1000"/>
    <n v="1"/>
    <x v="0"/>
  </r>
  <r>
    <s v="M151452"/>
    <s v="Traded Conversions"/>
    <x v="11"/>
    <x v="293"/>
    <x v="17"/>
    <s v="MAIN WEBSITE (HOT)"/>
    <n v="50000"/>
    <n v="1"/>
    <x v="0"/>
  </r>
  <r>
    <s v="N147989"/>
    <s v="Traded Conversions"/>
    <x v="19"/>
    <x v="294"/>
    <x v="6"/>
    <s v="MAIN WEBSITE (HOT) C"/>
    <n v="1000"/>
    <n v="1"/>
    <x v="0"/>
  </r>
  <r>
    <s v="M143291"/>
    <s v="Traded Conversions"/>
    <x v="18"/>
    <x v="295"/>
    <x v="7"/>
    <s v="MAIN WEBSITE (HOT)"/>
    <n v="1000"/>
    <n v="1"/>
    <x v="0"/>
  </r>
  <r>
    <s v="S147912"/>
    <s v="Traded Conversions"/>
    <x v="20"/>
    <x v="296"/>
    <x v="23"/>
    <s v="MAIN WEBSITE (HOT)"/>
    <n v="1000"/>
    <n v="1"/>
    <x v="0"/>
  </r>
  <r>
    <s v="M37457"/>
    <s v="Not traded new panel"/>
    <x v="15"/>
    <x v="297"/>
    <x v="4"/>
    <s v="Meta Crypto"/>
    <n v="1000"/>
    <n v="3"/>
    <x v="0"/>
  </r>
  <r>
    <s v="A149236"/>
    <s v="Old Portal_1YT"/>
    <x v="10"/>
    <x v="298"/>
    <x v="0"/>
    <s v="MAIN WEBSITE (HOT)"/>
    <n v="17000"/>
    <n v="1"/>
    <x v="0"/>
  </r>
  <r>
    <s v="M147544"/>
    <s v="Old Portal_1YT"/>
    <x v="15"/>
    <x v="299"/>
    <x v="23"/>
    <s v="MAIN WEBSITE (HOT)"/>
    <n v="1000"/>
    <n v="1"/>
    <x v="0"/>
  </r>
  <r>
    <s v="K140147"/>
    <s v="Old Portal_1YT"/>
    <x v="27"/>
    <x v="300"/>
    <x v="24"/>
    <s v="MAIN WEBSITE (HOT)"/>
    <n v="1000"/>
    <n v="1"/>
    <x v="0"/>
  </r>
  <r>
    <s v="K136249"/>
    <s v="Old Portal_1YT"/>
    <x v="24"/>
    <x v="301"/>
    <x v="0"/>
    <s v="Referral (HOT)"/>
    <n v="1000"/>
    <n v="3"/>
    <x v="0"/>
  </r>
  <r>
    <s v="G148151"/>
    <s v="Old Portal_1YT"/>
    <x v="30"/>
    <x v="302"/>
    <x v="23"/>
    <s v="MAIN WEBSITE (HOT)"/>
    <n v="767"/>
    <n v="1"/>
    <x v="0"/>
  </r>
  <r>
    <s v="P147487"/>
    <s v="Old Portal_1YT"/>
    <x v="34"/>
    <x v="303"/>
    <x v="25"/>
    <s v="MAIN WEBSITE (HOT) 1"/>
    <n v="5156"/>
    <n v="1"/>
    <x v="2"/>
  </r>
  <r>
    <s v="S56672"/>
    <s v="Traded Conversions"/>
    <x v="14"/>
    <x v="304"/>
    <x v="4"/>
    <s v="Meta6"/>
    <n v="2000"/>
    <n v="1"/>
    <x v="0"/>
  </r>
  <r>
    <s v="M148910"/>
    <s v="Traded Conversions"/>
    <x v="12"/>
    <x v="305"/>
    <x v="21"/>
    <s v="Referral (HOT)"/>
    <n v="1000"/>
    <n v="3"/>
    <x v="0"/>
  </r>
  <r>
    <s v="R98604"/>
    <s v="Traded Conversions"/>
    <x v="33"/>
    <x v="306"/>
    <x v="23"/>
    <s v="MAIN WEBSITE (HOT)"/>
    <n v="1000"/>
    <n v="1"/>
    <x v="0"/>
  </r>
  <r>
    <s v="L127615"/>
    <s v="Traded Conversions"/>
    <x v="10"/>
    <x v="307"/>
    <x v="5"/>
    <s v="MAIN WEBSITE (HOT)"/>
    <n v="1000"/>
    <n v="1"/>
    <x v="0"/>
  </r>
  <r>
    <s v="R133632"/>
    <s v="Traded Conversions"/>
    <x v="5"/>
    <x v="308"/>
    <x v="6"/>
    <s v="Referral (HOT)"/>
    <n v="1200"/>
    <n v="3"/>
    <x v="0"/>
  </r>
  <r>
    <s v="T140382"/>
    <s v="Traded Conversions"/>
    <x v="20"/>
    <x v="309"/>
    <x v="5"/>
    <s v="MAIN WEBSITE (HOT)"/>
    <n v="3000"/>
    <n v="1"/>
    <x v="0"/>
  </r>
  <r>
    <s v="S143029"/>
    <s v="Traded Conversions"/>
    <x v="24"/>
    <x v="310"/>
    <x v="5"/>
    <s v="MAIN WEBSITE (HOT)"/>
    <n v="2000"/>
    <n v="1"/>
    <x v="0"/>
  </r>
  <r>
    <s v="R142463"/>
    <s v="Traded Conversions"/>
    <x v="11"/>
    <x v="311"/>
    <x v="11"/>
    <s v="MAIN WEBSITE (HOT)"/>
    <n v="6500"/>
    <n v="1"/>
    <x v="0"/>
  </r>
  <r>
    <s v="S148692"/>
    <s v="Traded Conversions"/>
    <x v="14"/>
    <x v="312"/>
    <x v="8"/>
    <s v="MAIN WEBSITE (HOT)"/>
    <n v="1000"/>
    <n v="1"/>
    <x v="0"/>
  </r>
  <r>
    <s v="K146324"/>
    <s v="Traded Conversions"/>
    <x v="20"/>
    <x v="313"/>
    <x v="6"/>
    <s v="MAIN WEBSITE (HOT)"/>
    <n v="1000"/>
    <n v="1"/>
    <x v="0"/>
  </r>
  <r>
    <s v="S143821"/>
    <s v="Traded Conversions"/>
    <x v="18"/>
    <x v="314"/>
    <x v="4"/>
    <s v="Referral (HOT)"/>
    <n v="1000"/>
    <n v="3"/>
    <x v="0"/>
  </r>
  <r>
    <s v="S146248"/>
    <s v="Traded Conversions"/>
    <x v="14"/>
    <x v="315"/>
    <x v="18"/>
    <s v="MAIN WEBSITE (HOT)"/>
    <n v="1000"/>
    <n v="1"/>
    <x v="0"/>
  </r>
  <r>
    <s v="N132038"/>
    <s v="Traded Conversions"/>
    <x v="25"/>
    <x v="316"/>
    <x v="21"/>
    <s v="Meta6"/>
    <n v="1000"/>
    <n v="1"/>
    <x v="0"/>
  </r>
  <r>
    <s v="N149142"/>
    <s v="Traded Conversions"/>
    <x v="20"/>
    <x v="317"/>
    <x v="0"/>
    <s v="Referral (HOT)"/>
    <n v="1000"/>
    <n v="3"/>
    <x v="0"/>
  </r>
  <r>
    <s v="K151281"/>
    <s v="Traded Conversions"/>
    <x v="19"/>
    <x v="318"/>
    <x v="1"/>
    <s v="Telegram ads"/>
    <n v="2000"/>
    <n v="2"/>
    <x v="0"/>
  </r>
  <r>
    <s v="R141708"/>
    <s v="Traded Conversions"/>
    <x v="2"/>
    <x v="319"/>
    <x v="20"/>
    <s v="Referral (HOT)"/>
    <n v="1000"/>
    <n v="3"/>
    <x v="2"/>
  </r>
  <r>
    <s v="M29365"/>
    <s v="Not traded new panel"/>
    <x v="21"/>
    <x v="320"/>
    <x v="13"/>
    <s v="MAIN WEBSITE (HOT)"/>
    <n v="500"/>
    <n v="1"/>
    <x v="1"/>
  </r>
  <r>
    <s v="M138428"/>
    <s v="Old Portal_1YT"/>
    <x v="21"/>
    <x v="321"/>
    <x v="11"/>
    <s v="MAIN WEBSITE (HOT) 1"/>
    <n v="2000"/>
    <n v="1"/>
    <x v="0"/>
  </r>
  <r>
    <s v="J148343"/>
    <s v="Old Portal_1YT"/>
    <x v="12"/>
    <x v="322"/>
    <x v="21"/>
    <s v="Referral (HOT)"/>
    <n v="1000"/>
    <n v="3"/>
    <x v="0"/>
  </r>
  <r>
    <s v="A148531"/>
    <s v="Old Portal_1YT"/>
    <x v="4"/>
    <x v="323"/>
    <x v="8"/>
    <s v="META3"/>
    <n v="645"/>
    <n v="3"/>
    <x v="0"/>
  </r>
  <r>
    <s v="R97111"/>
    <s v="Traded Conversions"/>
    <x v="47"/>
    <x v="324"/>
    <x v="27"/>
    <s v="Meta6"/>
    <n v="4000"/>
    <n v="1"/>
    <x v="2"/>
  </r>
  <r>
    <s v="K138603"/>
    <s v="Traded Conversions"/>
    <x v="9"/>
    <x v="325"/>
    <x v="22"/>
    <s v="Meta6"/>
    <n v="1500"/>
    <n v="1"/>
    <x v="0"/>
  </r>
  <r>
    <s v="S135385"/>
    <s v="Traded Conversions"/>
    <x v="18"/>
    <x v="326"/>
    <x v="24"/>
    <s v="MAIN WEBSITE (HOT)"/>
    <n v="1000"/>
    <n v="1"/>
    <x v="0"/>
  </r>
  <r>
    <s v="V138733"/>
    <s v="Traded Conversions"/>
    <x v="37"/>
    <x v="327"/>
    <x v="12"/>
    <s v="MAIN WEBSITE (HOT)"/>
    <n v="3000"/>
    <n v="1"/>
    <x v="0"/>
  </r>
  <r>
    <s v="S141140"/>
    <s v="Traded Conversions"/>
    <x v="32"/>
    <x v="328"/>
    <x v="14"/>
    <s v="Meta6"/>
    <n v="1000"/>
    <n v="1"/>
    <x v="1"/>
  </r>
  <r>
    <s v="G142449"/>
    <s v="Traded Conversions"/>
    <x v="37"/>
    <x v="329"/>
    <x v="11"/>
    <s v="Referral (HOT)"/>
    <n v="4000"/>
    <n v="3"/>
    <x v="0"/>
  </r>
  <r>
    <s v="R152168"/>
    <s v="Traded Conversions"/>
    <x v="42"/>
    <x v="330"/>
    <x v="16"/>
    <s v="Telegram ads (digi)"/>
    <n v="1000"/>
    <n v="2"/>
    <x v="0"/>
  </r>
  <r>
    <s v="M145461"/>
    <s v="Traded Conversions"/>
    <x v="13"/>
    <x v="331"/>
    <x v="18"/>
    <s v="META-E"/>
    <n v="1000"/>
    <n v="3"/>
    <x v="0"/>
  </r>
  <r>
    <s v="C146988"/>
    <s v="Traded Conversions"/>
    <x v="24"/>
    <x v="332"/>
    <x v="10"/>
    <s v="MAIN WEBSITE (HOT)"/>
    <n v="1000"/>
    <n v="1"/>
    <x v="0"/>
  </r>
  <r>
    <s v="R141631"/>
    <s v="Traded Conversions"/>
    <x v="42"/>
    <x v="333"/>
    <x v="7"/>
    <s v="Telegram ads"/>
    <n v="2000"/>
    <n v="2"/>
    <x v="0"/>
  </r>
  <r>
    <s v="J131067"/>
    <s v="Old Portal_1YT"/>
    <x v="11"/>
    <x v="334"/>
    <x v="17"/>
    <s v="META3"/>
    <n v="46"/>
    <n v="3"/>
    <x v="0"/>
  </r>
  <r>
    <s v="A146385"/>
    <s v="Old Portal_1YT"/>
    <x v="20"/>
    <x v="335"/>
    <x v="10"/>
    <s v="MAIN WEBSITE (HOT) 1"/>
    <n v="5000"/>
    <n v="1"/>
    <x v="0"/>
  </r>
  <r>
    <s v="P135636"/>
    <s v="Traded Conversions"/>
    <x v="30"/>
    <x v="336"/>
    <x v="21"/>
    <s v="MAIN WEBSITE (HOT)"/>
    <n v="5000"/>
    <n v="1"/>
    <x v="0"/>
  </r>
  <r>
    <s v="A142802"/>
    <s v="Traded Conversions"/>
    <x v="30"/>
    <x v="337"/>
    <x v="12"/>
    <s v="Telegram ads"/>
    <n v="1000"/>
    <n v="2"/>
    <x v="0"/>
  </r>
  <r>
    <s v="V151420"/>
    <s v="Traded Conversions"/>
    <x v="18"/>
    <x v="338"/>
    <x v="1"/>
    <s v="MAIN WEBSITE (HOT)"/>
    <n v="1000"/>
    <n v="1"/>
    <x v="0"/>
  </r>
  <r>
    <s v="S146536"/>
    <s v="Traded Conversions"/>
    <x v="20"/>
    <x v="339"/>
    <x v="10"/>
    <s v="MAIN WEBSITE (HOT)"/>
    <n v="10000"/>
    <n v="1"/>
    <x v="0"/>
  </r>
  <r>
    <s v="M151767"/>
    <s v="Traded Conversions"/>
    <x v="9"/>
    <x v="340"/>
    <x v="17"/>
    <s v="Meta6"/>
    <n v="1000"/>
    <n v="1"/>
    <x v="0"/>
  </r>
  <r>
    <s v="A135126"/>
    <s v="Old Portal_1YT"/>
    <x v="30"/>
    <x v="341"/>
    <x v="26"/>
    <s v="Referral (HOT)"/>
    <n v="1000"/>
    <n v="3"/>
    <x v="0"/>
  </r>
  <r>
    <s v="V149358"/>
    <s v="Old Portal_1YT"/>
    <x v="12"/>
    <x v="342"/>
    <x v="8"/>
    <s v="APPLICATION"/>
    <n v="1000"/>
    <n v="1"/>
    <x v="0"/>
  </r>
  <r>
    <s v="D146088"/>
    <s v="Old Portal_1YT"/>
    <x v="10"/>
    <x v="343"/>
    <x v="6"/>
    <s v="MAIN WEBSITE (HOT)"/>
    <n v="1000"/>
    <n v="1"/>
    <x v="0"/>
  </r>
  <r>
    <s v="G137324"/>
    <s v="Old Portal_1YT"/>
    <x v="22"/>
    <x v="344"/>
    <x v="1"/>
    <s v="MAIN WEBSITE (HOT) 1"/>
    <n v="1000"/>
    <n v="1"/>
    <x v="0"/>
  </r>
  <r>
    <s v="P130647"/>
    <s v="Old Portal_1YT"/>
    <x v="3"/>
    <x v="345"/>
    <x v="23"/>
    <s v="Telegram"/>
    <n v="10000"/>
    <n v="2"/>
    <x v="0"/>
  </r>
  <r>
    <s v="A144977"/>
    <s v="Old Portal_1YT"/>
    <x v="24"/>
    <x v="346"/>
    <x v="7"/>
    <s v="MAIN WEBSITE (HOT)"/>
    <n v="2000"/>
    <n v="1"/>
    <x v="0"/>
  </r>
  <r>
    <s v="R135187"/>
    <s v="Old Portal_1YT"/>
    <x v="12"/>
    <x v="347"/>
    <x v="3"/>
    <s v="META2"/>
    <n v="1000"/>
    <n v="3"/>
    <x v="0"/>
  </r>
  <r>
    <s v="S144003"/>
    <s v="Old Portal_1YT"/>
    <x v="22"/>
    <x v="348"/>
    <x v="15"/>
    <s v="MAIN WEBSITE (HOT)"/>
    <n v="5000"/>
    <n v="1"/>
    <x v="0"/>
  </r>
  <r>
    <s v="N149165"/>
    <s v="Old Portal_1YT"/>
    <x v="5"/>
    <x v="349"/>
    <x v="0"/>
    <s v="MAIN WEBSITE (HOT)"/>
    <n v="1000"/>
    <n v="1"/>
    <x v="0"/>
  </r>
  <r>
    <s v="M143794"/>
    <s v="Old Portal_1YT"/>
    <x v="43"/>
    <x v="350"/>
    <x v="5"/>
    <s v="APPLICATION"/>
    <n v="20000"/>
    <n v="1"/>
    <x v="0"/>
  </r>
  <r>
    <s v="N151683"/>
    <s v="Old Portal_1YT"/>
    <x v="2"/>
    <x v="351"/>
    <x v="3"/>
    <s v="MAIN WEBSITE (HOT)"/>
    <n v="27000"/>
    <n v="1"/>
    <x v="0"/>
  </r>
  <r>
    <s v="S145687"/>
    <s v="Old Portal_1YT"/>
    <x v="8"/>
    <x v="352"/>
    <x v="4"/>
    <s v="META2"/>
    <n v="3000"/>
    <n v="3"/>
    <x v="0"/>
  </r>
  <r>
    <s v="S135368"/>
    <s v="Traded Conversions"/>
    <x v="18"/>
    <x v="353"/>
    <x v="22"/>
    <s v="MAIN WEBSITE (HOT)"/>
    <n v="1000"/>
    <n v="1"/>
    <x v="0"/>
  </r>
  <r>
    <s v="N132509"/>
    <s v="Traded Conversions"/>
    <x v="42"/>
    <x v="354"/>
    <x v="22"/>
    <s v="Meta6"/>
    <n v="1000"/>
    <n v="1"/>
    <x v="0"/>
  </r>
  <r>
    <s v="A36822"/>
    <s v="Traded Conversions"/>
    <x v="9"/>
    <x v="355"/>
    <x v="24"/>
    <s v="MAIN WEBSITE (HOT)"/>
    <n v="2500"/>
    <n v="1"/>
    <x v="0"/>
  </r>
  <r>
    <s v="S134914"/>
    <s v="Traded Conversions"/>
    <x v="45"/>
    <x v="356"/>
    <x v="12"/>
    <s v="MAIN WEBSITE (HOT)"/>
    <n v="2000"/>
    <n v="1"/>
    <x v="0"/>
  </r>
  <r>
    <s v="M139181"/>
    <s v="Traded Conversions"/>
    <x v="24"/>
    <x v="357"/>
    <x v="7"/>
    <s v="MAIN WEBSITE (HOT)"/>
    <n v="2000"/>
    <n v="1"/>
    <x v="0"/>
  </r>
  <r>
    <s v="N137681"/>
    <s v="Traded Conversions"/>
    <x v="10"/>
    <x v="358"/>
    <x v="16"/>
    <s v="MAIN WEBSITE (HOT)"/>
    <n v="1000"/>
    <n v="1"/>
    <x v="0"/>
  </r>
  <r>
    <s v="P139598"/>
    <s v="Traded Conversions"/>
    <x v="24"/>
    <x v="359"/>
    <x v="12"/>
    <s v="MAIN WEBSITE (HOT)"/>
    <n v="1000"/>
    <n v="1"/>
    <x v="0"/>
  </r>
  <r>
    <s v="S150752"/>
    <s v="Traded Conversions"/>
    <x v="14"/>
    <x v="360"/>
    <x v="1"/>
    <s v="MAIN WEBSITE (HOT)"/>
    <n v="1000"/>
    <n v="1"/>
    <x v="0"/>
  </r>
  <r>
    <s v="M149345"/>
    <s v="Traded Conversions"/>
    <x v="20"/>
    <x v="361"/>
    <x v="0"/>
    <s v="MAIN WEBSITE (HOT)"/>
    <n v="1000"/>
    <n v="1"/>
    <x v="0"/>
  </r>
  <r>
    <s v="P145673"/>
    <s v="Traded Conversions"/>
    <x v="20"/>
    <x v="362"/>
    <x v="4"/>
    <s v="MAIN WEBSITE (HOT)"/>
    <n v="38480"/>
    <n v="1"/>
    <x v="0"/>
  </r>
  <r>
    <s v="M148890"/>
    <s v="Traded Conversions"/>
    <x v="10"/>
    <x v="363"/>
    <x v="21"/>
    <s v="MAIN WEBSITE (HOT)"/>
    <n v="1000"/>
    <n v="1"/>
    <x v="0"/>
  </r>
  <r>
    <s v="V139462"/>
    <s v="Traded Conversions"/>
    <x v="1"/>
    <x v="364"/>
    <x v="26"/>
    <s v="Meta6"/>
    <n v="1000"/>
    <n v="1"/>
    <x v="0"/>
  </r>
  <r>
    <s v="J142959"/>
    <s v="Traded Conversions"/>
    <x v="20"/>
    <x v="365"/>
    <x v="5"/>
    <s v="MAIN WEBSITE (HOT)"/>
    <n v="1000"/>
    <n v="1"/>
    <x v="0"/>
  </r>
  <r>
    <s v="S145938"/>
    <s v="Traded Conversions"/>
    <x v="48"/>
    <x v="366"/>
    <x v="1"/>
    <s v="Referral (HOT)"/>
    <n v="1001"/>
    <n v="3"/>
    <x v="0"/>
  </r>
  <r>
    <s v="J148079"/>
    <s v="Traded Conversions"/>
    <x v="20"/>
    <x v="367"/>
    <x v="23"/>
    <s v="MAIN WEBSITE (HOT)"/>
    <n v="3000"/>
    <n v="1"/>
    <x v="0"/>
  </r>
  <r>
    <s v="S149716"/>
    <s v="Traded Conversions"/>
    <x v="19"/>
    <x v="368"/>
    <x v="8"/>
    <s v="Referral (HOT)"/>
    <n v="1000"/>
    <n v="3"/>
    <x v="0"/>
  </r>
  <r>
    <s v="S150929"/>
    <s v="Traded Conversions"/>
    <x v="10"/>
    <x v="369"/>
    <x v="9"/>
    <s v="Referral (HOT)"/>
    <n v="20000"/>
    <n v="3"/>
    <x v="0"/>
  </r>
  <r>
    <s v="S148160"/>
    <s v="Traded Conversions"/>
    <x v="24"/>
    <x v="370"/>
    <x v="21"/>
    <s v="MAIN WEBSITE (HOT)"/>
    <n v="10000"/>
    <n v="1"/>
    <x v="0"/>
  </r>
  <r>
    <s v="A148779"/>
    <s v="Traded Conversions"/>
    <x v="18"/>
    <x v="371"/>
    <x v="21"/>
    <s v="MAIN WEBSITE (HOT)"/>
    <n v="10000"/>
    <n v="1"/>
    <x v="0"/>
  </r>
  <r>
    <s v="R151668"/>
    <s v="Traded Conversions"/>
    <x v="41"/>
    <x v="372"/>
    <x v="3"/>
    <s v="Referral (HOT)"/>
    <n v="3000"/>
    <n v="3"/>
    <x v="0"/>
  </r>
  <r>
    <s v="S118900"/>
    <s v="Traded Conversions"/>
    <x v="11"/>
    <x v="373"/>
    <x v="0"/>
    <s v="Referral (HOT)"/>
    <n v="5000"/>
    <n v="3"/>
    <x v="0"/>
  </r>
  <r>
    <s v="H148344"/>
    <s v="Traded Conversions"/>
    <x v="14"/>
    <x v="374"/>
    <x v="21"/>
    <s v="MAIN WEBSITE (HOT)"/>
    <n v="7000"/>
    <n v="1"/>
    <x v="0"/>
  </r>
  <r>
    <s v="R145348"/>
    <s v="Traded Conversions"/>
    <x v="4"/>
    <x v="375"/>
    <x v="7"/>
    <s v="Referral (HOT)"/>
    <n v="1000"/>
    <n v="3"/>
    <x v="0"/>
  </r>
  <r>
    <s v="M145450"/>
    <s v="Traded Conversions"/>
    <x v="10"/>
    <x v="376"/>
    <x v="7"/>
    <s v="MAIN WEBSITE (HOT)"/>
    <n v="35000"/>
    <n v="1"/>
    <x v="0"/>
  </r>
  <r>
    <s v="K93980"/>
    <s v="Traded Conversions"/>
    <x v="49"/>
    <x v="377"/>
    <x v="18"/>
    <s v="Meta6"/>
    <n v="1000"/>
    <n v="1"/>
    <x v="0"/>
  </r>
  <r>
    <s v="L145666"/>
    <s v="Traded Conversions"/>
    <x v="14"/>
    <x v="378"/>
    <x v="4"/>
    <s v="Telegram ads"/>
    <n v="2000"/>
    <n v="2"/>
    <x v="0"/>
  </r>
  <r>
    <s v="T135814"/>
    <s v="Traded Conversions"/>
    <x v="7"/>
    <x v="379"/>
    <x v="7"/>
    <s v="Meta6"/>
    <n v="35000"/>
    <n v="1"/>
    <x v="0"/>
  </r>
  <r>
    <s v="A145566"/>
    <s v="Traded Conversions"/>
    <x v="26"/>
    <x v="380"/>
    <x v="7"/>
    <s v="MAIN WEBSITE (HOT)"/>
    <n v="1000"/>
    <n v="1"/>
    <x v="0"/>
  </r>
  <r>
    <s v="R138204"/>
    <s v="Traded Conversions"/>
    <x v="25"/>
    <x v="381"/>
    <x v="12"/>
    <s v="MAIN WEBSITE (HOT)"/>
    <n v="1000"/>
    <n v="1"/>
    <x v="0"/>
  </r>
  <r>
    <s v="A152255"/>
    <s v="Traded Conversions"/>
    <x v="12"/>
    <x v="382"/>
    <x v="16"/>
    <s v="Referral (HOT)"/>
    <n v="1500"/>
    <n v="3"/>
    <x v="0"/>
  </r>
  <r>
    <s v="S152696"/>
    <s v="Traded Conversions"/>
    <x v="18"/>
    <x v="383"/>
    <x v="16"/>
    <s v="MAIN WEBSITE (HOT)"/>
    <n v="2000"/>
    <n v="1"/>
    <x v="0"/>
  </r>
  <r>
    <s v="M146747"/>
    <s v="Traded Conversions"/>
    <x v="14"/>
    <x v="384"/>
    <x v="10"/>
    <s v="MAIN WEBSITE (HOT)"/>
    <n v="38837"/>
    <n v="1"/>
    <x v="0"/>
  </r>
  <r>
    <s v="S147069"/>
    <s v="Traded Conversions"/>
    <x v="11"/>
    <x v="385"/>
    <x v="23"/>
    <s v="MAIN WEBSITE (HOT)"/>
    <n v="1000"/>
    <n v="1"/>
    <x v="0"/>
  </r>
  <r>
    <s v="U143549"/>
    <s v="Traded Conversions"/>
    <x v="8"/>
    <x v="386"/>
    <x v="19"/>
    <s v="META3"/>
    <n v="1000"/>
    <n v="3"/>
    <x v="0"/>
  </r>
  <r>
    <s v="M143355"/>
    <s v="Traded Conversions"/>
    <x v="24"/>
    <x v="387"/>
    <x v="5"/>
    <s v="MAIN WEBSITE (HOT)"/>
    <n v="1000"/>
    <n v="1"/>
    <x v="0"/>
  </r>
  <r>
    <s v="M147120"/>
    <s v="Traded Conversions"/>
    <x v="24"/>
    <x v="388"/>
    <x v="10"/>
    <s v="MAIN WEBSITE (HOT)"/>
    <n v="2000"/>
    <n v="1"/>
    <x v="0"/>
  </r>
  <r>
    <s v="B142634"/>
    <s v="Traded Conversions"/>
    <x v="10"/>
    <x v="389"/>
    <x v="12"/>
    <s v="MAIN WEBSITE (HOT)"/>
    <n v="1000"/>
    <n v="1"/>
    <x v="0"/>
  </r>
  <r>
    <s v="D141594"/>
    <s v="Traded Conversions"/>
    <x v="24"/>
    <x v="390"/>
    <x v="11"/>
    <s v="MAIN WEBSITE (HOT)"/>
    <n v="1000"/>
    <n v="1"/>
    <x v="0"/>
  </r>
  <r>
    <s v="A140643"/>
    <s v="Traded Conversions"/>
    <x v="15"/>
    <x v="391"/>
    <x v="2"/>
    <s v="Meta6"/>
    <n v="1000"/>
    <n v="1"/>
    <x v="0"/>
  </r>
  <r>
    <s v="R142266"/>
    <s v="Traded Conversions"/>
    <x v="19"/>
    <x v="392"/>
    <x v="5"/>
    <s v=""/>
    <n v="2000"/>
    <n v="2"/>
    <x v="0"/>
  </r>
  <r>
    <s v="D151334"/>
    <s v="Traded Conversions"/>
    <x v="14"/>
    <x v="393"/>
    <x v="3"/>
    <s v="MAIN WEBSITE (HOT)"/>
    <n v="1000"/>
    <n v="1"/>
    <x v="0"/>
  </r>
  <r>
    <s v="R145681"/>
    <s v="Traded Conversions"/>
    <x v="17"/>
    <x v="394"/>
    <x v="4"/>
    <s v="Referral (HOT)"/>
    <n v="5000"/>
    <n v="3"/>
    <x v="0"/>
  </r>
  <r>
    <s v="R84239"/>
    <s v="Traded Conversions"/>
    <x v="21"/>
    <x v="395"/>
    <x v="15"/>
    <s v="META-E"/>
    <n v="1000"/>
    <n v="3"/>
    <x v="0"/>
  </r>
  <r>
    <s v="R145722"/>
    <s v="Traded Conversions"/>
    <x v="19"/>
    <x v="396"/>
    <x v="4"/>
    <s v="Referral (HOT)"/>
    <n v="1000"/>
    <n v="3"/>
    <x v="0"/>
  </r>
  <r>
    <s v="A142564"/>
    <s v="Traded Conversions"/>
    <x v="8"/>
    <x v="397"/>
    <x v="0"/>
    <s v="Meta6"/>
    <n v="1000"/>
    <n v="1"/>
    <x v="0"/>
  </r>
  <r>
    <s v="A142489"/>
    <s v="Traded Conversions"/>
    <x v="5"/>
    <x v="398"/>
    <x v="5"/>
    <s v="Referral (HOT)"/>
    <n v="20000"/>
    <n v="3"/>
    <x v="0"/>
  </r>
  <r>
    <s v="B141096"/>
    <s v="Traded Conversions"/>
    <x v="19"/>
    <x v="399"/>
    <x v="12"/>
    <s v="Meta6"/>
    <n v="1000"/>
    <n v="1"/>
    <x v="0"/>
  </r>
  <r>
    <s v="S139611"/>
    <s v="Traded Conversions"/>
    <x v="45"/>
    <x v="400"/>
    <x v="5"/>
    <s v="Meta6"/>
    <n v="1100"/>
    <n v="1"/>
    <x v="0"/>
  </r>
  <r>
    <s v="S105938"/>
    <s v="Traded Conversions"/>
    <x v="38"/>
    <x v="401"/>
    <x v="23"/>
    <s v="MAIN WEBSITE (HOT)"/>
    <n v="1000"/>
    <n v="1"/>
    <x v="0"/>
  </r>
  <r>
    <s v="N142970"/>
    <s v="Old Portal_1YT"/>
    <x v="18"/>
    <x v="402"/>
    <x v="12"/>
    <s v="MAIN WEBSITE (HOT) 1"/>
    <n v="1000"/>
    <n v="1"/>
    <x v="0"/>
  </r>
  <r>
    <s v="S138982"/>
    <s v="Old Portal_1YT"/>
    <x v="46"/>
    <x v="403"/>
    <x v="22"/>
    <s v="META3"/>
    <n v="2200"/>
    <n v="3"/>
    <x v="0"/>
  </r>
  <r>
    <s v="N136567"/>
    <s v="Old Portal_1YT"/>
    <x v="42"/>
    <x v="404"/>
    <x v="18"/>
    <s v="MAIN WEBSITE (HOT)"/>
    <n v="2000"/>
    <n v="1"/>
    <x v="0"/>
  </r>
  <r>
    <s v="M136592"/>
    <s v="Old Portal_1YT"/>
    <x v="37"/>
    <x v="405"/>
    <x v="17"/>
    <s v="Instagram"/>
    <n v="1000"/>
    <n v="2"/>
    <x v="0"/>
  </r>
  <r>
    <s v="R141831"/>
    <s v="Old Portal_1YT"/>
    <x v="21"/>
    <x v="406"/>
    <x v="26"/>
    <s v="MAIN WEBSITE (HOT)"/>
    <n v="1000"/>
    <n v="1"/>
    <x v="0"/>
  </r>
  <r>
    <s v="R137578"/>
    <s v="Traded Conversions"/>
    <x v="2"/>
    <x v="407"/>
    <x v="26"/>
    <s v="Meta6"/>
    <n v="3000"/>
    <n v="1"/>
    <x v="0"/>
  </r>
  <r>
    <s v="E136236"/>
    <s v="Traded Conversions"/>
    <x v="3"/>
    <x v="408"/>
    <x v="2"/>
    <s v="MAIN WEBSITE (HOT) 1"/>
    <n v="1000"/>
    <n v="1"/>
    <x v="0"/>
  </r>
  <r>
    <s v="G86968"/>
    <s v="Traded Conversions"/>
    <x v="38"/>
    <x v="409"/>
    <x v="21"/>
    <s v="MAIN WEBSITE (HOT)"/>
    <n v="10000"/>
    <n v="1"/>
    <x v="0"/>
  </r>
  <r>
    <s v="L142303"/>
    <s v="Traded Conversions"/>
    <x v="14"/>
    <x v="410"/>
    <x v="11"/>
    <s v="MAIN WEBSITE (HOT)"/>
    <n v="2500"/>
    <n v="1"/>
    <x v="0"/>
  </r>
  <r>
    <s v="A148643"/>
    <s v="Traded Conversions"/>
    <x v="41"/>
    <x v="411"/>
    <x v="23"/>
    <s v="Referral (HOT)"/>
    <n v="2000"/>
    <n v="3"/>
    <x v="0"/>
  </r>
  <r>
    <s v="A151721"/>
    <s v="Traded Conversions"/>
    <x v="1"/>
    <x v="412"/>
    <x v="17"/>
    <s v="Meta6"/>
    <n v="1000"/>
    <n v="1"/>
    <x v="0"/>
  </r>
  <r>
    <s v="N147102"/>
    <s v="Old Portal_1YT"/>
    <x v="40"/>
    <x v="413"/>
    <x v="6"/>
    <s v="MAIN WEBSITE (HOT)"/>
    <n v="1000"/>
    <n v="1"/>
    <x v="0"/>
  </r>
  <r>
    <s v="J107671"/>
    <s v="Traded Conversions"/>
    <x v="47"/>
    <x v="414"/>
    <x v="24"/>
    <s v="Meta6"/>
    <n v="1000"/>
    <n v="1"/>
    <x v="0"/>
  </r>
  <r>
    <s v="H151989"/>
    <s v="Traded Conversions"/>
    <x v="11"/>
    <x v="415"/>
    <x v="16"/>
    <s v="Referral (HOT)"/>
    <n v="1000"/>
    <n v="3"/>
    <x v="0"/>
  </r>
  <r>
    <s v="R142712"/>
    <s v="Traded Conversions"/>
    <x v="20"/>
    <x v="416"/>
    <x v="11"/>
    <s v="Referral (HOT)"/>
    <n v="1000"/>
    <n v="3"/>
    <x v="0"/>
  </r>
  <r>
    <s v="R133666"/>
    <s v="Old Portal_1YT"/>
    <x v="39"/>
    <x v="417"/>
    <x v="10"/>
    <s v="MAIN WEBSITE (HOT)"/>
    <n v="500"/>
    <n v="1"/>
    <x v="0"/>
  </r>
  <r>
    <s v="V147000"/>
    <s v="Old Portal_1YT"/>
    <x v="48"/>
    <x v="418"/>
    <x v="10"/>
    <s v="MAIN WEBSITE (HOT) 1"/>
    <n v="491"/>
    <n v="1"/>
    <x v="0"/>
  </r>
  <r>
    <s v="M145693"/>
    <s v="Traded Conversions"/>
    <x v="11"/>
    <x v="419"/>
    <x v="4"/>
    <s v="Referral (HOT)"/>
    <n v="1000"/>
    <n v="3"/>
    <x v="0"/>
  </r>
  <r>
    <s v="H145340"/>
    <s v="Traded Conversions"/>
    <x v="3"/>
    <x v="420"/>
    <x v="6"/>
    <s v="MAIN WEBSITE (HOT)"/>
    <n v="2000"/>
    <n v="1"/>
    <x v="0"/>
  </r>
  <r>
    <s v="A149275"/>
    <s v="Traded Conversions"/>
    <x v="12"/>
    <x v="421"/>
    <x v="8"/>
    <s v="Referral (HOT)"/>
    <n v="1000"/>
    <n v="3"/>
    <x v="0"/>
  </r>
  <r>
    <s v="M148932"/>
    <s v="Traded Conversions"/>
    <x v="20"/>
    <x v="422"/>
    <x v="21"/>
    <s v="MAIN WEBSITE (HOT)"/>
    <n v="2500"/>
    <n v="1"/>
    <x v="0"/>
  </r>
  <r>
    <s v="R149812"/>
    <s v="Traded Conversions"/>
    <x v="10"/>
    <x v="423"/>
    <x v="9"/>
    <s v="MAIN WEBSITE (HOT)"/>
    <n v="20000"/>
    <n v="1"/>
    <x v="0"/>
  </r>
  <r>
    <s v="S149582"/>
    <s v="Traded Conversions"/>
    <x v="43"/>
    <x v="424"/>
    <x v="8"/>
    <s v="Meta (Murtaza)"/>
    <n v="35000"/>
    <n v="3"/>
    <x v="0"/>
  </r>
  <r>
    <s v="L146220"/>
    <s v="Traded Conversions"/>
    <x v="11"/>
    <x v="425"/>
    <x v="10"/>
    <s v="MAIN WEBSITE (HOT)"/>
    <n v="5000"/>
    <n v="1"/>
    <x v="0"/>
  </r>
  <r>
    <s v="R150302"/>
    <s v="Traded Conversions"/>
    <x v="20"/>
    <x v="426"/>
    <x v="1"/>
    <s v="MAIN WEBSITE (HOT)"/>
    <n v="7500"/>
    <n v="1"/>
    <x v="0"/>
  </r>
  <r>
    <s v="C149351"/>
    <s v="Traded Conversions"/>
    <x v="18"/>
    <x v="427"/>
    <x v="0"/>
    <s v="MAIN WEBSITE (HOT)"/>
    <n v="5000"/>
    <n v="1"/>
    <x v="0"/>
  </r>
  <r>
    <s v="S149685"/>
    <s v="Traded Conversions"/>
    <x v="18"/>
    <x v="428"/>
    <x v="8"/>
    <s v="Referral (HOT)"/>
    <n v="4000"/>
    <n v="3"/>
    <x v="0"/>
  </r>
  <r>
    <s v="W139309"/>
    <s v="Traded Conversions"/>
    <x v="11"/>
    <x v="429"/>
    <x v="24"/>
    <s v="MAIN WEBSITE (HOT)"/>
    <n v="10000"/>
    <n v="1"/>
    <x v="0"/>
  </r>
  <r>
    <s v="M141113"/>
    <s v="Traded Conversions"/>
    <x v="18"/>
    <x v="430"/>
    <x v="26"/>
    <s v="MAIN WEBSITE (HOT)"/>
    <n v="5000"/>
    <n v="1"/>
    <x v="0"/>
  </r>
  <r>
    <s v="D144691"/>
    <s v="Traded Conversions"/>
    <x v="29"/>
    <x v="431"/>
    <x v="3"/>
    <s v="Meta6"/>
    <n v="1000"/>
    <n v="1"/>
    <x v="0"/>
  </r>
  <r>
    <s v="N151800"/>
    <s v="Traded Conversions"/>
    <x v="4"/>
    <x v="432"/>
    <x v="3"/>
    <s v="Telegram ads"/>
    <n v="10000"/>
    <n v="2"/>
    <x v="0"/>
  </r>
  <r>
    <s v="B143570"/>
    <s v="Traded Conversions"/>
    <x v="11"/>
    <x v="433"/>
    <x v="19"/>
    <s v="MAIN WEBSITE (HOT)"/>
    <n v="1000"/>
    <n v="1"/>
    <x v="0"/>
  </r>
  <r>
    <s v="B126044"/>
    <s v="Traded Conversions"/>
    <x v="3"/>
    <x v="434"/>
    <x v="7"/>
    <s v="Meta6"/>
    <n v="3500"/>
    <n v="1"/>
    <x v="0"/>
  </r>
  <r>
    <s v="A146126"/>
    <s v="Traded Conversions"/>
    <x v="20"/>
    <x v="435"/>
    <x v="15"/>
    <s v="Referral (HOT)"/>
    <n v="1000"/>
    <n v="3"/>
    <x v="0"/>
  </r>
  <r>
    <s v="A144917"/>
    <s v="Traded Conversions"/>
    <x v="18"/>
    <x v="436"/>
    <x v="30"/>
    <s v="MAIN WEBSITE (HOT)"/>
    <n v="1000"/>
    <n v="1"/>
    <x v="1"/>
  </r>
  <r>
    <s v="J149470"/>
    <s v="Traded Conversions"/>
    <x v="18"/>
    <x v="437"/>
    <x v="8"/>
    <s v="MAIN WEBSITE (HOT)"/>
    <n v="2000"/>
    <n v="1"/>
    <x v="0"/>
  </r>
  <r>
    <s v="P144994"/>
    <s v="Traded Conversions"/>
    <x v="14"/>
    <x v="438"/>
    <x v="7"/>
    <s v="MAIN WEBSITE (HOT)"/>
    <n v="1000"/>
    <n v="1"/>
    <x v="0"/>
  </r>
  <r>
    <s v="P37555"/>
    <s v="Traded Conversions"/>
    <x v="48"/>
    <x v="439"/>
    <x v="18"/>
    <s v="MAIN WEBSITE (HOT)"/>
    <n v="5799"/>
    <n v="1"/>
    <x v="0"/>
  </r>
  <r>
    <s v="S139814"/>
    <s v="Traded Conversions"/>
    <x v="20"/>
    <x v="440"/>
    <x v="26"/>
    <s v="Referral (HOT)"/>
    <n v="1000"/>
    <n v="3"/>
    <x v="0"/>
  </r>
  <r>
    <s v="G123341"/>
    <s v="Traded Conversions"/>
    <x v="3"/>
    <x v="441"/>
    <x v="7"/>
    <s v="Meta6"/>
    <n v="1500"/>
    <n v="1"/>
    <x v="0"/>
  </r>
  <r>
    <s v="M143973"/>
    <s v="Traded Conversions"/>
    <x v="19"/>
    <x v="442"/>
    <x v="4"/>
    <s v="Referral (HOT)"/>
    <n v="2000"/>
    <n v="3"/>
    <x v="0"/>
  </r>
  <r>
    <s v="V147577"/>
    <s v="Traded Conversions"/>
    <x v="20"/>
    <x v="443"/>
    <x v="21"/>
    <s v="MAIN WEBSITE (HOT)"/>
    <n v="4100"/>
    <n v="1"/>
    <x v="0"/>
  </r>
  <r>
    <s v="A116214"/>
    <s v="Traded Conversions"/>
    <x v="5"/>
    <x v="444"/>
    <x v="7"/>
    <s v="MAIN WEBSITE (HOT) 1"/>
    <n v="1000"/>
    <n v="1"/>
    <x v="0"/>
  </r>
  <r>
    <s v="B143842"/>
    <s v="Traded Conversions"/>
    <x v="14"/>
    <x v="445"/>
    <x v="5"/>
    <s v="MAIN WEBSITE (HOT)"/>
    <n v="2000"/>
    <n v="1"/>
    <x v="0"/>
  </r>
  <r>
    <s v="S33105"/>
    <s v="Traded Conversions"/>
    <x v="0"/>
    <x v="446"/>
    <x v="7"/>
    <s v="STOCKMEME"/>
    <n v="1000"/>
    <n v="2"/>
    <x v="0"/>
  </r>
  <r>
    <s v="K134748"/>
    <s v="Traded Conversions"/>
    <x v="17"/>
    <x v="447"/>
    <x v="15"/>
    <s v="MAIN WEBSITE (HOT)"/>
    <n v="1000"/>
    <n v="1"/>
    <x v="0"/>
  </r>
  <r>
    <s v="R87075"/>
    <s v="Traded Conversions"/>
    <x v="37"/>
    <x v="448"/>
    <x v="17"/>
    <s v="Meta6"/>
    <n v="3000"/>
    <n v="1"/>
    <x v="0"/>
  </r>
  <r>
    <s v="K124732"/>
    <s v="Traded Conversions"/>
    <x v="45"/>
    <x v="449"/>
    <x v="25"/>
    <s v="MAIN WEBSITE (HOT)"/>
    <n v="4000"/>
    <n v="1"/>
    <x v="2"/>
  </r>
  <r>
    <s v="R147413"/>
    <s v="Traded Conversions"/>
    <x v="48"/>
    <x v="450"/>
    <x v="30"/>
    <s v="Telegram"/>
    <n v="1000"/>
    <n v="2"/>
    <x v="1"/>
  </r>
  <r>
    <s v="P146589"/>
    <s v="Traded Conversions"/>
    <x v="10"/>
    <x v="451"/>
    <x v="6"/>
    <s v="MAIN WEBSITE (HOT)"/>
    <n v="1000"/>
    <n v="1"/>
    <x v="0"/>
  </r>
  <r>
    <s v="C141299"/>
    <s v="Traded Conversions"/>
    <x v="9"/>
    <x v="452"/>
    <x v="26"/>
    <s v="Meta6"/>
    <n v="1000"/>
    <n v="1"/>
    <x v="0"/>
  </r>
  <r>
    <s v="V148803"/>
    <s v="Traded Conversions"/>
    <x v="20"/>
    <x v="453"/>
    <x v="21"/>
    <s v="MAIN WEBSITE (HOT)"/>
    <n v="2000"/>
    <n v="1"/>
    <x v="0"/>
  </r>
  <r>
    <s v="G137296"/>
    <s v="Old Portal_1YT"/>
    <x v="33"/>
    <x v="454"/>
    <x v="26"/>
    <s v="Referral (HOT)"/>
    <n v="22"/>
    <n v="3"/>
    <x v="0"/>
  </r>
  <r>
    <s v="A147130"/>
    <s v="Old Portal_1YT"/>
    <x v="37"/>
    <x v="455"/>
    <x v="10"/>
    <s v="Referral (HOT)"/>
    <n v="2038.6"/>
    <n v="3"/>
    <x v="0"/>
  </r>
  <r>
    <s v="S139083"/>
    <s v="Old Portal_1YT"/>
    <x v="20"/>
    <x v="456"/>
    <x v="23"/>
    <s v="MAIN WEBSITE (HOT)"/>
    <n v="10000"/>
    <n v="1"/>
    <x v="0"/>
  </r>
  <r>
    <s v="S98681"/>
    <s v="Not traded new panel"/>
    <x v="18"/>
    <x v="457"/>
    <x v="23"/>
    <s v="MAIN WEBSITE (HOT)"/>
    <n v="1000"/>
    <n v="1"/>
    <x v="0"/>
  </r>
  <r>
    <s v="J147800"/>
    <s v="Old Portal_1YT"/>
    <x v="46"/>
    <x v="458"/>
    <x v="8"/>
    <s v="META3"/>
    <n v="5553"/>
    <n v="3"/>
    <x v="0"/>
  </r>
  <r>
    <s v="V134370"/>
    <s v="Old Portal_1YT"/>
    <x v="27"/>
    <x v="459"/>
    <x v="6"/>
    <s v="MAIN WEBSITE (HOT) 1"/>
    <n v="1000"/>
    <n v="1"/>
    <x v="0"/>
  </r>
  <r>
    <s v="P131215"/>
    <s v="Old Portal_1YT"/>
    <x v="1"/>
    <x v="460"/>
    <x v="22"/>
    <s v="Referral (HOT)"/>
    <n v="4000"/>
    <n v="3"/>
    <x v="0"/>
  </r>
  <r>
    <s v="P150092"/>
    <s v="Old Portal_1YT"/>
    <x v="24"/>
    <x v="461"/>
    <x v="28"/>
    <s v="META2"/>
    <n v="2000"/>
    <n v="3"/>
    <x v="1"/>
  </r>
  <r>
    <s v="D135168"/>
    <s v="Old Portal_1YT"/>
    <x v="15"/>
    <x v="462"/>
    <x v="7"/>
    <s v="MAIN WEBSITE (HOT)"/>
    <n v="1000"/>
    <n v="1"/>
    <x v="0"/>
  </r>
  <r>
    <s v="R148727"/>
    <s v="Old Portal_1YT"/>
    <x v="14"/>
    <x v="463"/>
    <x v="0"/>
    <s v="MAIN WEBSITE (HOT) 1"/>
    <n v="1000"/>
    <n v="1"/>
    <x v="0"/>
  </r>
  <r>
    <s v="B142139"/>
    <s v="Old Portal_1YT"/>
    <x v="8"/>
    <x v="464"/>
    <x v="12"/>
    <s v="MAIN WEBSITE (HOT)"/>
    <n v="10000"/>
    <n v="1"/>
    <x v="0"/>
  </r>
  <r>
    <s v="P133767"/>
    <s v="Old Portal_1YT"/>
    <x v="39"/>
    <x v="465"/>
    <x v="2"/>
    <s v="Whatsapp"/>
    <n v="12000"/>
    <n v="2"/>
    <x v="0"/>
  </r>
  <r>
    <s v="P152513"/>
    <s v="Old Portal_1YT"/>
    <x v="45"/>
    <x v="466"/>
    <x v="17"/>
    <s v="APPLICATION"/>
    <n v="7000"/>
    <n v="1"/>
    <x v="0"/>
  </r>
  <r>
    <s v="V147997"/>
    <s v="Old Portal_1YT"/>
    <x v="26"/>
    <x v="467"/>
    <x v="23"/>
    <s v="META3"/>
    <n v="6000"/>
    <n v="3"/>
    <x v="0"/>
  </r>
  <r>
    <s v="S152436"/>
    <s v="Old Portal_1YT"/>
    <x v="50"/>
    <x v="468"/>
    <x v="17"/>
    <s v="MAIN WEBSITE (HOT)"/>
    <n v="5000"/>
    <n v="1"/>
    <x v="0"/>
  </r>
  <r>
    <s v="S144478"/>
    <s v="Old Portal_1YT"/>
    <x v="9"/>
    <x v="469"/>
    <x v="4"/>
    <s v="Referral (HOT)"/>
    <n v="1000"/>
    <n v="3"/>
    <x v="0"/>
  </r>
  <r>
    <s v="J148009"/>
    <s v="Traded Conversions"/>
    <x v="20"/>
    <x v="470"/>
    <x v="9"/>
    <s v="Referral (HOT)"/>
    <n v="1000"/>
    <n v="3"/>
    <x v="0"/>
  </r>
  <r>
    <s v="R134758"/>
    <s v="Traded Conversions"/>
    <x v="24"/>
    <x v="471"/>
    <x v="2"/>
    <s v="MAIN WEBSITE (HOT)"/>
    <n v="1000"/>
    <n v="1"/>
    <x v="0"/>
  </r>
  <r>
    <s v="S137120"/>
    <s v="Traded Conversions"/>
    <x v="32"/>
    <x v="472"/>
    <x v="12"/>
    <s v="Referral (HOT)"/>
    <n v="5000"/>
    <n v="3"/>
    <x v="0"/>
  </r>
  <r>
    <s v="V148164"/>
    <s v="Traded Conversions"/>
    <x v="43"/>
    <x v="473"/>
    <x v="6"/>
    <s v="Referral (HOT)"/>
    <n v="4034"/>
    <n v="3"/>
    <x v="0"/>
  </r>
  <r>
    <s v="D138817"/>
    <s v="Traded Conversions"/>
    <x v="27"/>
    <x v="474"/>
    <x v="3"/>
    <s v="Meta6"/>
    <n v="1000"/>
    <n v="1"/>
    <x v="0"/>
  </r>
  <r>
    <s v="N133242"/>
    <s v="Traded Conversions"/>
    <x v="6"/>
    <x v="475"/>
    <x v="5"/>
    <s v="MAIN WEBSITE (HOT)"/>
    <n v="20000"/>
    <n v="1"/>
    <x v="0"/>
  </r>
  <r>
    <s v="D146240"/>
    <s v="Traded Conversions"/>
    <x v="42"/>
    <x v="476"/>
    <x v="6"/>
    <s v="Referral (HOT)"/>
    <n v="3001"/>
    <n v="3"/>
    <x v="0"/>
  </r>
  <r>
    <s v="M139234"/>
    <s v="Traded Conversions"/>
    <x v="0"/>
    <x v="477"/>
    <x v="12"/>
    <s v="MAIN WEBSITE (HOT)"/>
    <n v="4500"/>
    <n v="1"/>
    <x v="0"/>
  </r>
  <r>
    <s v="A88702"/>
    <s v="Traded Conversions"/>
    <x v="19"/>
    <x v="478"/>
    <x v="13"/>
    <s v="Meta6"/>
    <n v="1000"/>
    <n v="1"/>
    <x v="1"/>
  </r>
  <r>
    <s v="H142716"/>
    <s v="Traded Conversions"/>
    <x v="16"/>
    <x v="479"/>
    <x v="13"/>
    <s v="MAIN WEBSITE (HOT) 1"/>
    <n v="1000"/>
    <n v="1"/>
    <x v="1"/>
  </r>
  <r>
    <s v="S144143"/>
    <s v="Traded Conversions"/>
    <x v="45"/>
    <x v="480"/>
    <x v="19"/>
    <s v="Meta6"/>
    <n v="2000"/>
    <n v="1"/>
    <x v="0"/>
  </r>
  <r>
    <s v="A140509"/>
    <s v="Traded Conversions"/>
    <x v="18"/>
    <x v="481"/>
    <x v="19"/>
    <s v="MAIN WEBSITE (HOT)"/>
    <n v="1000"/>
    <n v="1"/>
    <x v="0"/>
  </r>
  <r>
    <s v="S141569"/>
    <s v="Traded Conversions"/>
    <x v="45"/>
    <x v="482"/>
    <x v="20"/>
    <s v="Referral (HOT)"/>
    <n v="2000"/>
    <n v="3"/>
    <x v="2"/>
  </r>
  <r>
    <s v="M139357"/>
    <s v="Traded Conversions"/>
    <x v="4"/>
    <x v="483"/>
    <x v="4"/>
    <s v="Meta6"/>
    <n v="2000"/>
    <n v="1"/>
    <x v="0"/>
  </r>
  <r>
    <s v="A140290"/>
    <s v="Traded Conversions"/>
    <x v="20"/>
    <x v="484"/>
    <x v="2"/>
    <s v="MAIN WEBSITE (HOT)"/>
    <n v="1000"/>
    <n v="1"/>
    <x v="0"/>
  </r>
  <r>
    <s v="S149602"/>
    <s v="Traded Conversions"/>
    <x v="14"/>
    <x v="485"/>
    <x v="9"/>
    <s v="Referral (HOT)"/>
    <n v="1000"/>
    <n v="3"/>
    <x v="0"/>
  </r>
  <r>
    <s v="P146505"/>
    <s v="Traded Conversions"/>
    <x v="15"/>
    <x v="486"/>
    <x v="18"/>
    <s v="Meta6"/>
    <n v="1000"/>
    <n v="1"/>
    <x v="0"/>
  </r>
  <r>
    <s v="G48476"/>
    <s v="Traded Conversions"/>
    <x v="45"/>
    <x v="487"/>
    <x v="21"/>
    <s v="MAIN WEBSITE (HOT)"/>
    <n v="1000"/>
    <n v="1"/>
    <x v="0"/>
  </r>
  <r>
    <s v="K150072"/>
    <s v="Traded Conversions"/>
    <x v="7"/>
    <x v="488"/>
    <x v="9"/>
    <s v="Referral (HOT)"/>
    <n v="1000"/>
    <n v="3"/>
    <x v="0"/>
  </r>
  <r>
    <s v="P143909"/>
    <s v="Old Portal_1YT"/>
    <x v="12"/>
    <x v="489"/>
    <x v="19"/>
    <s v="MAIN WEBSITE (HOT)"/>
    <n v="35"/>
    <n v="1"/>
    <x v="0"/>
  </r>
  <r>
    <s v="J144964"/>
    <s v="Old Portal_1YT"/>
    <x v="8"/>
    <x v="490"/>
    <x v="4"/>
    <s v="Referral (HOT)"/>
    <n v="8000"/>
    <n v="3"/>
    <x v="0"/>
  </r>
  <r>
    <s v="D148398"/>
    <s v="Traded Conversions"/>
    <x v="24"/>
    <x v="491"/>
    <x v="3"/>
    <s v="MAIN WEBSITE (HOT)"/>
    <n v="11000"/>
    <n v="1"/>
    <x v="0"/>
  </r>
  <r>
    <s v="D141567"/>
    <s v="Traded Conversions"/>
    <x v="9"/>
    <x v="492"/>
    <x v="20"/>
    <s v="MAIN WEBSITE (HOT) 1"/>
    <n v="1000"/>
    <n v="1"/>
    <x v="2"/>
  </r>
  <r>
    <s v="B125319"/>
    <s v="Traded Conversions"/>
    <x v="17"/>
    <x v="493"/>
    <x v="14"/>
    <s v="MAIN WEBSITE (HOT)"/>
    <n v="2500"/>
    <n v="1"/>
    <x v="1"/>
  </r>
  <r>
    <s v="R116490"/>
    <s v="Traded Conversions"/>
    <x v="30"/>
    <x v="494"/>
    <x v="17"/>
    <s v="Instagram"/>
    <n v="1001"/>
    <n v="2"/>
    <x v="0"/>
  </r>
  <r>
    <s v="H115573"/>
    <s v="Traded Conversions"/>
    <x v="17"/>
    <x v="495"/>
    <x v="17"/>
    <s v="Instagram"/>
    <n v="1000"/>
    <n v="2"/>
    <x v="0"/>
  </r>
  <r>
    <s v="R143063"/>
    <s v="Traded Conversions"/>
    <x v="10"/>
    <x v="496"/>
    <x v="12"/>
    <s v="MAIN WEBSITE (HOT)"/>
    <n v="20000"/>
    <n v="1"/>
    <x v="0"/>
  </r>
  <r>
    <s v="A139925"/>
    <s v="Traded Conversions"/>
    <x v="46"/>
    <x v="497"/>
    <x v="5"/>
    <s v="MAIN WEBSITE (HOT)"/>
    <n v="1000"/>
    <n v="1"/>
    <x v="0"/>
  </r>
  <r>
    <s v="I140349"/>
    <s v="Traded Conversions"/>
    <x v="29"/>
    <x v="498"/>
    <x v="2"/>
    <s v="Meta6"/>
    <n v="1000"/>
    <n v="1"/>
    <x v="0"/>
  </r>
  <r>
    <s v="M147884"/>
    <s v="Traded Conversions"/>
    <x v="3"/>
    <x v="499"/>
    <x v="3"/>
    <s v="MAIN WEBSITE (HOT)"/>
    <n v="10000"/>
    <n v="1"/>
    <x v="0"/>
  </r>
  <r>
    <s v="B141839"/>
    <s v="Old Portal_1YT"/>
    <x v="12"/>
    <x v="500"/>
    <x v="12"/>
    <s v="MAIN WEBSITE (HOT)"/>
    <n v="35000"/>
    <n v="1"/>
    <x v="0"/>
  </r>
  <r>
    <s v="A146059"/>
    <s v="Traded Conversions"/>
    <x v="17"/>
    <x v="501"/>
    <x v="18"/>
    <s v="Referral (HOT)"/>
    <n v="5000"/>
    <n v="3"/>
    <x v="0"/>
  </r>
  <r>
    <s v="S141602"/>
    <s v="Traded Conversions"/>
    <x v="8"/>
    <x v="502"/>
    <x v="26"/>
    <s v="MAIN WEBSITE (HOT)"/>
    <n v="10000"/>
    <n v="1"/>
    <x v="0"/>
  </r>
  <r>
    <s v="F144009"/>
    <s v="Traded Conversions"/>
    <x v="45"/>
    <x v="503"/>
    <x v="7"/>
    <s v="Referral (HOT)"/>
    <n v="25000"/>
    <n v="3"/>
    <x v="0"/>
  </r>
  <r>
    <s v="K145356"/>
    <s v="Traded Conversions"/>
    <x v="43"/>
    <x v="504"/>
    <x v="7"/>
    <s v="Telegram ads"/>
    <n v="5000"/>
    <n v="2"/>
    <x v="0"/>
  </r>
  <r>
    <s v="N147556"/>
    <s v="Old Portal_1YT"/>
    <x v="30"/>
    <x v="505"/>
    <x v="21"/>
    <s v="Referral (HOT)"/>
    <n v="933"/>
    <n v="3"/>
    <x v="0"/>
  </r>
  <r>
    <s v="T140852"/>
    <s v="Old Portal_1YT"/>
    <x v="16"/>
    <x v="506"/>
    <x v="2"/>
    <s v="META3"/>
    <n v="1000"/>
    <n v="3"/>
    <x v="0"/>
  </r>
  <r>
    <s v="R147566"/>
    <s v="Old Portal_1YT"/>
    <x v="26"/>
    <x v="507"/>
    <x v="6"/>
    <s v="Meta Crypto"/>
    <n v="499"/>
    <n v="3"/>
    <x v="0"/>
  </r>
  <r>
    <s v="N113759"/>
    <s v="Traded Conversions"/>
    <x v="28"/>
    <x v="508"/>
    <x v="16"/>
    <s v="MAIN WEBSITE (HOT)"/>
    <n v="1000"/>
    <n v="1"/>
    <x v="0"/>
  </r>
  <r>
    <s v="A147159"/>
    <s v="Traded Conversions"/>
    <x v="4"/>
    <x v="509"/>
    <x v="16"/>
    <s v="Meta6"/>
    <n v="4000"/>
    <n v="1"/>
    <x v="0"/>
  </r>
  <r>
    <s v="D142113"/>
    <s v="Traded Conversions"/>
    <x v="9"/>
    <x v="510"/>
    <x v="19"/>
    <s v="Meta6"/>
    <n v="2000"/>
    <n v="1"/>
    <x v="0"/>
  </r>
  <r>
    <s v="L147776"/>
    <s v="Old Portal_1YT"/>
    <x v="40"/>
    <x v="511"/>
    <x v="25"/>
    <s v="META3"/>
    <n v="500"/>
    <n v="3"/>
    <x v="2"/>
  </r>
  <r>
    <s v="S150553"/>
    <s v="Old Portal_1YT"/>
    <x v="19"/>
    <x v="512"/>
    <x v="16"/>
    <s v="Referral (HOT)"/>
    <n v="1000"/>
    <n v="3"/>
    <x v="0"/>
  </r>
  <r>
    <s v="M145260"/>
    <s v="Traded Conversions"/>
    <x v="27"/>
    <x v="513"/>
    <x v="7"/>
    <s v="Meta6"/>
    <n v="1000"/>
    <n v="1"/>
    <x v="0"/>
  </r>
  <r>
    <s v="R148025"/>
    <s v="Traded Conversions"/>
    <x v="19"/>
    <x v="514"/>
    <x v="0"/>
    <s v="Whatsapp"/>
    <n v="2000"/>
    <n v="2"/>
    <x v="0"/>
  </r>
  <r>
    <s v="S149613"/>
    <s v="Traded Conversions"/>
    <x v="24"/>
    <x v="515"/>
    <x v="8"/>
    <s v="MAIN WEBSITE (HOT)"/>
    <n v="6000"/>
    <n v="1"/>
    <x v="0"/>
  </r>
  <r>
    <s v="R150716"/>
    <s v="Traded Conversions"/>
    <x v="11"/>
    <x v="516"/>
    <x v="1"/>
    <s v="MAIN WEBSITE (HOT)"/>
    <n v="25000"/>
    <n v="1"/>
    <x v="0"/>
  </r>
  <r>
    <s v="A140075"/>
    <s v="Traded Conversions"/>
    <x v="20"/>
    <x v="517"/>
    <x v="26"/>
    <s v="MAIN WEBSITE (HOT)"/>
    <n v="1000"/>
    <n v="1"/>
    <x v="0"/>
  </r>
  <r>
    <s v="D140200"/>
    <s v="Traded Conversions"/>
    <x v="24"/>
    <x v="518"/>
    <x v="14"/>
    <s v="MAIN WEBSITE (HOT)"/>
    <n v="28000"/>
    <n v="1"/>
    <x v="1"/>
  </r>
  <r>
    <s v="A149125"/>
    <s v="Traded Conversions"/>
    <x v="29"/>
    <x v="519"/>
    <x v="9"/>
    <s v="Telegram ads"/>
    <n v="1000"/>
    <n v="2"/>
    <x v="0"/>
  </r>
  <r>
    <s v="S145951"/>
    <s v="Traded Conversions"/>
    <x v="24"/>
    <x v="520"/>
    <x v="18"/>
    <s v="MAIN WEBSITE (HOT)"/>
    <n v="1000"/>
    <n v="1"/>
    <x v="0"/>
  </r>
  <r>
    <s v="G23193"/>
    <s v="Traded Conversions"/>
    <x v="8"/>
    <x v="521"/>
    <x v="15"/>
    <s v="MAIN WEBSITE (HOT)"/>
    <n v="28500"/>
    <n v="1"/>
    <x v="0"/>
  </r>
  <r>
    <s v="B139585"/>
    <s v="Traded Conversions"/>
    <x v="29"/>
    <x v="522"/>
    <x v="24"/>
    <s v="Meta6"/>
    <n v="1000"/>
    <n v="1"/>
    <x v="0"/>
  </r>
  <r>
    <s v="V146846"/>
    <s v="Traded Conversions"/>
    <x v="13"/>
    <x v="523"/>
    <x v="18"/>
    <s v="MAIN WEBSITE (HOT)"/>
    <n v="5000"/>
    <n v="1"/>
    <x v="0"/>
  </r>
  <r>
    <s v="H151333"/>
    <s v="Traded Conversions"/>
    <x v="15"/>
    <x v="524"/>
    <x v="1"/>
    <s v="Meta6"/>
    <n v="7000"/>
    <n v="1"/>
    <x v="0"/>
  </r>
  <r>
    <s v="A139994"/>
    <s v="Traded Conversions"/>
    <x v="12"/>
    <x v="525"/>
    <x v="1"/>
    <s v="Meta6"/>
    <n v="5000"/>
    <n v="1"/>
    <x v="0"/>
  </r>
  <r>
    <s v="D147389"/>
    <s v="Traded Conversions"/>
    <x v="18"/>
    <x v="526"/>
    <x v="3"/>
    <s v="MAIN WEBSITE (HOT)"/>
    <n v="1000"/>
    <n v="1"/>
    <x v="0"/>
  </r>
  <r>
    <s v="W147696"/>
    <s v="Traded Conversions"/>
    <x v="10"/>
    <x v="527"/>
    <x v="3"/>
    <s v="MAIN WEBSITE (HOT)"/>
    <n v="1000"/>
    <n v="1"/>
    <x v="0"/>
  </r>
  <r>
    <s v="V139533"/>
    <s v="Traded Conversions"/>
    <x v="20"/>
    <x v="528"/>
    <x v="22"/>
    <s v="MAIN WEBSITE (HOT)"/>
    <n v="1000"/>
    <n v="1"/>
    <x v="0"/>
  </r>
  <r>
    <s v="S102934"/>
    <s v="Traded Conversions"/>
    <x v="43"/>
    <x v="529"/>
    <x v="0"/>
    <s v="MAIN WEBSITE (HOT)"/>
    <n v="2000"/>
    <n v="1"/>
    <x v="0"/>
  </r>
  <r>
    <s v="N140682"/>
    <s v="Traded Conversions"/>
    <x v="5"/>
    <x v="530"/>
    <x v="8"/>
    <s v="Meta6"/>
    <n v="1000"/>
    <n v="1"/>
    <x v="0"/>
  </r>
  <r>
    <s v="H146515"/>
    <s v="Traded Conversions"/>
    <x v="18"/>
    <x v="531"/>
    <x v="18"/>
    <s v="MAIN WEBSITE (HOT)"/>
    <n v="38000"/>
    <n v="1"/>
    <x v="0"/>
  </r>
  <r>
    <s v="A144285"/>
    <s v="Traded Conversions"/>
    <x v="14"/>
    <x v="532"/>
    <x v="19"/>
    <s v="MAIN WEBSITE (HOT)"/>
    <n v="1000"/>
    <n v="1"/>
    <x v="0"/>
  </r>
  <r>
    <s v="R146056"/>
    <s v="Traded Conversions"/>
    <x v="19"/>
    <x v="533"/>
    <x v="15"/>
    <s v="Telegram ads (digi)"/>
    <n v="10504"/>
    <n v="2"/>
    <x v="0"/>
  </r>
  <r>
    <s v="G142675"/>
    <s v="Traded Conversions"/>
    <x v="19"/>
    <x v="534"/>
    <x v="5"/>
    <s v="Telegram ads"/>
    <n v="1000"/>
    <n v="2"/>
    <x v="0"/>
  </r>
  <r>
    <s v="R142483"/>
    <s v="Traded Conversions"/>
    <x v="14"/>
    <x v="535"/>
    <x v="11"/>
    <s v="MAIN WEBSITE (HOT)"/>
    <n v="40000"/>
    <n v="1"/>
    <x v="0"/>
  </r>
  <r>
    <s v="M141725"/>
    <s v="Traded Conversions"/>
    <x v="24"/>
    <x v="536"/>
    <x v="19"/>
    <s v="MAIN WEBSITE (HOT)"/>
    <n v="1000"/>
    <n v="1"/>
    <x v="0"/>
  </r>
  <r>
    <s v="G142495"/>
    <s v="Traded Conversions"/>
    <x v="9"/>
    <x v="537"/>
    <x v="12"/>
    <s v="Referral (HOT)"/>
    <n v="16000"/>
    <n v="3"/>
    <x v="0"/>
  </r>
  <r>
    <s v="R137073"/>
    <s v="Traded Conversions"/>
    <x v="43"/>
    <x v="538"/>
    <x v="23"/>
    <s v="Telegram ads"/>
    <n v="5000"/>
    <n v="2"/>
    <x v="0"/>
  </r>
  <r>
    <s v="V152341"/>
    <s v="Traded Conversions"/>
    <x v="4"/>
    <x v="539"/>
    <x v="17"/>
    <s v="MAIN WEBSITE (HOT)"/>
    <n v="20000"/>
    <n v="1"/>
    <x v="0"/>
  </r>
  <r>
    <s v="A143105"/>
    <s v="Traded Conversions"/>
    <x v="18"/>
    <x v="540"/>
    <x v="23"/>
    <s v="MAIN WEBSITE (HOT) 1"/>
    <n v="15000"/>
    <n v="1"/>
    <x v="0"/>
  </r>
  <r>
    <s v="S146550"/>
    <s v="Traded Conversions"/>
    <x v="8"/>
    <x v="541"/>
    <x v="10"/>
    <s v="Meta6"/>
    <n v="1000"/>
    <n v="1"/>
    <x v="0"/>
  </r>
  <r>
    <s v="J143853"/>
    <s v="Traded Conversions"/>
    <x v="10"/>
    <x v="542"/>
    <x v="7"/>
    <s v="MAIN WEBSITE (HOT)"/>
    <n v="1000"/>
    <n v="1"/>
    <x v="0"/>
  </r>
  <r>
    <s v="M149893"/>
    <s v="Traded Conversions"/>
    <x v="15"/>
    <x v="543"/>
    <x v="9"/>
    <s v="Telegram ads"/>
    <n v="2000"/>
    <n v="2"/>
    <x v="0"/>
  </r>
  <r>
    <s v="P131453"/>
    <s v="Traded Conversions"/>
    <x v="30"/>
    <x v="544"/>
    <x v="10"/>
    <s v="MAIN WEBSITE (HOT)"/>
    <n v="1000"/>
    <n v="1"/>
    <x v="0"/>
  </r>
  <r>
    <s v="M140370"/>
    <s v="Old Portal_1YT"/>
    <x v="8"/>
    <x v="545"/>
    <x v="2"/>
    <s v="MAIN WEBSITE (HOT)"/>
    <n v="2000"/>
    <n v="1"/>
    <x v="0"/>
  </r>
  <r>
    <s v="U131118"/>
    <s v="Old Portal_1YT"/>
    <x v="3"/>
    <x v="546"/>
    <x v="26"/>
    <s v="MAIN WEBSITE (HOT)"/>
    <n v="472.5"/>
    <n v="1"/>
    <x v="0"/>
  </r>
  <r>
    <s v="A135643"/>
    <s v="Old Portal_1YT"/>
    <x v="30"/>
    <x v="547"/>
    <x v="5"/>
    <s v="Telegram"/>
    <n v="1000"/>
    <n v="2"/>
    <x v="0"/>
  </r>
  <r>
    <s v="D137494"/>
    <s v="Old Portal_1YT"/>
    <x v="33"/>
    <x v="548"/>
    <x v="10"/>
    <s v="MAIN WEBSITE (HOT)"/>
    <n v="1000"/>
    <n v="1"/>
    <x v="0"/>
  </r>
  <r>
    <s v="J139752"/>
    <s v="Old Portal_1YT"/>
    <x v="34"/>
    <x v="549"/>
    <x v="4"/>
    <s v="META3"/>
    <n v="1000"/>
    <n v="3"/>
    <x v="0"/>
  </r>
  <r>
    <s v="D146781"/>
    <s v="Old Portal_1YT"/>
    <x v="1"/>
    <x v="550"/>
    <x v="6"/>
    <s v="Instagram"/>
    <n v="2000"/>
    <n v="2"/>
    <x v="0"/>
  </r>
  <r>
    <s v="R147571"/>
    <s v="Old Portal_1YT"/>
    <x v="34"/>
    <x v="551"/>
    <x v="8"/>
    <s v="META3"/>
    <n v="736"/>
    <n v="3"/>
    <x v="0"/>
  </r>
  <r>
    <s v="B139025"/>
    <s v="Old Portal_1YT"/>
    <x v="47"/>
    <x v="552"/>
    <x v="2"/>
    <s v="MAIN WEBSITE (HOT)"/>
    <n v="1000"/>
    <n v="1"/>
    <x v="0"/>
  </r>
  <r>
    <s v="M134081"/>
    <s v="Old Portal_1YT"/>
    <x v="19"/>
    <x v="553"/>
    <x v="18"/>
    <s v="MAIN WEBSITE (HOT)"/>
    <n v="3000"/>
    <n v="1"/>
    <x v="0"/>
  </r>
  <r>
    <s v="S147875"/>
    <s v="Old Portal_1YT"/>
    <x v="4"/>
    <x v="554"/>
    <x v="6"/>
    <s v="DV1"/>
    <n v="5500"/>
    <n v="2"/>
    <x v="0"/>
  </r>
  <r>
    <s v="A146696"/>
    <s v="Old Portal_1YT"/>
    <x v="36"/>
    <x v="555"/>
    <x v="8"/>
    <s v="META3"/>
    <n v="501"/>
    <n v="3"/>
    <x v="0"/>
  </r>
  <r>
    <s v="I140655"/>
    <s v="Traded Conversions"/>
    <x v="24"/>
    <x v="556"/>
    <x v="2"/>
    <s v="MAIN WEBSITE (HOT)"/>
    <n v="1000"/>
    <n v="1"/>
    <x v="0"/>
  </r>
  <r>
    <s v="T146153"/>
    <s v="Traded Conversions"/>
    <x v="48"/>
    <x v="557"/>
    <x v="6"/>
    <s v="Telegram ads"/>
    <n v="1001"/>
    <n v="2"/>
    <x v="0"/>
  </r>
  <r>
    <s v="M67126"/>
    <s v="Traded Conversions"/>
    <x v="45"/>
    <x v="558"/>
    <x v="2"/>
    <s v="Meta6"/>
    <n v="1000"/>
    <n v="1"/>
    <x v="0"/>
  </r>
  <r>
    <s v="H137354"/>
    <s v="Traded Conversions"/>
    <x v="20"/>
    <x v="559"/>
    <x v="26"/>
    <s v="MAIN WEBSITE (HOT)"/>
    <n v="1500"/>
    <n v="1"/>
    <x v="0"/>
  </r>
  <r>
    <s v="M139182"/>
    <s v="Traded Conversions"/>
    <x v="1"/>
    <x v="560"/>
    <x v="24"/>
    <s v="META3"/>
    <n v="1001"/>
    <n v="3"/>
    <x v="0"/>
  </r>
  <r>
    <s v="V56349"/>
    <s v="Traded Conversions"/>
    <x v="17"/>
    <x v="561"/>
    <x v="24"/>
    <s v="Meta6"/>
    <n v="1000"/>
    <n v="1"/>
    <x v="0"/>
  </r>
  <r>
    <s v="S141536"/>
    <s v="Traded Conversions"/>
    <x v="14"/>
    <x v="562"/>
    <x v="20"/>
    <s v="Meta6"/>
    <n v="15000"/>
    <n v="1"/>
    <x v="2"/>
  </r>
  <r>
    <s v="S138102"/>
    <s v="Traded Conversions"/>
    <x v="10"/>
    <x v="563"/>
    <x v="19"/>
    <s v="Referral (HOT)"/>
    <n v="6000"/>
    <n v="3"/>
    <x v="0"/>
  </r>
  <r>
    <s v="R138463"/>
    <s v="Traded Conversions"/>
    <x v="10"/>
    <x v="564"/>
    <x v="2"/>
    <s v="MAIN WEBSITE (HOT)"/>
    <n v="2000"/>
    <n v="1"/>
    <x v="0"/>
  </r>
  <r>
    <s v="V131082"/>
    <s v="Traded Conversions"/>
    <x v="17"/>
    <x v="565"/>
    <x v="13"/>
    <s v="Referral (HOT)"/>
    <n v="1000"/>
    <n v="3"/>
    <x v="1"/>
  </r>
  <r>
    <s v="M148454"/>
    <s v="Traded Conversions"/>
    <x v="11"/>
    <x v="566"/>
    <x v="23"/>
    <s v="META2"/>
    <n v="3000"/>
    <n v="3"/>
    <x v="0"/>
  </r>
  <r>
    <s v="C136342"/>
    <s v="Traded Conversions"/>
    <x v="13"/>
    <x v="567"/>
    <x v="2"/>
    <s v="Referral (HOT)"/>
    <n v="1000"/>
    <n v="3"/>
    <x v="0"/>
  </r>
  <r>
    <s v="A140417"/>
    <s v="Traded Conversions"/>
    <x v="11"/>
    <x v="568"/>
    <x v="26"/>
    <s v="MAIN WEBSITE (HOT)"/>
    <n v="1000"/>
    <n v="1"/>
    <x v="0"/>
  </r>
  <r>
    <s v="K139882"/>
    <s v="Traded Conversions"/>
    <x v="24"/>
    <x v="569"/>
    <x v="11"/>
    <s v="MAIN WEBSITE (HOT)"/>
    <n v="5000"/>
    <n v="1"/>
    <x v="0"/>
  </r>
  <r>
    <s v="V142662"/>
    <s v="Traded Conversions"/>
    <x v="20"/>
    <x v="570"/>
    <x v="11"/>
    <s v="MAIN WEBSITE (HOT)"/>
    <n v="2000"/>
    <n v="1"/>
    <x v="0"/>
  </r>
  <r>
    <s v="D140089"/>
    <s v="Traded Conversions"/>
    <x v="45"/>
    <x v="571"/>
    <x v="24"/>
    <s v="Meta6"/>
    <n v="1000"/>
    <n v="1"/>
    <x v="0"/>
  </r>
  <r>
    <s v="S132747"/>
    <s v="Traded Conversions"/>
    <x v="43"/>
    <x v="572"/>
    <x v="3"/>
    <s v="Meta6"/>
    <n v="1000"/>
    <n v="1"/>
    <x v="0"/>
  </r>
  <r>
    <s v="M145826"/>
    <s v="Traded Conversions"/>
    <x v="14"/>
    <x v="573"/>
    <x v="4"/>
    <s v="MAIN WEBSITE (HOT)"/>
    <n v="2000"/>
    <n v="1"/>
    <x v="0"/>
  </r>
  <r>
    <s v="S141067"/>
    <s v="Traded Conversions"/>
    <x v="27"/>
    <x v="574"/>
    <x v="21"/>
    <s v="MAIN WEBSITE (HOT)"/>
    <n v="5000"/>
    <n v="1"/>
    <x v="0"/>
  </r>
  <r>
    <s v="R146797"/>
    <s v="Traded Conversions"/>
    <x v="11"/>
    <x v="575"/>
    <x v="0"/>
    <s v="MAIN WEBSITE (HOT) 1"/>
    <n v="4000"/>
    <n v="1"/>
    <x v="0"/>
  </r>
  <r>
    <s v="S133706"/>
    <s v="Old Portal_1YT"/>
    <x v="29"/>
    <x v="576"/>
    <x v="2"/>
    <s v="MAIN WEBSITE (HOT) 1"/>
    <n v="1000"/>
    <n v="1"/>
    <x v="0"/>
  </r>
  <r>
    <s v="I135236"/>
    <s v="Old Portal_1YT"/>
    <x v="36"/>
    <x v="577"/>
    <x v="2"/>
    <s v="MAIN WEBSITE (HOT)"/>
    <n v="451"/>
    <n v="1"/>
    <x v="0"/>
  </r>
  <r>
    <s v="S137772"/>
    <s v="Old Portal_1YT"/>
    <x v="26"/>
    <x v="578"/>
    <x v="22"/>
    <s v="Telegram"/>
    <n v="10000"/>
    <n v="2"/>
    <x v="0"/>
  </r>
  <r>
    <s v="R145902"/>
    <s v="Old Portal_1YT"/>
    <x v="8"/>
    <x v="579"/>
    <x v="18"/>
    <s v="META3"/>
    <n v="233"/>
    <n v="3"/>
    <x v="0"/>
  </r>
  <r>
    <s v="A138081"/>
    <s v="Old Portal_1YT"/>
    <x v="2"/>
    <x v="580"/>
    <x v="8"/>
    <s v="Direct (HOT)"/>
    <n v="2000"/>
    <n v="1"/>
    <x v="0"/>
  </r>
  <r>
    <s v="A136677"/>
    <s v="Traded Conversions"/>
    <x v="10"/>
    <x v="581"/>
    <x v="4"/>
    <s v="MAIN WEBSITE (HOT)"/>
    <n v="1000"/>
    <n v="1"/>
    <x v="0"/>
  </r>
  <r>
    <s v="K134624"/>
    <s v="Traded Conversions"/>
    <x v="12"/>
    <x v="582"/>
    <x v="2"/>
    <s v="Referral (HOT)"/>
    <n v="1000"/>
    <n v="3"/>
    <x v="0"/>
  </r>
  <r>
    <s v="T146043"/>
    <s v="Traded Conversions"/>
    <x v="46"/>
    <x v="583"/>
    <x v="18"/>
    <s v="META-E"/>
    <n v="1000"/>
    <n v="3"/>
    <x v="0"/>
  </r>
  <r>
    <s v="P151396"/>
    <s v="Traded Conversions"/>
    <x v="11"/>
    <x v="584"/>
    <x v="17"/>
    <s v="MAIN WEBSITE (HOT)"/>
    <n v="2000"/>
    <n v="1"/>
    <x v="0"/>
  </r>
  <r>
    <s v="M141277"/>
    <s v="Traded Conversions"/>
    <x v="26"/>
    <x v="585"/>
    <x v="14"/>
    <s v="MAIN WEBSITE (HOT)"/>
    <n v="1000"/>
    <n v="1"/>
    <x v="1"/>
  </r>
  <r>
    <s v="S152976"/>
    <s v="Traded Conversions"/>
    <x v="11"/>
    <x v="586"/>
    <x v="16"/>
    <s v="MAIN WEBSITE (HOT)"/>
    <n v="2000"/>
    <n v="1"/>
    <x v="0"/>
  </r>
  <r>
    <s v="S138105"/>
    <s v="Old Portal_1YT"/>
    <x v="17"/>
    <x v="587"/>
    <x v="5"/>
    <s v="WA"/>
    <n v="447"/>
    <n v="2"/>
    <x v="0"/>
  </r>
  <r>
    <s v="R142758"/>
    <s v="Old Portal_1YT"/>
    <x v="12"/>
    <x v="588"/>
    <x v="9"/>
    <s v="MAIN WEBSITE (HOT)"/>
    <n v="2000"/>
    <n v="1"/>
    <x v="0"/>
  </r>
  <r>
    <s v="S136541"/>
    <s v="Traded Conversions"/>
    <x v="10"/>
    <x v="589"/>
    <x v="14"/>
    <s v="MAIN WEBSITE (HOT)"/>
    <n v="1001"/>
    <n v="1"/>
    <x v="1"/>
  </r>
  <r>
    <s v="G107144"/>
    <s v="Traded Conversions"/>
    <x v="15"/>
    <x v="590"/>
    <x v="2"/>
    <s v="Meta6"/>
    <n v="1000"/>
    <n v="1"/>
    <x v="0"/>
  </r>
  <r>
    <s v="R138975"/>
    <s v="Traded Conversions"/>
    <x v="10"/>
    <x v="591"/>
    <x v="22"/>
    <s v="MAIN WEBSITE (HOT)"/>
    <n v="1000"/>
    <n v="1"/>
    <x v="0"/>
  </r>
  <r>
    <s v="S145893"/>
    <s v="Traded Conversions"/>
    <x v="5"/>
    <x v="592"/>
    <x v="6"/>
    <s v="META3"/>
    <n v="1000"/>
    <n v="3"/>
    <x v="0"/>
  </r>
  <r>
    <s v="A148064"/>
    <s v="Traded Conversions"/>
    <x v="24"/>
    <x v="374"/>
    <x v="21"/>
    <s v="MAIN WEBSITE (HOT)"/>
    <n v="10000"/>
    <n v="1"/>
    <x v="0"/>
  </r>
  <r>
    <s v="D140402"/>
    <s v="Traded Conversions"/>
    <x v="20"/>
    <x v="593"/>
    <x v="2"/>
    <s v="MAIN WEBSITE (HOT)"/>
    <n v="1000"/>
    <n v="1"/>
    <x v="0"/>
  </r>
  <r>
    <s v="S139609"/>
    <s v="Traded Conversions"/>
    <x v="32"/>
    <x v="594"/>
    <x v="22"/>
    <s v="Meta6"/>
    <n v="1000"/>
    <n v="1"/>
    <x v="0"/>
  </r>
  <r>
    <s v="S111087"/>
    <s v="Not traded new panel"/>
    <x v="1"/>
    <x v="595"/>
    <x v="3"/>
    <s v="Telegram"/>
    <n v="1000"/>
    <n v="2"/>
    <x v="0"/>
  </r>
  <r>
    <s v="S93173"/>
    <s v="Traded Conversions"/>
    <x v="21"/>
    <x v="596"/>
    <x v="0"/>
    <s v="MAIN WEBSITE (HOT)"/>
    <n v="1000"/>
    <n v="1"/>
    <x v="0"/>
  </r>
  <r>
    <s v="K134834"/>
    <s v="Traded Conversions"/>
    <x v="4"/>
    <x v="597"/>
    <x v="24"/>
    <s v="Meta6"/>
    <n v="1000"/>
    <n v="1"/>
    <x v="0"/>
  </r>
  <r>
    <s v="S146954"/>
    <s v="Traded Conversions"/>
    <x v="11"/>
    <x v="598"/>
    <x v="10"/>
    <s v="MAIN WEBSITE (HOT)"/>
    <n v="5000"/>
    <n v="1"/>
    <x v="0"/>
  </r>
  <r>
    <s v="S148279"/>
    <s v="Traded Conversions"/>
    <x v="6"/>
    <x v="599"/>
    <x v="16"/>
    <s v="Referral (HOT)"/>
    <n v="4000"/>
    <n v="3"/>
    <x v="0"/>
  </r>
  <r>
    <s v="K142061"/>
    <s v="Traded Conversions"/>
    <x v="45"/>
    <x v="600"/>
    <x v="26"/>
    <s v="Referral (HOT)"/>
    <n v="2000"/>
    <n v="3"/>
    <x v="0"/>
  </r>
  <r>
    <s v="A142269"/>
    <s v="Traded Conversions"/>
    <x v="3"/>
    <x v="601"/>
    <x v="11"/>
    <s v="Referral (HOT)"/>
    <n v="3000"/>
    <n v="3"/>
    <x v="0"/>
  </r>
  <r>
    <s v="S148429"/>
    <s v="Traded Conversions"/>
    <x v="8"/>
    <x v="602"/>
    <x v="21"/>
    <s v="Referral (HOT)"/>
    <n v="10000"/>
    <n v="3"/>
    <x v="0"/>
  </r>
  <r>
    <s v="S152335"/>
    <s v="Old Portal_1YT"/>
    <x v="17"/>
    <x v="603"/>
    <x v="16"/>
    <s v="MAIN WEBSITE (HOT)"/>
    <n v="789"/>
    <n v="1"/>
    <x v="0"/>
  </r>
  <r>
    <s v="V145641"/>
    <s v="Old Portal_1YT"/>
    <x v="11"/>
    <x v="604"/>
    <x v="4"/>
    <s v="MAIN WEBSITE (HOT)"/>
    <n v="3003"/>
    <n v="1"/>
    <x v="0"/>
  </r>
  <r>
    <s v="M138676"/>
    <s v="Old Portal_1YT"/>
    <x v="27"/>
    <x v="605"/>
    <x v="26"/>
    <s v="Referral (HOT)"/>
    <n v="1000"/>
    <n v="3"/>
    <x v="0"/>
  </r>
  <r>
    <s v="S143608"/>
    <s v="Traded Conversions"/>
    <x v="12"/>
    <x v="606"/>
    <x v="5"/>
    <s v="Referral (HOT)"/>
    <n v="1000"/>
    <n v="3"/>
    <x v="0"/>
  </r>
  <r>
    <s v="S147257"/>
    <s v="Traded Conversions"/>
    <x v="18"/>
    <x v="607"/>
    <x v="1"/>
    <s v="Referral (HOT)"/>
    <n v="1000"/>
    <n v="3"/>
    <x v="0"/>
  </r>
  <r>
    <s v="Y151108"/>
    <s v="Traded Conversions"/>
    <x v="18"/>
    <x v="608"/>
    <x v="3"/>
    <s v="Referral (HOT)"/>
    <n v="1000"/>
    <n v="3"/>
    <x v="0"/>
  </r>
  <r>
    <s v="M124492"/>
    <s v="Traded Conversions"/>
    <x v="7"/>
    <x v="609"/>
    <x v="8"/>
    <s v="MAIN WEBSITE (HOT)"/>
    <n v="1000"/>
    <n v="1"/>
    <x v="0"/>
  </r>
  <r>
    <s v="P145312"/>
    <s v="Traded Conversions"/>
    <x v="14"/>
    <x v="610"/>
    <x v="18"/>
    <s v="MAIN WEBSITE (HOT)"/>
    <n v="9000"/>
    <n v="1"/>
    <x v="0"/>
  </r>
  <r>
    <s v="V148682"/>
    <s v="Traded Conversions"/>
    <x v="20"/>
    <x v="611"/>
    <x v="21"/>
    <s v="Referral (HOT)"/>
    <n v="1000"/>
    <n v="3"/>
    <x v="0"/>
  </r>
  <r>
    <s v="Y149325"/>
    <s v="Traded Conversions"/>
    <x v="11"/>
    <x v="612"/>
    <x v="0"/>
    <s v="MAIN WEBSITE (HOT)"/>
    <n v="1000"/>
    <n v="1"/>
    <x v="0"/>
  </r>
  <r>
    <s v="K124274"/>
    <s v="Traded Conversions"/>
    <x v="37"/>
    <x v="613"/>
    <x v="25"/>
    <s v="MAIN WEBSITE (HOT)"/>
    <n v="5000"/>
    <n v="1"/>
    <x v="2"/>
  </r>
  <r>
    <s v="M143896"/>
    <s v="Traded Conversions"/>
    <x v="43"/>
    <x v="614"/>
    <x v="23"/>
    <s v="Referral (HOT)"/>
    <n v="20000"/>
    <n v="3"/>
    <x v="0"/>
  </r>
  <r>
    <s v="N140276"/>
    <s v="Traded Conversions"/>
    <x v="11"/>
    <x v="615"/>
    <x v="24"/>
    <s v="MAIN WEBSITE (HOT)"/>
    <n v="10000"/>
    <n v="1"/>
    <x v="0"/>
  </r>
  <r>
    <s v="S140155"/>
    <s v="Traded Conversions"/>
    <x v="11"/>
    <x v="616"/>
    <x v="24"/>
    <s v="MAIN WEBSITE (HOT)"/>
    <n v="5000"/>
    <n v="1"/>
    <x v="0"/>
  </r>
  <r>
    <s v="A145372"/>
    <s v="Traded Conversions"/>
    <x v="20"/>
    <x v="617"/>
    <x v="4"/>
    <s v="MAIN WEBSITE (HOT)"/>
    <n v="4500"/>
    <n v="1"/>
    <x v="0"/>
  </r>
  <r>
    <s v="S124307"/>
    <s v="Traded Conversions"/>
    <x v="17"/>
    <x v="618"/>
    <x v="1"/>
    <s v="MAIN WEBSITE (HOT)"/>
    <n v="1000"/>
    <n v="1"/>
    <x v="0"/>
  </r>
  <r>
    <s v="A146793"/>
    <s v="Traded Conversions"/>
    <x v="8"/>
    <x v="619"/>
    <x v="1"/>
    <s v="MAIN WEBSITE (HOT)"/>
    <n v="50000"/>
    <n v="1"/>
    <x v="0"/>
  </r>
  <r>
    <s v="M113490"/>
    <s v="Traded Conversions"/>
    <x v="30"/>
    <x v="620"/>
    <x v="15"/>
    <s v="MAIN WEBSITE (HOT)"/>
    <n v="1000"/>
    <n v="1"/>
    <x v="0"/>
  </r>
  <r>
    <s v="S143062"/>
    <s v="Traded Conversions"/>
    <x v="18"/>
    <x v="621"/>
    <x v="15"/>
    <s v="MAIN WEBSITE (HOT)"/>
    <n v="6000"/>
    <n v="1"/>
    <x v="0"/>
  </r>
  <r>
    <s v="T150650"/>
    <s v="Traded Conversions"/>
    <x v="11"/>
    <x v="622"/>
    <x v="9"/>
    <s v="MAIN WEBSITE (HOT)"/>
    <n v="50000"/>
    <n v="1"/>
    <x v="0"/>
  </r>
  <r>
    <s v="V123264"/>
    <s v="Traded Conversions"/>
    <x v="17"/>
    <x v="623"/>
    <x v="5"/>
    <s v="MAIN WEBSITE (HOT)"/>
    <n v="2000"/>
    <n v="1"/>
    <x v="0"/>
  </r>
  <r>
    <s v="S149193"/>
    <s v="Traded Conversions"/>
    <x v="19"/>
    <x v="624"/>
    <x v="0"/>
    <s v="MAIN WEBSITE (HOT)"/>
    <n v="1000"/>
    <n v="1"/>
    <x v="0"/>
  </r>
  <r>
    <s v="M141315"/>
    <s v="Traded Conversions"/>
    <x v="29"/>
    <x v="625"/>
    <x v="4"/>
    <s v="Meta6"/>
    <n v="1000"/>
    <n v="1"/>
    <x v="0"/>
  </r>
  <r>
    <s v="A144176"/>
    <s v="Traded Conversions"/>
    <x v="41"/>
    <x v="626"/>
    <x v="7"/>
    <s v="Referral (HOT)"/>
    <n v="2000"/>
    <n v="3"/>
    <x v="0"/>
  </r>
  <r>
    <s v="S115361"/>
    <s v="Traded Conversions"/>
    <x v="46"/>
    <x v="627"/>
    <x v="15"/>
    <s v="MAIN WEBSITE (HOT)"/>
    <n v="1000"/>
    <n v="1"/>
    <x v="0"/>
  </r>
  <r>
    <s v="J145407"/>
    <s v="Traded Conversions"/>
    <x v="20"/>
    <x v="628"/>
    <x v="4"/>
    <s v="MAIN WEBSITE (HOT)"/>
    <n v="3698"/>
    <n v="1"/>
    <x v="0"/>
  </r>
  <r>
    <s v="N140946"/>
    <s v="Traded Conversions"/>
    <x v="18"/>
    <x v="629"/>
    <x v="10"/>
    <s v="MAIN WEBSITE (HOT)"/>
    <n v="2000"/>
    <n v="1"/>
    <x v="0"/>
  </r>
  <r>
    <s v="G152789"/>
    <s v="Traded Conversions"/>
    <x v="12"/>
    <x v="630"/>
    <x v="16"/>
    <s v="Referral (HOT)"/>
    <n v="1000"/>
    <n v="3"/>
    <x v="0"/>
  </r>
  <r>
    <s v="S138704"/>
    <s v="Traded Conversions"/>
    <x v="25"/>
    <x v="631"/>
    <x v="17"/>
    <s v="Meta6"/>
    <n v="1000"/>
    <n v="1"/>
    <x v="0"/>
  </r>
  <r>
    <s v="S147490"/>
    <s v="Traded Conversions"/>
    <x v="18"/>
    <x v="632"/>
    <x v="6"/>
    <s v="MAIN WEBSITE (HOT)"/>
    <n v="51000"/>
    <n v="1"/>
    <x v="0"/>
  </r>
  <r>
    <s v="S113064"/>
    <s v="Traded Conversions"/>
    <x v="21"/>
    <x v="633"/>
    <x v="19"/>
    <s v="Meta Crypto"/>
    <n v="1000"/>
    <n v="3"/>
    <x v="0"/>
  </r>
  <r>
    <s v="R144914"/>
    <s v="Traded Conversions"/>
    <x v="14"/>
    <x v="634"/>
    <x v="6"/>
    <s v="MAIN WEBSITE (HOT)"/>
    <n v="2000"/>
    <n v="1"/>
    <x v="0"/>
  </r>
  <r>
    <s v="P147957"/>
    <s v="Traded Conversions"/>
    <x v="12"/>
    <x v="635"/>
    <x v="6"/>
    <s v="Meta6"/>
    <n v="1000"/>
    <n v="1"/>
    <x v="0"/>
  </r>
  <r>
    <s v="D139736"/>
    <s v="Traded Conversions"/>
    <x v="20"/>
    <x v="636"/>
    <x v="22"/>
    <s v="MAIN WEBSITE (HOT)"/>
    <n v="200000"/>
    <n v="1"/>
    <x v="0"/>
  </r>
  <r>
    <s v="P141574"/>
    <s v="Traded Conversions"/>
    <x v="38"/>
    <x v="637"/>
    <x v="18"/>
    <s v="MAIN WEBSITE (HOT)"/>
    <n v="1000"/>
    <n v="1"/>
    <x v="0"/>
  </r>
  <r>
    <s v="P146710"/>
    <s v="Old Portal_1YT"/>
    <x v="50"/>
    <x v="638"/>
    <x v="8"/>
    <s v="MAIN WEBSITE (HOT)"/>
    <n v="16605"/>
    <n v="1"/>
    <x v="0"/>
  </r>
  <r>
    <s v="S143397"/>
    <s v="Old Portal_1YT"/>
    <x v="20"/>
    <x v="639"/>
    <x v="19"/>
    <s v="MAIN WEBSITE (HOT)"/>
    <n v="1000"/>
    <n v="1"/>
    <x v="0"/>
  </r>
  <r>
    <s v="B146721"/>
    <s v="Old Portal_1YT"/>
    <x v="34"/>
    <x v="640"/>
    <x v="25"/>
    <s v="Referral (HOT)"/>
    <n v="4070"/>
    <n v="3"/>
    <x v="2"/>
  </r>
  <r>
    <s v="F142615"/>
    <s v="Old Portal_1YT"/>
    <x v="45"/>
    <x v="641"/>
    <x v="11"/>
    <s v="MAIN WEBSITE (HOT) 1"/>
    <n v="2000"/>
    <n v="1"/>
    <x v="0"/>
  </r>
  <r>
    <s v="M148305"/>
    <s v="Old Portal_1YT"/>
    <x v="27"/>
    <x v="642"/>
    <x v="8"/>
    <s v="MAIN WEBSITE (HOT)"/>
    <n v="27"/>
    <n v="1"/>
    <x v="0"/>
  </r>
  <r>
    <s v="S145422"/>
    <s v="Old Portal_1YT"/>
    <x v="19"/>
    <x v="643"/>
    <x v="10"/>
    <s v="MAIN WEBSITE (HOT)"/>
    <n v="5000"/>
    <n v="1"/>
    <x v="0"/>
  </r>
  <r>
    <s v="S147142"/>
    <s v="Old Portal_1YT"/>
    <x v="8"/>
    <x v="644"/>
    <x v="6"/>
    <s v="MAIN WEBSITE (HOT)"/>
    <n v="1000"/>
    <n v="1"/>
    <x v="0"/>
  </r>
  <r>
    <s v="P145404"/>
    <s v="Old Portal_1YT"/>
    <x v="15"/>
    <x v="645"/>
    <x v="4"/>
    <s v="Telegram"/>
    <n v="1050"/>
    <n v="2"/>
    <x v="0"/>
  </r>
  <r>
    <s v="N123560"/>
    <s v="Traded Conversions"/>
    <x v="17"/>
    <x v="646"/>
    <x v="1"/>
    <s v="Meta6"/>
    <n v="4000"/>
    <n v="1"/>
    <x v="0"/>
  </r>
  <r>
    <s v="S140031"/>
    <s v="Traded Conversions"/>
    <x v="2"/>
    <x v="647"/>
    <x v="24"/>
    <s v="Referral (HOT)"/>
    <n v="3000"/>
    <n v="3"/>
    <x v="0"/>
  </r>
  <r>
    <s v="F141612"/>
    <s v="Traded Conversions"/>
    <x v="20"/>
    <x v="648"/>
    <x v="20"/>
    <s v="Referral (HOT)"/>
    <n v="1000"/>
    <n v="3"/>
    <x v="2"/>
  </r>
  <r>
    <s v="J140294"/>
    <s v="Traded Conversions"/>
    <x v="4"/>
    <x v="649"/>
    <x v="24"/>
    <s v="META3"/>
    <n v="12000"/>
    <n v="3"/>
    <x v="0"/>
  </r>
  <r>
    <s v="S132316"/>
    <s v="Traded Conversions"/>
    <x v="18"/>
    <x v="650"/>
    <x v="4"/>
    <s v="MAIN WEBSITE (HOT)"/>
    <n v="1000"/>
    <n v="1"/>
    <x v="0"/>
  </r>
  <r>
    <s v="B132413"/>
    <s v="Traded Conversions"/>
    <x v="24"/>
    <x v="651"/>
    <x v="12"/>
    <s v="MAIN WEBSITE (HOT)"/>
    <n v="14000"/>
    <n v="1"/>
    <x v="0"/>
  </r>
  <r>
    <s v="L139526"/>
    <s v="Traded Conversions"/>
    <x v="20"/>
    <x v="652"/>
    <x v="2"/>
    <s v="MAIN WEBSITE (HOT)"/>
    <n v="1000"/>
    <n v="1"/>
    <x v="0"/>
  </r>
  <r>
    <s v="D144456"/>
    <s v="Traded Conversions"/>
    <x v="12"/>
    <x v="653"/>
    <x v="19"/>
    <s v="Referral (HOT)"/>
    <n v="5000"/>
    <n v="3"/>
    <x v="0"/>
  </r>
  <r>
    <s v="P142491"/>
    <s v="Traded Conversions"/>
    <x v="48"/>
    <x v="654"/>
    <x v="12"/>
    <s v="Telegram ads"/>
    <n v="2000"/>
    <n v="2"/>
    <x v="0"/>
  </r>
  <r>
    <s v="A143181"/>
    <s v="Traded Conversions"/>
    <x v="42"/>
    <x v="655"/>
    <x v="12"/>
    <s v="Telegram"/>
    <n v="4000"/>
    <n v="2"/>
    <x v="0"/>
  </r>
  <r>
    <s v="A143387"/>
    <s v="Traded Conversions"/>
    <x v="18"/>
    <x v="656"/>
    <x v="1"/>
    <s v="Telegram"/>
    <n v="1000"/>
    <n v="2"/>
    <x v="0"/>
  </r>
  <r>
    <s v="A147212"/>
    <s v="Traded Conversions"/>
    <x v="10"/>
    <x v="657"/>
    <x v="23"/>
    <s v="MAIN WEBSITE (HOT)"/>
    <n v="5000"/>
    <n v="1"/>
    <x v="0"/>
  </r>
  <r>
    <s v="H146584"/>
    <s v="Traded Conversions"/>
    <x v="10"/>
    <x v="658"/>
    <x v="18"/>
    <s v="Referral (HOT)"/>
    <n v="10000"/>
    <n v="3"/>
    <x v="0"/>
  </r>
  <r>
    <s v="T146494"/>
    <s v="Traded Conversions"/>
    <x v="11"/>
    <x v="659"/>
    <x v="18"/>
    <s v="MAIN WEBSITE (HOT)"/>
    <n v="20000"/>
    <n v="1"/>
    <x v="0"/>
  </r>
  <r>
    <s v="N137051"/>
    <s v="Traded Conversions"/>
    <x v="3"/>
    <x v="660"/>
    <x v="17"/>
    <s v="MAIN WEBSITE (HOT)"/>
    <n v="1000"/>
    <n v="1"/>
    <x v="0"/>
  </r>
  <r>
    <s v="R145707"/>
    <s v="Traded Conversions"/>
    <x v="26"/>
    <x v="661"/>
    <x v="4"/>
    <s v="MAIN WEBSITE (HOT) 1"/>
    <n v="1000"/>
    <n v="1"/>
    <x v="0"/>
  </r>
  <r>
    <s v="S139714"/>
    <s v="Old Portal_1YT"/>
    <x v="14"/>
    <x v="662"/>
    <x v="26"/>
    <s v="MAIN WEBSITE (HOT) 1"/>
    <n v="1000"/>
    <n v="1"/>
    <x v="0"/>
  </r>
  <r>
    <s v="K151372"/>
    <s v="Old Portal_1YT"/>
    <x v="8"/>
    <x v="663"/>
    <x v="1"/>
    <s v="MAIN WEBSITE (HOT)"/>
    <n v="2000"/>
    <n v="1"/>
    <x v="0"/>
  </r>
  <r>
    <s v="R143233"/>
    <s v="Old Portal_1YT"/>
    <x v="0"/>
    <x v="664"/>
    <x v="0"/>
    <s v="MAIN WEBSITE (HOT) 1"/>
    <n v="501"/>
    <n v="1"/>
    <x v="0"/>
  </r>
  <r>
    <s v="S139199"/>
    <s v="Traded Conversions"/>
    <x v="20"/>
    <x v="665"/>
    <x v="19"/>
    <s v="Referral (HOT)"/>
    <n v="3000"/>
    <n v="3"/>
    <x v="0"/>
  </r>
  <r>
    <s v="K138956"/>
    <s v="Traded Conversions"/>
    <x v="6"/>
    <x v="666"/>
    <x v="22"/>
    <s v="Referral (HOT)"/>
    <n v="1000"/>
    <n v="3"/>
    <x v="0"/>
  </r>
  <r>
    <s v="V24147"/>
    <s v="Traded Conversions"/>
    <x v="20"/>
    <x v="667"/>
    <x v="28"/>
    <s v="MAIN WEBSITE (HOT)"/>
    <n v="10000"/>
    <n v="1"/>
    <x v="1"/>
  </r>
  <r>
    <s v="D134534"/>
    <s v="Traded Conversions"/>
    <x v="11"/>
    <x v="668"/>
    <x v="12"/>
    <s v="Referral (HOT)"/>
    <n v="1000"/>
    <n v="3"/>
    <x v="0"/>
  </r>
  <r>
    <s v="K151955"/>
    <s v="Traded Conversions"/>
    <x v="47"/>
    <x v="669"/>
    <x v="17"/>
    <s v="META3"/>
    <n v="1000"/>
    <n v="3"/>
    <x v="0"/>
  </r>
  <r>
    <s v="M143135"/>
    <s v="Traded Conversions"/>
    <x v="27"/>
    <x v="670"/>
    <x v="5"/>
    <s v="Meta6"/>
    <n v="1000"/>
    <n v="1"/>
    <x v="0"/>
  </r>
  <r>
    <s v="C139758"/>
    <s v="Traded Conversions"/>
    <x v="15"/>
    <x v="671"/>
    <x v="9"/>
    <s v="Meta6"/>
    <n v="5000"/>
    <n v="1"/>
    <x v="0"/>
  </r>
  <r>
    <s v="S146878"/>
    <s v="Traded Conversions"/>
    <x v="18"/>
    <x v="672"/>
    <x v="6"/>
    <s v="MAIN WEBSITE (HOT)"/>
    <n v="2000"/>
    <n v="1"/>
    <x v="0"/>
  </r>
  <r>
    <s v="A46411"/>
    <s v="Traded Conversions"/>
    <x v="14"/>
    <x v="673"/>
    <x v="0"/>
    <s v="MAIN WEBSITE (HOT)"/>
    <n v="21000"/>
    <n v="1"/>
    <x v="0"/>
  </r>
  <r>
    <s v="H145937"/>
    <s v="Traded Conversions"/>
    <x v="17"/>
    <x v="674"/>
    <x v="18"/>
    <s v="Referral (HOT)"/>
    <n v="5000"/>
    <n v="3"/>
    <x v="0"/>
  </r>
  <r>
    <s v="S147112"/>
    <s v="Old Portal_1YT"/>
    <x v="40"/>
    <x v="675"/>
    <x v="10"/>
    <s v="META3"/>
    <n v="491"/>
    <n v="3"/>
    <x v="0"/>
  </r>
  <r>
    <s v="S148586"/>
    <s v="Old Portal_1YT"/>
    <x v="6"/>
    <x v="676"/>
    <x v="21"/>
    <s v="Referral (HOT)"/>
    <n v="3129"/>
    <n v="3"/>
    <x v="0"/>
  </r>
  <r>
    <s v="G149636"/>
    <s v="Old Portal_1YT"/>
    <x v="39"/>
    <x v="677"/>
    <x v="16"/>
    <s v="Referral (HOT)"/>
    <n v="1500"/>
    <n v="3"/>
    <x v="0"/>
  </r>
  <r>
    <s v="M138573"/>
    <s v="Traded Conversions"/>
    <x v="12"/>
    <x v="678"/>
    <x v="11"/>
    <s v="Telegram ads (digi)"/>
    <n v="1000"/>
    <n v="2"/>
    <x v="0"/>
  </r>
  <r>
    <s v="B106614"/>
    <s v="Traded Conversions"/>
    <x v="33"/>
    <x v="679"/>
    <x v="0"/>
    <s v="META3"/>
    <n v="1000"/>
    <n v="3"/>
    <x v="0"/>
  </r>
  <r>
    <s v="N147637"/>
    <s v="Traded Conversions"/>
    <x v="10"/>
    <x v="680"/>
    <x v="3"/>
    <s v="MAIN WEBSITE (HOT)"/>
    <n v="1000"/>
    <n v="1"/>
    <x v="0"/>
  </r>
  <r>
    <s v="R147973"/>
    <s v="Traded Conversions"/>
    <x v="10"/>
    <x v="681"/>
    <x v="6"/>
    <s v="MAIN WEBSITE (HOT)"/>
    <n v="10000"/>
    <n v="1"/>
    <x v="0"/>
  </r>
  <r>
    <s v="M142093"/>
    <s v="Traded Conversions"/>
    <x v="37"/>
    <x v="682"/>
    <x v="26"/>
    <s v="Referral (HOT)"/>
    <n v="1000"/>
    <n v="3"/>
    <x v="0"/>
  </r>
  <r>
    <s v="M146699"/>
    <s v="Old Portal_1YT"/>
    <x v="39"/>
    <x v="683"/>
    <x v="10"/>
    <s v="Telegram"/>
    <n v="512"/>
    <n v="2"/>
    <x v="0"/>
  </r>
  <r>
    <s v="S143879"/>
    <s v="Old Portal_1YT"/>
    <x v="0"/>
    <x v="684"/>
    <x v="5"/>
    <s v="MAIN WEBSITE (HOT) 1"/>
    <n v="1000"/>
    <n v="1"/>
    <x v="0"/>
  </r>
  <r>
    <s v="R146648"/>
    <s v="Old Portal_1YT"/>
    <x v="44"/>
    <x v="263"/>
    <x v="18"/>
    <s v="Telegram"/>
    <n v="988"/>
    <n v="2"/>
    <x v="0"/>
  </r>
  <r>
    <s v="R139170"/>
    <s v="Traded Conversions"/>
    <x v="10"/>
    <x v="685"/>
    <x v="11"/>
    <s v="MAIN WEBSITE (HOT)"/>
    <n v="1100"/>
    <n v="1"/>
    <x v="0"/>
  </r>
  <r>
    <s v="M147070"/>
    <s v="Old Portal_1YT"/>
    <x v="50"/>
    <x v="686"/>
    <x v="10"/>
    <s v="MAIN WEBSITE (HOT)"/>
    <n v="50000"/>
    <n v="1"/>
    <x v="0"/>
  </r>
  <r>
    <s v="H152718"/>
    <s v="Old Portal_1YT"/>
    <x v="45"/>
    <x v="687"/>
    <x v="16"/>
    <s v="MAIN WEBSITE (HOT) 1"/>
    <n v="1000"/>
    <n v="1"/>
    <x v="0"/>
  </r>
  <r>
    <s v="M147006"/>
    <s v="Old Portal_1YT"/>
    <x v="42"/>
    <x v="688"/>
    <x v="10"/>
    <s v="MAIN WEBSITE (HOT)"/>
    <n v="1500"/>
    <n v="1"/>
    <x v="0"/>
  </r>
  <r>
    <s v="N147881"/>
    <s v="Old Portal_1YT"/>
    <x v="25"/>
    <x v="689"/>
    <x v="1"/>
    <s v="MAIN WEBSITE (HOT)"/>
    <n v="2000"/>
    <n v="1"/>
    <x v="0"/>
  </r>
  <r>
    <s v="Z149509"/>
    <s v="Traded_Old Portal"/>
    <x v="35"/>
    <x v="690"/>
    <x v="8"/>
    <s v="Referral (HOT)"/>
    <n v="60000"/>
    <n v="3"/>
    <x v="0"/>
  </r>
  <r>
    <s v="A136482"/>
    <s v="Old Portal_1YT"/>
    <x v="48"/>
    <x v="691"/>
    <x v="12"/>
    <s v="MAIN WEBSITE (HOT)"/>
    <n v="1154"/>
    <n v="1"/>
    <x v="0"/>
  </r>
  <r>
    <s v="K114046"/>
    <s v="Not traded new panel"/>
    <x v="20"/>
    <x v="692"/>
    <x v="0"/>
    <s v="MAIN WEBSITE (HOT)"/>
    <n v="1000"/>
    <n v="1"/>
    <x v="0"/>
  </r>
  <r>
    <s v="P146640"/>
    <s v="Old Portal_1YT"/>
    <x v="44"/>
    <x v="693"/>
    <x v="18"/>
    <s v="META3"/>
    <n v="501"/>
    <n v="3"/>
    <x v="0"/>
  </r>
  <r>
    <s v="V146803"/>
    <s v="Old Portal_1YT"/>
    <x v="48"/>
    <x v="694"/>
    <x v="25"/>
    <s v="MAIN WEBSITE (HOT)"/>
    <n v="4879"/>
    <n v="1"/>
    <x v="2"/>
  </r>
  <r>
    <s v="R140116"/>
    <s v="Old Portal_1YT"/>
    <x v="8"/>
    <x v="695"/>
    <x v="2"/>
    <s v="MAIN WEBSITE (HOT)"/>
    <n v="1000"/>
    <n v="1"/>
    <x v="0"/>
  </r>
  <r>
    <s v="S143418"/>
    <s v="Traded Conversions"/>
    <x v="15"/>
    <x v="696"/>
    <x v="13"/>
    <s v="Meta6"/>
    <n v="1000"/>
    <n v="1"/>
    <x v="1"/>
  </r>
  <r>
    <s v="D139110"/>
    <s v="Traded Conversions"/>
    <x v="24"/>
    <x v="697"/>
    <x v="22"/>
    <s v="MAIN WEBSITE (HOT)"/>
    <n v="10000"/>
    <n v="1"/>
    <x v="0"/>
  </r>
  <r>
    <s v="Y49102"/>
    <s v="Traded Conversions"/>
    <x v="4"/>
    <x v="698"/>
    <x v="22"/>
    <s v="MAIN WEBSITE (HOT)"/>
    <n v="1000"/>
    <n v="1"/>
    <x v="0"/>
  </r>
  <r>
    <s v="M132529"/>
    <s v="Traded Conversions"/>
    <x v="18"/>
    <x v="699"/>
    <x v="5"/>
    <s v="META2"/>
    <n v="1000"/>
    <n v="3"/>
    <x v="0"/>
  </r>
  <r>
    <s v="S135796"/>
    <s v="Traded Conversions"/>
    <x v="4"/>
    <x v="700"/>
    <x v="7"/>
    <s v="Meta6"/>
    <n v="1800"/>
    <n v="1"/>
    <x v="0"/>
  </r>
  <r>
    <s v="A26966"/>
    <s v="Traded Conversions"/>
    <x v="0"/>
    <x v="701"/>
    <x v="11"/>
    <s v="MAIN WEBSITE (HOT)"/>
    <n v="1000"/>
    <n v="1"/>
    <x v="0"/>
  </r>
  <r>
    <s v="N29535"/>
    <s v="Traded Conversions"/>
    <x v="12"/>
    <x v="702"/>
    <x v="2"/>
    <s v="Meta Crypto"/>
    <n v="1000"/>
    <n v="3"/>
    <x v="0"/>
  </r>
  <r>
    <s v="N150874"/>
    <s v="Traded Conversions"/>
    <x v="11"/>
    <x v="703"/>
    <x v="9"/>
    <s v="MAIN WEBSITE (HOT)"/>
    <n v="40000"/>
    <n v="1"/>
    <x v="0"/>
  </r>
  <r>
    <s v="J151286"/>
    <s v="Traded Conversions"/>
    <x v="1"/>
    <x v="704"/>
    <x v="1"/>
    <s v="Meta6"/>
    <n v="1000"/>
    <n v="1"/>
    <x v="0"/>
  </r>
  <r>
    <s v="G151197"/>
    <s v="Traded Conversions"/>
    <x v="9"/>
    <x v="705"/>
    <x v="1"/>
    <s v="Referral (HOT)"/>
    <n v="3000"/>
    <n v="3"/>
    <x v="0"/>
  </r>
  <r>
    <s v="K142047"/>
    <s v="Traded Conversions"/>
    <x v="8"/>
    <x v="706"/>
    <x v="12"/>
    <s v="Referral (HOT)"/>
    <n v="6500"/>
    <n v="3"/>
    <x v="0"/>
  </r>
  <r>
    <s v="G148184"/>
    <s v="Traded Conversions"/>
    <x v="14"/>
    <x v="707"/>
    <x v="1"/>
    <s v="MAIN WEBSITE (HOT)"/>
    <n v="5000"/>
    <n v="1"/>
    <x v="0"/>
  </r>
  <r>
    <s v="K143778"/>
    <s v="Traded Conversions"/>
    <x v="11"/>
    <x v="708"/>
    <x v="21"/>
    <s v="MAIN WEBSITE (HOT) 1"/>
    <n v="1000"/>
    <n v="1"/>
    <x v="0"/>
  </r>
  <r>
    <s v="H124281"/>
    <s v="Traded Conversions"/>
    <x v="25"/>
    <x v="709"/>
    <x v="29"/>
    <s v="MAIN WEBSITE (HOT)"/>
    <n v="2000"/>
    <n v="1"/>
    <x v="2"/>
  </r>
  <r>
    <s v="V139273"/>
    <s v="Traded Conversions"/>
    <x v="4"/>
    <x v="710"/>
    <x v="12"/>
    <s v="Meta6"/>
    <n v="2000"/>
    <n v="1"/>
    <x v="0"/>
  </r>
  <r>
    <s v="R148987"/>
    <s v="Traded Conversions"/>
    <x v="10"/>
    <x v="711"/>
    <x v="8"/>
    <s v="Referral (HOT)"/>
    <n v="2000"/>
    <n v="3"/>
    <x v="0"/>
  </r>
  <r>
    <s v="S141439"/>
    <s v="Traded Conversions"/>
    <x v="10"/>
    <x v="712"/>
    <x v="26"/>
    <s v="MAIN WEBSITE (HOT)"/>
    <n v="5199"/>
    <n v="1"/>
    <x v="0"/>
  </r>
  <r>
    <s v="K145613"/>
    <s v="Traded Conversions"/>
    <x v="14"/>
    <x v="713"/>
    <x v="15"/>
    <s v="MAIN WEBSITE (HOT)"/>
    <n v="1050"/>
    <n v="1"/>
    <x v="0"/>
  </r>
  <r>
    <s v="A24248"/>
    <s v="Traded Conversions"/>
    <x v="23"/>
    <x v="714"/>
    <x v="1"/>
    <s v="Premium"/>
    <n v="1000"/>
    <n v="2"/>
    <x v="0"/>
  </r>
  <r>
    <s v="K144207"/>
    <s v="Traded Conversions"/>
    <x v="11"/>
    <x v="715"/>
    <x v="15"/>
    <s v="MAIN WEBSITE (HOT)"/>
    <n v="3000"/>
    <n v="1"/>
    <x v="0"/>
  </r>
  <r>
    <s v="A79727"/>
    <s v="Traded Conversions"/>
    <x v="13"/>
    <x v="716"/>
    <x v="7"/>
    <s v="Meta6"/>
    <n v="1000"/>
    <n v="1"/>
    <x v="0"/>
  </r>
  <r>
    <s v="H146563"/>
    <s v="Traded Conversions"/>
    <x v="14"/>
    <x v="717"/>
    <x v="18"/>
    <s v="MAIN WEBSITE (HOT)"/>
    <n v="40000"/>
    <n v="1"/>
    <x v="0"/>
  </r>
  <r>
    <s v="N145818"/>
    <s v="Traded Conversions"/>
    <x v="10"/>
    <x v="718"/>
    <x v="15"/>
    <s v="MAIN WEBSITE (HOT)"/>
    <n v="30000"/>
    <n v="1"/>
    <x v="0"/>
  </r>
  <r>
    <s v="K139512"/>
    <s v="Traded Conversions"/>
    <x v="1"/>
    <x v="719"/>
    <x v="24"/>
    <s v="Referral (HOT)"/>
    <n v="1000"/>
    <n v="3"/>
    <x v="0"/>
  </r>
  <r>
    <s v="S142552"/>
    <s v="Traded Conversions"/>
    <x v="41"/>
    <x v="720"/>
    <x v="4"/>
    <s v="Referral (HOT)"/>
    <n v="1000"/>
    <n v="3"/>
    <x v="0"/>
  </r>
  <r>
    <s v="T142092"/>
    <s v="Traded Conversions"/>
    <x v="31"/>
    <x v="721"/>
    <x v="11"/>
    <s v="META3"/>
    <n v="1000"/>
    <n v="3"/>
    <x v="0"/>
  </r>
  <r>
    <s v="A145473"/>
    <s v="Traded Conversions"/>
    <x v="10"/>
    <x v="722"/>
    <x v="4"/>
    <s v="MAIN WEBSITE (HOT)"/>
    <n v="3000"/>
    <n v="1"/>
    <x v="0"/>
  </r>
  <r>
    <s v="D145398"/>
    <s v="Traded Conversions"/>
    <x v="18"/>
    <x v="723"/>
    <x v="4"/>
    <s v="MAIN WEBSITE (HOT)"/>
    <n v="1000"/>
    <n v="1"/>
    <x v="0"/>
  </r>
  <r>
    <s v="A148795"/>
    <s v="Traded Conversions"/>
    <x v="24"/>
    <x v="724"/>
    <x v="21"/>
    <s v="MAIN WEBSITE (HOT)"/>
    <n v="12000"/>
    <n v="1"/>
    <x v="0"/>
  </r>
  <r>
    <s v="S151728"/>
    <s v="Traded Conversions"/>
    <x v="15"/>
    <x v="725"/>
    <x v="17"/>
    <s v="Meta6"/>
    <n v="1000"/>
    <n v="1"/>
    <x v="0"/>
  </r>
  <r>
    <s v="H140611"/>
    <s v="Traded Conversions"/>
    <x v="18"/>
    <x v="726"/>
    <x v="19"/>
    <s v="MAIN WEBSITE (HOT) 1"/>
    <n v="1000"/>
    <n v="1"/>
    <x v="0"/>
  </r>
  <r>
    <s v="M146969"/>
    <s v="Traded Conversions"/>
    <x v="18"/>
    <x v="727"/>
    <x v="6"/>
    <s v="Telegram ads"/>
    <n v="2000"/>
    <n v="2"/>
    <x v="0"/>
  </r>
  <r>
    <s v="S142304"/>
    <s v="Traded Conversions"/>
    <x v="11"/>
    <x v="728"/>
    <x v="7"/>
    <s v="MAIN WEBSITE (HOT)"/>
    <n v="4000"/>
    <n v="1"/>
    <x v="0"/>
  </r>
  <r>
    <s v="D151320"/>
    <s v="Traded Conversions"/>
    <x v="28"/>
    <x v="729"/>
    <x v="3"/>
    <s v="MAIN WEBSITE (HOT)"/>
    <n v="1000"/>
    <n v="1"/>
    <x v="0"/>
  </r>
  <r>
    <s v="M151121"/>
    <s v="Traded Conversions"/>
    <x v="27"/>
    <x v="730"/>
    <x v="16"/>
    <s v="Meta6"/>
    <n v="3000"/>
    <n v="1"/>
    <x v="0"/>
  </r>
  <r>
    <s v="A141194"/>
    <s v="Traded Conversions"/>
    <x v="18"/>
    <x v="731"/>
    <x v="14"/>
    <s v="MAIN WEBSITE (HOT)"/>
    <n v="3000"/>
    <n v="1"/>
    <x v="1"/>
  </r>
  <r>
    <s v="S141903"/>
    <s v="Traded Conversions"/>
    <x v="10"/>
    <x v="732"/>
    <x v="26"/>
    <s v="MAIN WEBSITE (HOT)"/>
    <n v="1000"/>
    <n v="1"/>
    <x v="0"/>
  </r>
  <r>
    <s v="A141321"/>
    <s v="Traded Conversions"/>
    <x v="18"/>
    <x v="733"/>
    <x v="14"/>
    <s v="MAIN WEBSITE (HOT)"/>
    <n v="1000"/>
    <n v="1"/>
    <x v="1"/>
  </r>
  <r>
    <s v="N142105"/>
    <s v="Traded Conversions"/>
    <x v="24"/>
    <x v="734"/>
    <x v="11"/>
    <s v="MAIN WEBSITE (HOT)"/>
    <n v="1200"/>
    <n v="1"/>
    <x v="0"/>
  </r>
  <r>
    <s v="S151595"/>
    <s v="Traded Conversions"/>
    <x v="11"/>
    <x v="735"/>
    <x v="3"/>
    <s v="MAIN WEBSITE (HOT)"/>
    <n v="1000"/>
    <n v="1"/>
    <x v="0"/>
  </r>
  <r>
    <s v="L143338"/>
    <s v="Traded Conversions"/>
    <x v="24"/>
    <x v="736"/>
    <x v="5"/>
    <s v="MAIN WEBSITE (HOT)"/>
    <n v="1000"/>
    <n v="1"/>
    <x v="0"/>
  </r>
  <r>
    <s v="R146891"/>
    <s v="Traded Conversions"/>
    <x v="11"/>
    <x v="737"/>
    <x v="9"/>
    <s v="MAIN WEBSITE (HOT)"/>
    <n v="1000"/>
    <n v="1"/>
    <x v="0"/>
  </r>
  <r>
    <s v="A150723"/>
    <s v="Traded Conversions"/>
    <x v="19"/>
    <x v="738"/>
    <x v="1"/>
    <s v="Referral (HOT)"/>
    <n v="1000"/>
    <n v="3"/>
    <x v="0"/>
  </r>
  <r>
    <s v="R144043"/>
    <s v="Traded Conversions"/>
    <x v="20"/>
    <x v="739"/>
    <x v="4"/>
    <s v="MAIN WEBSITE (HOT)"/>
    <n v="2000"/>
    <n v="1"/>
    <x v="0"/>
  </r>
  <r>
    <s v="M143070"/>
    <s v="Traded Conversions"/>
    <x v="9"/>
    <x v="740"/>
    <x v="4"/>
    <s v="Meta6"/>
    <n v="1000"/>
    <n v="1"/>
    <x v="0"/>
  </r>
  <r>
    <s v="N152722"/>
    <s v="Traded Conversions"/>
    <x v="20"/>
    <x v="741"/>
    <x v="16"/>
    <s v="Referral (HOT)"/>
    <n v="2000"/>
    <n v="3"/>
    <x v="0"/>
  </r>
  <r>
    <s v="V149215"/>
    <s v="Traded Conversions"/>
    <x v="21"/>
    <x v="742"/>
    <x v="0"/>
    <s v="Referral (HOT)"/>
    <n v="1000"/>
    <n v="3"/>
    <x v="0"/>
  </r>
  <r>
    <s v="J152330"/>
    <s v="Traded Conversions"/>
    <x v="29"/>
    <x v="743"/>
    <x v="17"/>
    <s v="Meta6"/>
    <n v="1000"/>
    <n v="1"/>
    <x v="0"/>
  </r>
  <r>
    <s v="H141245"/>
    <s v="Traded Conversions"/>
    <x v="32"/>
    <x v="744"/>
    <x v="14"/>
    <s v="Meta6"/>
    <n v="1000"/>
    <n v="1"/>
    <x v="1"/>
  </r>
  <r>
    <s v="R142054"/>
    <s v="Traded Conversions"/>
    <x v="48"/>
    <x v="745"/>
    <x v="26"/>
    <s v="Telegram ads (redirect)"/>
    <n v="3001"/>
    <n v="2"/>
    <x v="0"/>
  </r>
  <r>
    <s v="G143289"/>
    <s v="Old Portal_1YT"/>
    <x v="32"/>
    <x v="746"/>
    <x v="19"/>
    <s v="Meta-T"/>
    <n v="2000"/>
    <n v="3"/>
    <x v="0"/>
  </r>
  <r>
    <s v="S138583"/>
    <s v="Old Portal_1YT"/>
    <x v="36"/>
    <x v="747"/>
    <x v="2"/>
    <s v="MAIN WEBSITE (HOT)"/>
    <n v="500"/>
    <n v="1"/>
    <x v="0"/>
  </r>
  <r>
    <s v="S148575"/>
    <s v="Old Portal_1YT"/>
    <x v="34"/>
    <x v="748"/>
    <x v="23"/>
    <s v="MAIN WEBSITE (HOT)"/>
    <n v="2000"/>
    <n v="1"/>
    <x v="0"/>
  </r>
  <r>
    <s v="G110455"/>
    <s v="Not traded new panel"/>
    <x v="12"/>
    <x v="749"/>
    <x v="17"/>
    <s v="STOCKMEME"/>
    <n v="1000"/>
    <n v="2"/>
    <x v="0"/>
  </r>
  <r>
    <s v="V143725"/>
    <s v="Old Portal_1YT"/>
    <x v="39"/>
    <x v="750"/>
    <x v="5"/>
    <s v="MAIN WEBSITE (HOT)"/>
    <n v="1000"/>
    <n v="1"/>
    <x v="0"/>
  </r>
  <r>
    <s v="J140734"/>
    <s v="Traded Conversions"/>
    <x v="45"/>
    <x v="751"/>
    <x v="2"/>
    <s v="Meta6"/>
    <n v="1000"/>
    <n v="1"/>
    <x v="0"/>
  </r>
  <r>
    <s v="K138678"/>
    <s v="Traded Conversions"/>
    <x v="9"/>
    <x v="752"/>
    <x v="14"/>
    <s v="Meta6"/>
    <n v="5000"/>
    <n v="1"/>
    <x v="1"/>
  </r>
  <r>
    <s v="C59016"/>
    <s v="Traded Conversions"/>
    <x v="30"/>
    <x v="753"/>
    <x v="12"/>
    <s v="MAIN WEBSITE (HOT) 1"/>
    <n v="1000"/>
    <n v="1"/>
    <x v="0"/>
  </r>
  <r>
    <s v="S138587"/>
    <s v="Traded Conversions"/>
    <x v="20"/>
    <x v="754"/>
    <x v="22"/>
    <s v="Referral (HOT)"/>
    <n v="2000"/>
    <n v="3"/>
    <x v="0"/>
  </r>
  <r>
    <s v="P143659"/>
    <s v="Traded Conversions"/>
    <x v="5"/>
    <x v="755"/>
    <x v="5"/>
    <s v="MAIN WEBSITE (HOT)"/>
    <n v="40000"/>
    <n v="1"/>
    <x v="0"/>
  </r>
  <r>
    <s v="S101095"/>
    <s v="Traded Conversions"/>
    <x v="15"/>
    <x v="756"/>
    <x v="16"/>
    <s v="Meta6"/>
    <n v="1000"/>
    <n v="1"/>
    <x v="0"/>
  </r>
  <r>
    <s v="R129640"/>
    <s v="Traded Conversions"/>
    <x v="1"/>
    <x v="757"/>
    <x v="16"/>
    <s v="MAIN WEBSITE (HOT)"/>
    <n v="1000"/>
    <n v="1"/>
    <x v="0"/>
  </r>
  <r>
    <s v="A148540"/>
    <s v="Traded Conversions"/>
    <x v="24"/>
    <x v="758"/>
    <x v="23"/>
    <s v="MAIN WEBSITE (HOT)"/>
    <n v="1000"/>
    <n v="1"/>
    <x v="0"/>
  </r>
  <r>
    <s v="M148119"/>
    <s v="Traded Conversions"/>
    <x v="3"/>
    <x v="759"/>
    <x v="16"/>
    <s v="MAIN WEBSITE (HOT)"/>
    <n v="1000"/>
    <n v="1"/>
    <x v="0"/>
  </r>
  <r>
    <s v="V141559"/>
    <s v="Traded Conversions"/>
    <x v="13"/>
    <x v="760"/>
    <x v="26"/>
    <s v="Referral (HOT)"/>
    <n v="7500"/>
    <n v="3"/>
    <x v="0"/>
  </r>
  <r>
    <s v="A140057"/>
    <s v="Old Portal_1YT"/>
    <x v="21"/>
    <x v="761"/>
    <x v="24"/>
    <s v="META2"/>
    <n v="1048"/>
    <n v="3"/>
    <x v="0"/>
  </r>
  <r>
    <s v="K92612"/>
    <s v="Traded Conversions"/>
    <x v="27"/>
    <x v="762"/>
    <x v="10"/>
    <s v="MAIN WEBSITE (HOT)"/>
    <n v="2000"/>
    <n v="1"/>
    <x v="0"/>
  </r>
  <r>
    <s v="P136756"/>
    <s v="Traded Conversions"/>
    <x v="45"/>
    <x v="763"/>
    <x v="24"/>
    <s v="Telegram ads (redirect)"/>
    <n v="1000"/>
    <n v="2"/>
    <x v="0"/>
  </r>
  <r>
    <s v="A152822"/>
    <s v="Traded Conversions"/>
    <x v="19"/>
    <x v="764"/>
    <x v="16"/>
    <s v="Referral (HOT)"/>
    <n v="1000"/>
    <n v="3"/>
    <x v="0"/>
  </r>
  <r>
    <s v="A149202"/>
    <s v="Traded Conversions"/>
    <x v="14"/>
    <x v="765"/>
    <x v="16"/>
    <s v="MAIN WEBSITE (HOT)"/>
    <n v="25000"/>
    <n v="1"/>
    <x v="0"/>
  </r>
  <r>
    <s v="A142764"/>
    <s v="Traded Conversions"/>
    <x v="19"/>
    <x v="766"/>
    <x v="11"/>
    <s v="Referral (HOT)"/>
    <n v="2800"/>
    <n v="3"/>
    <x v="0"/>
  </r>
  <r>
    <s v="A50845"/>
    <s v="Traded Conversions"/>
    <x v="30"/>
    <x v="767"/>
    <x v="16"/>
    <s v="Meta6"/>
    <n v="1001"/>
    <n v="1"/>
    <x v="0"/>
  </r>
  <r>
    <s v="A147132"/>
    <s v="Old Portal_1YT"/>
    <x v="46"/>
    <x v="768"/>
    <x v="10"/>
    <s v="MAIN WEBSITE (HOT)"/>
    <n v="598"/>
    <n v="1"/>
    <x v="0"/>
  </r>
  <r>
    <s v="R147825"/>
    <s v="Old Portal_1YT"/>
    <x v="12"/>
    <x v="769"/>
    <x v="25"/>
    <s v="MAIN WEBSITE (HOT)"/>
    <n v="1099.21"/>
    <n v="1"/>
    <x v="2"/>
  </r>
  <r>
    <s v="A141256"/>
    <s v="Traded Conversions"/>
    <x v="18"/>
    <x v="770"/>
    <x v="11"/>
    <s v="Referral (HOT)"/>
    <n v="19999"/>
    <n v="3"/>
    <x v="0"/>
  </r>
  <r>
    <s v="P151206"/>
    <s v="Traded Conversions"/>
    <x v="44"/>
    <x v="771"/>
    <x v="1"/>
    <s v="Referral (HOT)"/>
    <n v="2000"/>
    <n v="3"/>
    <x v="0"/>
  </r>
  <r>
    <s v="S150640"/>
    <s v="Traded Conversions"/>
    <x v="20"/>
    <x v="772"/>
    <x v="1"/>
    <s v="MAIN WEBSITE (HOT)"/>
    <n v="2000"/>
    <n v="1"/>
    <x v="0"/>
  </r>
  <r>
    <s v="S140161"/>
    <s v="Traded Conversions"/>
    <x v="20"/>
    <x v="773"/>
    <x v="14"/>
    <s v="MAIN WEBSITE (HOT)"/>
    <n v="9999"/>
    <n v="1"/>
    <x v="1"/>
  </r>
  <r>
    <s v="M147046"/>
    <s v="Traded Conversions"/>
    <x v="12"/>
    <x v="774"/>
    <x v="23"/>
    <s v="Meta6"/>
    <n v="10000"/>
    <n v="1"/>
    <x v="0"/>
  </r>
  <r>
    <s v="R150164"/>
    <s v="Traded Conversions"/>
    <x v="14"/>
    <x v="775"/>
    <x v="9"/>
    <s v="MAIN WEBSITE (HOT)"/>
    <n v="40000"/>
    <n v="1"/>
    <x v="0"/>
  </r>
  <r>
    <s v="R151009"/>
    <s v="Traded Conversions"/>
    <x v="18"/>
    <x v="776"/>
    <x v="1"/>
    <s v="Referral (HOT)"/>
    <n v="1000"/>
    <n v="3"/>
    <x v="0"/>
  </r>
  <r>
    <s v="T130785"/>
    <s v="Traded Conversions"/>
    <x v="17"/>
    <x v="777"/>
    <x v="23"/>
    <s v="MAIN WEBSITE (HOT)"/>
    <n v="5000"/>
    <n v="1"/>
    <x v="0"/>
  </r>
  <r>
    <s v="M150331"/>
    <s v="Traded Conversions"/>
    <x v="20"/>
    <x v="778"/>
    <x v="9"/>
    <s v="MAIN WEBSITE (HOT)"/>
    <n v="50000"/>
    <n v="1"/>
    <x v="0"/>
  </r>
  <r>
    <s v="M77648"/>
    <s v="Traded Conversions"/>
    <x v="21"/>
    <x v="779"/>
    <x v="15"/>
    <s v="STOCKMEME"/>
    <n v="1000"/>
    <n v="2"/>
    <x v="0"/>
  </r>
  <r>
    <s v="D144958"/>
    <s v="Traded Conversions"/>
    <x v="18"/>
    <x v="780"/>
    <x v="27"/>
    <s v="MAIN WEBSITE (HOT)"/>
    <n v="1200"/>
    <n v="1"/>
    <x v="2"/>
  </r>
  <r>
    <s v="M148638"/>
    <s v="Traded Conversions"/>
    <x v="20"/>
    <x v="781"/>
    <x v="28"/>
    <s v="MAIN WEBSITE (HOT)"/>
    <n v="2000"/>
    <n v="1"/>
    <x v="1"/>
  </r>
  <r>
    <s v="S141873"/>
    <s v="Traded Conversions"/>
    <x v="20"/>
    <x v="782"/>
    <x v="19"/>
    <s v="MAIN WEBSITE (HOT)"/>
    <n v="2050"/>
    <n v="1"/>
    <x v="0"/>
  </r>
  <r>
    <s v="D137352"/>
    <s v="Traded Conversions"/>
    <x v="18"/>
    <x v="783"/>
    <x v="2"/>
    <s v="Referral (HOT)"/>
    <n v="1000"/>
    <n v="3"/>
    <x v="0"/>
  </r>
  <r>
    <s v="A151418"/>
    <s v="Traded Conversions"/>
    <x v="14"/>
    <x v="784"/>
    <x v="1"/>
    <s v="MAIN WEBSITE (HOT)"/>
    <n v="2000"/>
    <n v="1"/>
    <x v="0"/>
  </r>
  <r>
    <s v="A140843"/>
    <s v="Traded Conversions"/>
    <x v="20"/>
    <x v="785"/>
    <x v="2"/>
    <s v="MAIN WEBSITE (HOT)"/>
    <n v="1000"/>
    <n v="1"/>
    <x v="0"/>
  </r>
  <r>
    <s v="A139471"/>
    <s v="Traded Conversions"/>
    <x v="10"/>
    <x v="786"/>
    <x v="26"/>
    <s v="MAIN WEBSITE (HOT)"/>
    <n v="1500"/>
    <n v="1"/>
    <x v="0"/>
  </r>
  <r>
    <s v="M144988"/>
    <s v="Traded Conversions"/>
    <x v="18"/>
    <x v="787"/>
    <x v="21"/>
    <s v="MAIN WEBSITE (HOT)"/>
    <n v="1000"/>
    <n v="1"/>
    <x v="0"/>
  </r>
  <r>
    <s v="D151230"/>
    <s v="Traded Conversions"/>
    <x v="48"/>
    <x v="788"/>
    <x v="3"/>
    <s v="Telegram ads"/>
    <n v="1000"/>
    <n v="2"/>
    <x v="0"/>
  </r>
  <r>
    <s v="M149342"/>
    <s v="Traded Conversions"/>
    <x v="18"/>
    <x v="789"/>
    <x v="0"/>
    <s v="MAIN WEBSITE (HOT)"/>
    <n v="20000"/>
    <n v="1"/>
    <x v="0"/>
  </r>
  <r>
    <s v="H148670"/>
    <s v="Traded Conversions"/>
    <x v="11"/>
    <x v="790"/>
    <x v="21"/>
    <s v="MAIN WEBSITE (HOT)"/>
    <n v="40000"/>
    <n v="1"/>
    <x v="0"/>
  </r>
  <r>
    <s v="P149139"/>
    <s v="Traded Conversions"/>
    <x v="20"/>
    <x v="791"/>
    <x v="0"/>
    <s v="Referral (HOT)"/>
    <n v="1000"/>
    <n v="3"/>
    <x v="0"/>
  </r>
  <r>
    <s v="S144314"/>
    <s v="Traded Conversions"/>
    <x v="48"/>
    <x v="792"/>
    <x v="21"/>
    <s v="MAIN WEBSITE (HOT)"/>
    <n v="25000"/>
    <n v="1"/>
    <x v="0"/>
  </r>
  <r>
    <s v="S146450"/>
    <s v="Traded Conversions"/>
    <x v="11"/>
    <x v="793"/>
    <x v="18"/>
    <s v="MAIN WEBSITE (HOT)"/>
    <n v="1000"/>
    <n v="1"/>
    <x v="0"/>
  </r>
  <r>
    <s v="A141416"/>
    <s v="Traded Conversions"/>
    <x v="10"/>
    <x v="794"/>
    <x v="20"/>
    <s v="MAIN WEBSITE (HOT)"/>
    <n v="1000"/>
    <n v="1"/>
    <x v="2"/>
  </r>
  <r>
    <s v="P147599"/>
    <s v="Traded Conversions"/>
    <x v="24"/>
    <x v="795"/>
    <x v="0"/>
    <s v="MAIN WEBSITE (HOT)"/>
    <n v="10000"/>
    <n v="1"/>
    <x v="0"/>
  </r>
  <r>
    <s v="S145568"/>
    <s v="Traded Conversions"/>
    <x v="20"/>
    <x v="796"/>
    <x v="15"/>
    <s v="MAIN WEBSITE (HOT)"/>
    <n v="1000"/>
    <n v="1"/>
    <x v="0"/>
  </r>
  <r>
    <s v="S144265"/>
    <s v="Traded Conversions"/>
    <x v="43"/>
    <x v="797"/>
    <x v="4"/>
    <s v="Telegram ads"/>
    <n v="5000"/>
    <n v="2"/>
    <x v="0"/>
  </r>
  <r>
    <s v="A47272"/>
    <s v="Traded Conversions"/>
    <x v="30"/>
    <x v="798"/>
    <x v="15"/>
    <s v="MAIN WEBSITE (HOT)"/>
    <n v="1100"/>
    <n v="1"/>
    <x v="0"/>
  </r>
  <r>
    <s v="S152211"/>
    <s v="Traded Conversions"/>
    <x v="21"/>
    <x v="799"/>
    <x v="16"/>
    <s v="Referral (HOT)"/>
    <n v="1000"/>
    <n v="3"/>
    <x v="0"/>
  </r>
  <r>
    <s v="S142478"/>
    <s v="Traded Conversions"/>
    <x v="20"/>
    <x v="800"/>
    <x v="11"/>
    <s v="Referral (HOT)"/>
    <n v="2000"/>
    <n v="3"/>
    <x v="0"/>
  </r>
  <r>
    <s v="S129247"/>
    <s v="Traded Conversions"/>
    <x v="21"/>
    <x v="801"/>
    <x v="11"/>
    <s v="MAIN WEBSITE (HOT)"/>
    <n v="1000"/>
    <n v="1"/>
    <x v="0"/>
  </r>
  <r>
    <s v="R66882"/>
    <s v="Traded Conversions"/>
    <x v="21"/>
    <x v="802"/>
    <x v="7"/>
    <s v="Meta6"/>
    <n v="1000"/>
    <n v="1"/>
    <x v="0"/>
  </r>
  <r>
    <s v="Z94756"/>
    <s v="Traded Conversions"/>
    <x v="15"/>
    <x v="803"/>
    <x v="5"/>
    <s v="Meta-Saudi"/>
    <n v="1000"/>
    <n v="3"/>
    <x v="0"/>
  </r>
  <r>
    <s v="M148774"/>
    <s v="Traded Conversions"/>
    <x v="10"/>
    <x v="804"/>
    <x v="21"/>
    <s v="MAIN WEBSITE (HOT)"/>
    <n v="42000"/>
    <n v="1"/>
    <x v="0"/>
  </r>
  <r>
    <s v="S130460"/>
    <s v="Traded Conversions"/>
    <x v="25"/>
    <x v="805"/>
    <x v="16"/>
    <s v="MAIN WEBSITE (HOT)"/>
    <n v="5000"/>
    <n v="1"/>
    <x v="0"/>
  </r>
  <r>
    <s v="A147592"/>
    <s v="Old Portal_1YT"/>
    <x v="8"/>
    <x v="806"/>
    <x v="30"/>
    <s v="Referral (HOT)"/>
    <n v="1000"/>
    <n v="3"/>
    <x v="1"/>
  </r>
  <r>
    <s v="H147025"/>
    <s v="Old Portal_1YT"/>
    <x v="43"/>
    <x v="807"/>
    <x v="23"/>
    <s v="Instagram"/>
    <n v="948"/>
    <n v="2"/>
    <x v="0"/>
  </r>
  <r>
    <s v="K136948"/>
    <s v="Old Portal_1YT"/>
    <x v="1"/>
    <x v="808"/>
    <x v="8"/>
    <s v="META3"/>
    <n v="1000"/>
    <n v="3"/>
    <x v="0"/>
  </r>
  <r>
    <s v="M144502"/>
    <s v="Old Portal_1YT"/>
    <x v="1"/>
    <x v="809"/>
    <x v="4"/>
    <s v="MAIN WEBSITE (HOT)"/>
    <n v="4000"/>
    <n v="1"/>
    <x v="0"/>
  </r>
  <r>
    <s v="S147674"/>
    <s v="Old Portal_1YT"/>
    <x v="20"/>
    <x v="810"/>
    <x v="23"/>
    <s v="PRS"/>
    <n v="6000"/>
    <n v="1"/>
    <x v="0"/>
  </r>
  <r>
    <s v="A139089"/>
    <s v="Old Portal_1YT"/>
    <x v="22"/>
    <x v="811"/>
    <x v="24"/>
    <s v="META3"/>
    <n v="2000"/>
    <n v="3"/>
    <x v="0"/>
  </r>
  <r>
    <s v="A147459"/>
    <s v="Old Portal_1YT"/>
    <x v="19"/>
    <x v="812"/>
    <x v="29"/>
    <s v="META3"/>
    <n v="1000"/>
    <n v="3"/>
    <x v="2"/>
  </r>
  <r>
    <s v="A149818"/>
    <s v="Old Portal_1YT"/>
    <x v="6"/>
    <x v="813"/>
    <x v="8"/>
    <s v="MAIN WEBSITE (HOT)"/>
    <n v="3000"/>
    <n v="1"/>
    <x v="0"/>
  </r>
  <r>
    <s v="S151671"/>
    <s v="Old Portal_1YT"/>
    <x v="8"/>
    <x v="814"/>
    <x v="3"/>
    <s v="MAIN WEBSITE (HOT)"/>
    <n v="6000"/>
    <n v="1"/>
    <x v="0"/>
  </r>
  <r>
    <s v="D149653"/>
    <s v="Old Portal_1YT"/>
    <x v="17"/>
    <x v="815"/>
    <x v="8"/>
    <s v="MAIN WEBSITE (HOT)"/>
    <n v="981"/>
    <n v="1"/>
    <x v="0"/>
  </r>
  <r>
    <s v="P136503"/>
    <s v="Old Portal_1YT"/>
    <x v="9"/>
    <x v="816"/>
    <x v="26"/>
    <s v="META3"/>
    <n v="2000"/>
    <n v="3"/>
    <x v="0"/>
  </r>
  <r>
    <s v="P131581"/>
    <s v="Old Portal_1YT"/>
    <x v="40"/>
    <x v="817"/>
    <x v="4"/>
    <s v="META2"/>
    <n v="1000"/>
    <n v="3"/>
    <x v="0"/>
  </r>
  <r>
    <s v="P76843"/>
    <s v="Not traded new panel"/>
    <x v="27"/>
    <x v="818"/>
    <x v="5"/>
    <s v=""/>
    <n v="1000"/>
    <n v="2"/>
    <x v="0"/>
  </r>
  <r>
    <s v="S146520"/>
    <s v="Old Portal_1YT"/>
    <x v="7"/>
    <x v="819"/>
    <x v="18"/>
    <s v="MAIN WEBSITE (HOT)"/>
    <n v="9000"/>
    <n v="1"/>
    <x v="0"/>
  </r>
  <r>
    <s v="P146257"/>
    <s v="Old Portal_1YT"/>
    <x v="50"/>
    <x v="820"/>
    <x v="10"/>
    <s v="META2"/>
    <n v="10000"/>
    <n v="3"/>
    <x v="0"/>
  </r>
  <r>
    <s v="D136522"/>
    <s v="Old Portal_1YT"/>
    <x v="40"/>
    <x v="821"/>
    <x v="18"/>
    <s v="META3"/>
    <n v="1001"/>
    <n v="3"/>
    <x v="0"/>
  </r>
  <r>
    <s v="R68577"/>
    <s v="Not traded new panel"/>
    <x v="19"/>
    <x v="822"/>
    <x v="0"/>
    <s v="MAIN WEBSITE (HOT) 1"/>
    <n v="2500"/>
    <n v="1"/>
    <x v="0"/>
  </r>
  <r>
    <s v="P122032"/>
    <s v="Traded Conversions"/>
    <x v="17"/>
    <x v="823"/>
    <x v="22"/>
    <s v="MAIN WEBSITE (HOT)"/>
    <n v="1000"/>
    <n v="1"/>
    <x v="0"/>
  </r>
  <r>
    <s v="T31934"/>
    <s v="Traded Conversions"/>
    <x v="25"/>
    <x v="824"/>
    <x v="10"/>
    <s v="MAIN WEBSITE (HOT)"/>
    <n v="10000"/>
    <n v="1"/>
    <x v="0"/>
  </r>
  <r>
    <s v="K136466"/>
    <s v="Traded Conversions"/>
    <x v="40"/>
    <x v="825"/>
    <x v="23"/>
    <s v="MAIN WEBSITE (HOT)"/>
    <n v="1000"/>
    <n v="1"/>
    <x v="0"/>
  </r>
  <r>
    <s v="S103614"/>
    <s v="Traded Conversions"/>
    <x v="21"/>
    <x v="826"/>
    <x v="8"/>
    <s v="MAIN WEBSITE (HOT)"/>
    <n v="6000"/>
    <n v="1"/>
    <x v="0"/>
  </r>
  <r>
    <s v="A128215"/>
    <s v="Traded Conversions"/>
    <x v="5"/>
    <x v="827"/>
    <x v="5"/>
    <s v="MAIN WEBSITE (HOT) 1"/>
    <n v="1000"/>
    <n v="1"/>
    <x v="0"/>
  </r>
  <r>
    <s v="R138017"/>
    <s v="Traded Conversions"/>
    <x v="15"/>
    <x v="828"/>
    <x v="14"/>
    <s v="Telegram ads"/>
    <n v="3000"/>
    <n v="2"/>
    <x v="1"/>
  </r>
  <r>
    <s v="M147980"/>
    <s v="Traded Conversions"/>
    <x v="14"/>
    <x v="829"/>
    <x v="6"/>
    <s v="MAIN WEBSITE (HOT)"/>
    <n v="1000"/>
    <n v="1"/>
    <x v="0"/>
  </r>
  <r>
    <s v="J147339"/>
    <s v="Traded Conversions"/>
    <x v="20"/>
    <x v="830"/>
    <x v="6"/>
    <s v="MAIN WEBSITE (HOT)"/>
    <n v="2000"/>
    <n v="1"/>
    <x v="0"/>
  </r>
  <r>
    <s v="R144427"/>
    <s v="Traded Conversions"/>
    <x v="11"/>
    <x v="831"/>
    <x v="7"/>
    <s v="MAIN WEBSITE (HOT)"/>
    <n v="4000"/>
    <n v="1"/>
    <x v="0"/>
  </r>
  <r>
    <s v="D139906"/>
    <s v="Traded Conversions"/>
    <x v="11"/>
    <x v="832"/>
    <x v="13"/>
    <s v="MAIN WEBSITE (HOT)"/>
    <n v="1000"/>
    <n v="1"/>
    <x v="1"/>
  </r>
  <r>
    <s v="M144983"/>
    <s v="Traded Conversions"/>
    <x v="20"/>
    <x v="833"/>
    <x v="27"/>
    <s v="MAIN WEBSITE (HOT)"/>
    <n v="1000"/>
    <n v="1"/>
    <x v="2"/>
  </r>
  <r>
    <s v="S151483"/>
    <s v="Traded Conversions"/>
    <x v="20"/>
    <x v="834"/>
    <x v="1"/>
    <s v="Referral (HOT)"/>
    <n v="1000"/>
    <n v="3"/>
    <x v="0"/>
  </r>
  <r>
    <s v="S141090"/>
    <s v="Traded Conversions"/>
    <x v="9"/>
    <x v="835"/>
    <x v="12"/>
    <s v="Meta6"/>
    <n v="1000"/>
    <n v="1"/>
    <x v="0"/>
  </r>
  <r>
    <s v="V141378"/>
    <s v="Traded Conversions"/>
    <x v="18"/>
    <x v="836"/>
    <x v="14"/>
    <s v="MAIN WEBSITE (HOT) 1"/>
    <n v="1000"/>
    <n v="1"/>
    <x v="1"/>
  </r>
  <r>
    <s v="C142035"/>
    <s v="Traded Conversions"/>
    <x v="29"/>
    <x v="837"/>
    <x v="11"/>
    <s v="Meta6"/>
    <n v="2000"/>
    <n v="1"/>
    <x v="0"/>
  </r>
  <r>
    <s v="A139793"/>
    <s v="Traded Conversions"/>
    <x v="24"/>
    <x v="838"/>
    <x v="24"/>
    <s v="MAIN WEBSITE (HOT)"/>
    <n v="1300"/>
    <n v="1"/>
    <x v="0"/>
  </r>
  <r>
    <s v="A150069"/>
    <s v="Traded Conversions"/>
    <x v="24"/>
    <x v="839"/>
    <x v="9"/>
    <s v="MAIN WEBSITE (HOT)"/>
    <n v="4000"/>
    <n v="1"/>
    <x v="0"/>
  </r>
  <r>
    <s v="N65590"/>
    <s v="Traded Conversions"/>
    <x v="13"/>
    <x v="840"/>
    <x v="18"/>
    <s v="Meta6"/>
    <n v="1000"/>
    <n v="1"/>
    <x v="0"/>
  </r>
  <r>
    <s v="S145618"/>
    <s v="Traded Conversions"/>
    <x v="18"/>
    <x v="841"/>
    <x v="4"/>
    <s v="Telegram ads"/>
    <n v="2000"/>
    <n v="2"/>
    <x v="0"/>
  </r>
  <r>
    <s v="K138960"/>
    <s v="Old Portal_1YT"/>
    <x v="40"/>
    <x v="842"/>
    <x v="30"/>
    <s v="MAIN WEBSITE (HOT)"/>
    <n v="1000"/>
    <n v="1"/>
    <x v="1"/>
  </r>
  <r>
    <s v="K139448"/>
    <s v="Old Portal_1YT"/>
    <x v="10"/>
    <x v="843"/>
    <x v="2"/>
    <s v="META3"/>
    <n v="2000"/>
    <n v="3"/>
    <x v="0"/>
  </r>
  <r>
    <s v="A151336"/>
    <s v="Old Portal_1YT"/>
    <x v="37"/>
    <x v="844"/>
    <x v="1"/>
    <s v="SUNIL"/>
    <n v="500"/>
    <n v="1"/>
    <x v="0"/>
  </r>
  <r>
    <s v="A91522"/>
    <s v="Traded Conversions"/>
    <x v="12"/>
    <x v="845"/>
    <x v="25"/>
    <s v="Meta6"/>
    <n v="1000"/>
    <n v="1"/>
    <x v="2"/>
  </r>
  <r>
    <s v="P131011"/>
    <s v="Traded Conversions"/>
    <x v="20"/>
    <x v="846"/>
    <x v="2"/>
    <s v="MAIN WEBSITE (HOT)"/>
    <n v="5000"/>
    <n v="1"/>
    <x v="0"/>
  </r>
  <r>
    <s v="P105265"/>
    <s v="Traded Conversions"/>
    <x v="13"/>
    <x v="847"/>
    <x v="7"/>
    <s v="Referral (HOT)"/>
    <n v="1000"/>
    <n v="3"/>
    <x v="0"/>
  </r>
  <r>
    <s v="R148413"/>
    <s v="Traded Conversions"/>
    <x v="20"/>
    <x v="848"/>
    <x v="21"/>
    <s v="Referral (HOT)"/>
    <n v="1000"/>
    <n v="3"/>
    <x v="0"/>
  </r>
  <r>
    <s v="S80236"/>
    <s v="Traded Conversions"/>
    <x v="27"/>
    <x v="849"/>
    <x v="19"/>
    <s v="Meta6"/>
    <n v="1000"/>
    <n v="1"/>
    <x v="0"/>
  </r>
  <r>
    <s v="P139713"/>
    <s v="Traded Conversions"/>
    <x v="43"/>
    <x v="850"/>
    <x v="5"/>
    <s v="Meta6"/>
    <n v="1000"/>
    <n v="1"/>
    <x v="0"/>
  </r>
  <r>
    <s v="A151678"/>
    <s v="Traded Conversions"/>
    <x v="45"/>
    <x v="851"/>
    <x v="17"/>
    <s v="Meta6"/>
    <n v="2000"/>
    <n v="1"/>
    <x v="0"/>
  </r>
  <r>
    <s v="B140126"/>
    <s v="Traded Conversions"/>
    <x v="4"/>
    <x v="852"/>
    <x v="24"/>
    <s v="Referral (HOT)"/>
    <n v="2000"/>
    <n v="3"/>
    <x v="0"/>
  </r>
  <r>
    <s v="S151632"/>
    <s v="Traded Conversions"/>
    <x v="21"/>
    <x v="853"/>
    <x v="16"/>
    <s v="NHL"/>
    <n v="3000"/>
    <n v="2"/>
    <x v="0"/>
  </r>
  <r>
    <s v="A134925"/>
    <s v="Old Portal_1YT"/>
    <x v="45"/>
    <x v="854"/>
    <x v="1"/>
    <s v="META3"/>
    <n v="1000"/>
    <n v="3"/>
    <x v="0"/>
  </r>
  <r>
    <s v="N145781"/>
    <s v="Old Portal_1YT"/>
    <x v="15"/>
    <x v="855"/>
    <x v="18"/>
    <s v="APPLICATION"/>
    <n v="1000"/>
    <n v="1"/>
    <x v="0"/>
  </r>
  <r>
    <s v="V136594"/>
    <s v="Traded Conversions"/>
    <x v="42"/>
    <x v="856"/>
    <x v="10"/>
    <s v="Meta6"/>
    <n v="3000"/>
    <n v="1"/>
    <x v="0"/>
  </r>
  <r>
    <s v="M146763"/>
    <s v="Traded Conversions"/>
    <x v="11"/>
    <x v="688"/>
    <x v="10"/>
    <s v="MAIN WEBSITE (HOT)"/>
    <n v="3500"/>
    <n v="1"/>
    <x v="0"/>
  </r>
  <r>
    <s v="A150314"/>
    <s v="Traded Conversions"/>
    <x v="13"/>
    <x v="857"/>
    <x v="16"/>
    <s v="Referral (HOT)"/>
    <n v="1000"/>
    <n v="3"/>
    <x v="0"/>
  </r>
  <r>
    <s v="S143310"/>
    <s v="Traded Conversions"/>
    <x v="20"/>
    <x v="858"/>
    <x v="4"/>
    <s v="Referral (HOT)"/>
    <n v="1000"/>
    <n v="3"/>
    <x v="0"/>
  </r>
  <r>
    <s v="A114414"/>
    <s v="Not traded new panel"/>
    <x v="32"/>
    <x v="859"/>
    <x v="0"/>
    <s v="Telegram ads"/>
    <n v="1000"/>
    <n v="2"/>
    <x v="0"/>
  </r>
  <r>
    <s v="A147114"/>
    <s v="Old Portal_1YT"/>
    <x v="17"/>
    <x v="860"/>
    <x v="6"/>
    <s v="META3"/>
    <n v="500"/>
    <n v="3"/>
    <x v="0"/>
  </r>
  <r>
    <s v="M147810"/>
    <s v="Old Portal_1YT"/>
    <x v="40"/>
    <x v="861"/>
    <x v="6"/>
    <s v="STOCKMEME"/>
    <n v="500"/>
    <n v="2"/>
    <x v="0"/>
  </r>
  <r>
    <s v="S108943"/>
    <s v="Traded Conversions"/>
    <x v="5"/>
    <x v="862"/>
    <x v="5"/>
    <s v="MAIN WEBSITE (HOT)"/>
    <n v="10000"/>
    <n v="1"/>
    <x v="0"/>
  </r>
  <r>
    <s v="S146802"/>
    <s v="Traded Conversions"/>
    <x v="24"/>
    <x v="863"/>
    <x v="10"/>
    <s v="MAIN WEBSITE (HOT)"/>
    <n v="44400"/>
    <n v="1"/>
    <x v="0"/>
  </r>
  <r>
    <s v="R143043"/>
    <s v="Traded Conversions"/>
    <x v="9"/>
    <x v="864"/>
    <x v="16"/>
    <s v="Referral (HOT)"/>
    <n v="16000"/>
    <n v="3"/>
    <x v="0"/>
  </r>
  <r>
    <s v="R141762"/>
    <s v="Traded Conversions"/>
    <x v="20"/>
    <x v="865"/>
    <x v="26"/>
    <s v="MAIN WEBSITE (HOT)"/>
    <n v="1000"/>
    <n v="1"/>
    <x v="0"/>
  </r>
  <r>
    <s v="S134262"/>
    <s v="Traded Conversions"/>
    <x v="45"/>
    <x v="866"/>
    <x v="18"/>
    <s v="MAIN WEBSITE (HOT)"/>
    <n v="1000"/>
    <n v="1"/>
    <x v="0"/>
  </r>
  <r>
    <s v="G142045"/>
    <s v="Old Portal_1YT"/>
    <x v="26"/>
    <x v="867"/>
    <x v="11"/>
    <s v="MAIN WEBSITE (HOT) 1"/>
    <n v="500"/>
    <n v="1"/>
    <x v="0"/>
  </r>
  <r>
    <s v="Z89463"/>
    <s v="Traded Conversions"/>
    <x v="25"/>
    <x v="868"/>
    <x v="12"/>
    <s v="Meta6"/>
    <n v="5000"/>
    <n v="1"/>
    <x v="0"/>
  </r>
  <r>
    <s v="P136801"/>
    <s v="Traded Conversions"/>
    <x v="25"/>
    <x v="869"/>
    <x v="26"/>
    <s v="MAIN WEBSITE (HOT)"/>
    <n v="1000"/>
    <n v="1"/>
    <x v="0"/>
  </r>
  <r>
    <s v="A148461"/>
    <s v="Traded Conversions"/>
    <x v="4"/>
    <x v="870"/>
    <x v="0"/>
    <s v="Meta6"/>
    <n v="1000"/>
    <n v="1"/>
    <x v="0"/>
  </r>
  <r>
    <s v="L145574"/>
    <s v="Traded Conversions"/>
    <x v="18"/>
    <x v="871"/>
    <x v="4"/>
    <s v="Referral (HOT)"/>
    <n v="20000"/>
    <n v="3"/>
    <x v="0"/>
  </r>
  <r>
    <s v="R148883"/>
    <s v="Traded Conversions"/>
    <x v="24"/>
    <x v="872"/>
    <x v="21"/>
    <s v="MAIN WEBSITE (HOT)"/>
    <n v="1000"/>
    <n v="1"/>
    <x v="0"/>
  </r>
  <r>
    <s v="S147826"/>
    <s v="Traded Conversions"/>
    <x v="10"/>
    <x v="873"/>
    <x v="8"/>
    <s v="MAIN WEBSITE (HOT)"/>
    <n v="1000"/>
    <n v="1"/>
    <x v="0"/>
  </r>
  <r>
    <s v="F147417"/>
    <s v="Traded Conversions"/>
    <x v="27"/>
    <x v="874"/>
    <x v="21"/>
    <s v="Meta6"/>
    <n v="1000"/>
    <n v="1"/>
    <x v="0"/>
  </r>
  <r>
    <s v="S150626"/>
    <s v="Traded Conversions"/>
    <x v="18"/>
    <x v="875"/>
    <x v="1"/>
    <s v="MAIN WEBSITE (HOT)"/>
    <n v="1000"/>
    <n v="1"/>
    <x v="0"/>
  </r>
  <r>
    <s v="H149846"/>
    <s v="Traded Conversions"/>
    <x v="10"/>
    <x v="876"/>
    <x v="9"/>
    <s v="MAIN WEBSITE (HOT)"/>
    <n v="25000"/>
    <n v="1"/>
    <x v="0"/>
  </r>
  <r>
    <s v="T139371"/>
    <s v="Traded Conversions"/>
    <x v="29"/>
    <x v="877"/>
    <x v="24"/>
    <s v="Meta6"/>
    <n v="3000"/>
    <n v="1"/>
    <x v="0"/>
  </r>
  <r>
    <s v="A151156"/>
    <s v="Traded Conversions"/>
    <x v="11"/>
    <x v="878"/>
    <x v="1"/>
    <s v="MAIN WEBSITE (HOT)"/>
    <n v="135000"/>
    <n v="1"/>
    <x v="0"/>
  </r>
  <r>
    <s v="K146338"/>
    <s v="Traded Conversions"/>
    <x v="20"/>
    <x v="879"/>
    <x v="21"/>
    <s v="MAIN WEBSITE (HOT)"/>
    <n v="1000"/>
    <n v="1"/>
    <x v="0"/>
  </r>
  <r>
    <s v="B141201"/>
    <s v="Traded Conversions"/>
    <x v="49"/>
    <x v="880"/>
    <x v="27"/>
    <s v="Meta6"/>
    <n v="2000"/>
    <n v="1"/>
    <x v="2"/>
  </r>
  <r>
    <s v="R151414"/>
    <s v="Traded Conversions"/>
    <x v="27"/>
    <x v="881"/>
    <x v="1"/>
    <s v="Referral (HOT)"/>
    <n v="5000"/>
    <n v="3"/>
    <x v="0"/>
  </r>
  <r>
    <s v="S150974"/>
    <s v="Traded Conversions"/>
    <x v="2"/>
    <x v="882"/>
    <x v="3"/>
    <s v="Meta Crypto"/>
    <n v="1000"/>
    <n v="3"/>
    <x v="0"/>
  </r>
  <r>
    <s v="C150946"/>
    <s v="Traded Conversions"/>
    <x v="24"/>
    <x v="883"/>
    <x v="1"/>
    <s v="MAIN WEBSITE (HOT)"/>
    <n v="45000"/>
    <n v="1"/>
    <x v="0"/>
  </r>
  <r>
    <s v="K139621"/>
    <s v="Traded Conversions"/>
    <x v="11"/>
    <x v="884"/>
    <x v="5"/>
    <s v="Referral (HOT)"/>
    <n v="4000"/>
    <n v="3"/>
    <x v="0"/>
  </r>
  <r>
    <s v="M147793"/>
    <s v="Traded Conversions"/>
    <x v="24"/>
    <x v="885"/>
    <x v="8"/>
    <s v="MAIN WEBSITE (HOT)"/>
    <n v="16000"/>
    <n v="1"/>
    <x v="0"/>
  </r>
  <r>
    <s v="S146837"/>
    <s v="Traded Conversions"/>
    <x v="10"/>
    <x v="886"/>
    <x v="6"/>
    <s v="MAIN WEBSITE (HOT)"/>
    <n v="1000"/>
    <n v="1"/>
    <x v="0"/>
  </r>
  <r>
    <s v="S149617"/>
    <s v="Traded Conversions"/>
    <x v="14"/>
    <x v="887"/>
    <x v="8"/>
    <s v="MAIN WEBSITE (HOT)"/>
    <n v="2000"/>
    <n v="1"/>
    <x v="0"/>
  </r>
  <r>
    <s v="R142618"/>
    <s v="Traded Conversions"/>
    <x v="4"/>
    <x v="888"/>
    <x v="18"/>
    <s v="MAIN WEBSITE (HOT)"/>
    <n v="1000"/>
    <n v="1"/>
    <x v="0"/>
  </r>
  <r>
    <s v="S140214"/>
    <s v="Traded Conversions"/>
    <x v="5"/>
    <x v="889"/>
    <x v="11"/>
    <s v="Referral (HOT)"/>
    <n v="1500"/>
    <n v="3"/>
    <x v="0"/>
  </r>
  <r>
    <s v="B145441"/>
    <s v="Traded Conversions"/>
    <x v="11"/>
    <x v="890"/>
    <x v="4"/>
    <s v="MAIN WEBSITE (HOT)"/>
    <n v="40000"/>
    <n v="1"/>
    <x v="0"/>
  </r>
  <r>
    <s v="D127176"/>
    <s v="Traded Conversions"/>
    <x v="17"/>
    <x v="891"/>
    <x v="7"/>
    <s v="MAIN WEBSITE (HOT)"/>
    <n v="8000"/>
    <n v="1"/>
    <x v="0"/>
  </r>
  <r>
    <s v="M141887"/>
    <s v="Traded Conversions"/>
    <x v="11"/>
    <x v="892"/>
    <x v="26"/>
    <s v="MAIN WEBSITE (HOT)"/>
    <n v="3000"/>
    <n v="1"/>
    <x v="0"/>
  </r>
  <r>
    <s v="S144693"/>
    <s v="Traded Conversions"/>
    <x v="29"/>
    <x v="893"/>
    <x v="27"/>
    <s v="Meta6"/>
    <n v="1000"/>
    <n v="1"/>
    <x v="2"/>
  </r>
  <r>
    <s v="V137421"/>
    <s v="Traded Conversions"/>
    <x v="1"/>
    <x v="894"/>
    <x v="4"/>
    <s v="Meta6"/>
    <n v="1000"/>
    <n v="1"/>
    <x v="0"/>
  </r>
  <r>
    <s v="K152228"/>
    <s v="Traded Conversions"/>
    <x v="29"/>
    <x v="895"/>
    <x v="17"/>
    <s v="Meta6"/>
    <n v="2000"/>
    <n v="1"/>
    <x v="0"/>
  </r>
  <r>
    <s v="A144110"/>
    <s v="Traded Conversions"/>
    <x v="20"/>
    <x v="896"/>
    <x v="1"/>
    <s v="Referral (HOT)"/>
    <n v="2000"/>
    <n v="3"/>
    <x v="0"/>
  </r>
  <r>
    <s v="D140649"/>
    <s v="Traded Conversions"/>
    <x v="11"/>
    <x v="897"/>
    <x v="2"/>
    <s v="MAIN WEBSITE (HOT)"/>
    <n v="1000"/>
    <n v="1"/>
    <x v="0"/>
  </r>
  <r>
    <s v="S144966"/>
    <s v="Traded Conversions"/>
    <x v="8"/>
    <x v="898"/>
    <x v="27"/>
    <s v="Referral (HOT)"/>
    <n v="4000"/>
    <n v="3"/>
    <x v="2"/>
  </r>
  <r>
    <s v="A146183"/>
    <s v="Traded Conversions"/>
    <x v="0"/>
    <x v="899"/>
    <x v="10"/>
    <s v="Telegram ads"/>
    <n v="5000"/>
    <n v="2"/>
    <x v="0"/>
  </r>
  <r>
    <s v="B117079"/>
    <s v="Traded Conversions"/>
    <x v="43"/>
    <x v="900"/>
    <x v="6"/>
    <s v="MAIN WEBSITE (HOT)"/>
    <n v="1000"/>
    <n v="1"/>
    <x v="0"/>
  </r>
  <r>
    <s v="G143753"/>
    <s v="Traded Conversions"/>
    <x v="8"/>
    <x v="901"/>
    <x v="5"/>
    <s v="Referral (HOT)"/>
    <n v="1000"/>
    <n v="3"/>
    <x v="0"/>
  </r>
  <r>
    <s v="D146105"/>
    <s v="Traded Conversions"/>
    <x v="14"/>
    <x v="902"/>
    <x v="15"/>
    <s v="MAIN WEBSITE (HOT)"/>
    <n v="3500"/>
    <n v="1"/>
    <x v="0"/>
  </r>
  <r>
    <s v="T152202"/>
    <s v="Traded Conversions"/>
    <x v="11"/>
    <x v="903"/>
    <x v="17"/>
    <s v="Referral (HOT)"/>
    <n v="1000"/>
    <n v="3"/>
    <x v="0"/>
  </r>
  <r>
    <s v="A145489"/>
    <s v="Traded Conversions"/>
    <x v="27"/>
    <x v="904"/>
    <x v="18"/>
    <s v="MAIN WEBSITE (HOT)"/>
    <n v="1000"/>
    <n v="1"/>
    <x v="0"/>
  </r>
  <r>
    <s v="A148435"/>
    <s v="Old Portal_1YT"/>
    <x v="32"/>
    <x v="905"/>
    <x v="23"/>
    <s v="MAIN WEBSITE (HOT)"/>
    <n v="2000"/>
    <n v="1"/>
    <x v="0"/>
  </r>
  <r>
    <s v="M131413"/>
    <s v="Old Portal_1YT"/>
    <x v="2"/>
    <x v="906"/>
    <x v="12"/>
    <s v="MAIN WEBSITE (HOT) 1"/>
    <n v="1000"/>
    <n v="1"/>
    <x v="0"/>
  </r>
  <r>
    <s v="H148576"/>
    <s v="Old Portal_1YT"/>
    <x v="24"/>
    <x v="907"/>
    <x v="23"/>
    <s v="MAIN WEBSITE (HOT)"/>
    <n v="2500"/>
    <n v="1"/>
    <x v="0"/>
  </r>
  <r>
    <s v="A139153"/>
    <s v="Old Portal_1YT"/>
    <x v="8"/>
    <x v="908"/>
    <x v="11"/>
    <s v="PRS"/>
    <n v="6000"/>
    <n v="1"/>
    <x v="0"/>
  </r>
  <r>
    <s v="R89787"/>
    <s v="Not traded new panel"/>
    <x v="48"/>
    <x v="909"/>
    <x v="23"/>
    <s v="MAIN WEBSITE (HOT)"/>
    <n v="527"/>
    <n v="1"/>
    <x v="0"/>
  </r>
  <r>
    <s v="L135934"/>
    <s v="Old Portal_1YT"/>
    <x v="33"/>
    <x v="910"/>
    <x v="4"/>
    <s v="META3"/>
    <n v="1000"/>
    <n v="3"/>
    <x v="0"/>
  </r>
  <r>
    <s v="M147199"/>
    <s v="Old Portal_1YT"/>
    <x v="25"/>
    <x v="911"/>
    <x v="6"/>
    <s v="META3"/>
    <n v="1500"/>
    <n v="3"/>
    <x v="0"/>
  </r>
  <r>
    <s v="S149138"/>
    <s v="Traded Conversions"/>
    <x v="20"/>
    <x v="912"/>
    <x v="8"/>
    <s v="Referral (HOT)"/>
    <n v="1000"/>
    <n v="3"/>
    <x v="0"/>
  </r>
  <r>
    <s v="M141302"/>
    <s v="Traded Conversions"/>
    <x v="27"/>
    <x v="913"/>
    <x v="26"/>
    <s v="META3"/>
    <n v="1000"/>
    <n v="3"/>
    <x v="0"/>
  </r>
  <r>
    <s v="I151111"/>
    <s v="Traded Conversions"/>
    <x v="1"/>
    <x v="914"/>
    <x v="1"/>
    <s v="MAIN WEBSITE (HOT)"/>
    <n v="5000"/>
    <n v="1"/>
    <x v="0"/>
  </r>
  <r>
    <s v="D130015"/>
    <s v="Traded Conversions"/>
    <x v="18"/>
    <x v="915"/>
    <x v="7"/>
    <s v="MAIN WEBSITE (HOT)"/>
    <n v="10000"/>
    <n v="1"/>
    <x v="0"/>
  </r>
  <r>
    <s v="S89122"/>
    <s v="Traded Conversions"/>
    <x v="27"/>
    <x v="916"/>
    <x v="22"/>
    <s v="Meta6"/>
    <n v="1000"/>
    <n v="1"/>
    <x v="0"/>
  </r>
  <r>
    <s v="A61735"/>
    <s v="Traded Conversions"/>
    <x v="37"/>
    <x v="917"/>
    <x v="8"/>
    <s v="MAIN WEBSITE (HOT)"/>
    <n v="3000"/>
    <n v="1"/>
    <x v="0"/>
  </r>
  <r>
    <s v="R98652"/>
    <s v="Traded Conversions"/>
    <x v="25"/>
    <x v="918"/>
    <x v="2"/>
    <s v="Meta6"/>
    <n v="1000"/>
    <n v="1"/>
    <x v="0"/>
  </r>
  <r>
    <s v="M137360"/>
    <s v="Traded Conversions"/>
    <x v="9"/>
    <x v="919"/>
    <x v="7"/>
    <s v="Meta6"/>
    <n v="1000"/>
    <n v="1"/>
    <x v="0"/>
  </r>
  <r>
    <s v="R143469"/>
    <s v="Traded Conversions"/>
    <x v="19"/>
    <x v="920"/>
    <x v="5"/>
    <s v="Referral (HOT)"/>
    <n v="1000"/>
    <n v="3"/>
    <x v="0"/>
  </r>
  <r>
    <s v="S99080"/>
    <s v="Traded Conversions"/>
    <x v="37"/>
    <x v="921"/>
    <x v="11"/>
    <s v="Meta6"/>
    <n v="2000"/>
    <n v="1"/>
    <x v="0"/>
  </r>
  <r>
    <s v="M142487"/>
    <s v="Traded Conversions"/>
    <x v="30"/>
    <x v="922"/>
    <x v="11"/>
    <s v="MAIN WEBSITE (HOT) 1"/>
    <n v="2000"/>
    <n v="1"/>
    <x v="0"/>
  </r>
  <r>
    <s v="B140617"/>
    <s v="Traded Conversions"/>
    <x v="14"/>
    <x v="923"/>
    <x v="26"/>
    <s v="Telegram"/>
    <n v="15000"/>
    <n v="2"/>
    <x v="0"/>
  </r>
  <r>
    <s v="R139744"/>
    <s v="Traded Conversions"/>
    <x v="12"/>
    <x v="924"/>
    <x v="2"/>
    <s v="Telegram ads"/>
    <n v="1000"/>
    <n v="2"/>
    <x v="0"/>
  </r>
  <r>
    <s v="D151089"/>
    <s v="Traded Conversions"/>
    <x v="20"/>
    <x v="925"/>
    <x v="3"/>
    <s v="MAIN WEBSITE (HOT)"/>
    <n v="1000"/>
    <n v="1"/>
    <x v="0"/>
  </r>
  <r>
    <s v="Y150683"/>
    <s v="Traded Conversions"/>
    <x v="16"/>
    <x v="926"/>
    <x v="9"/>
    <s v="META3"/>
    <n v="1000"/>
    <n v="3"/>
    <x v="0"/>
  </r>
  <r>
    <s v="S146707"/>
    <s v="Traded Conversions"/>
    <x v="24"/>
    <x v="927"/>
    <x v="18"/>
    <s v="MAIN WEBSITE (HOT)"/>
    <n v="1000"/>
    <n v="1"/>
    <x v="0"/>
  </r>
  <r>
    <s v="A142129"/>
    <s v="Traded Conversions"/>
    <x v="19"/>
    <x v="928"/>
    <x v="26"/>
    <s v="Referral (HOT)"/>
    <n v="2500"/>
    <n v="3"/>
    <x v="0"/>
  </r>
  <r>
    <s v="M148755"/>
    <s v="Traded Conversions"/>
    <x v="10"/>
    <x v="929"/>
    <x v="21"/>
    <s v="MAIN WEBSITE (HOT)"/>
    <n v="1000"/>
    <n v="1"/>
    <x v="0"/>
  </r>
  <r>
    <s v="A143658"/>
    <s v="Traded Conversions"/>
    <x v="20"/>
    <x v="930"/>
    <x v="4"/>
    <s v="Referral (HOT)"/>
    <n v="1000"/>
    <n v="3"/>
    <x v="0"/>
  </r>
  <r>
    <s v="M122664"/>
    <s v="Traded Conversions"/>
    <x v="26"/>
    <x v="931"/>
    <x v="7"/>
    <s v="Meta6"/>
    <n v="1000"/>
    <n v="1"/>
    <x v="0"/>
  </r>
  <r>
    <s v="R140385"/>
    <s v="Old Portal_1YT"/>
    <x v="21"/>
    <x v="932"/>
    <x v="2"/>
    <s v="STOCKMEME"/>
    <n v="1000"/>
    <n v="2"/>
    <x v="0"/>
  </r>
  <r>
    <s v="V142832"/>
    <s v="Old Portal_1YT"/>
    <x v="5"/>
    <x v="933"/>
    <x v="11"/>
    <s v="MAIN WEBSITE (HOT)"/>
    <n v="1000"/>
    <n v="1"/>
    <x v="0"/>
  </r>
  <r>
    <s v="K139719"/>
    <s v="Old Portal_1YT"/>
    <x v="12"/>
    <x v="934"/>
    <x v="22"/>
    <s v="MAIN WEBSITE (HOT)"/>
    <n v="1000"/>
    <n v="1"/>
    <x v="0"/>
  </r>
  <r>
    <s v="R146718"/>
    <s v="Old Portal_1YT"/>
    <x v="44"/>
    <x v="935"/>
    <x v="18"/>
    <s v="META3"/>
    <n v="1025"/>
    <n v="3"/>
    <x v="0"/>
  </r>
  <r>
    <s v="S145761"/>
    <s v="Traded Conversions"/>
    <x v="19"/>
    <x v="936"/>
    <x v="4"/>
    <s v="Telegram ads"/>
    <n v="1000"/>
    <n v="2"/>
    <x v="0"/>
  </r>
  <r>
    <s v="R94945"/>
    <s v="Traded Conversions"/>
    <x v="40"/>
    <x v="937"/>
    <x v="12"/>
    <s v="Meta6"/>
    <n v="1000"/>
    <n v="1"/>
    <x v="0"/>
  </r>
  <r>
    <s v="Y125429"/>
    <s v="Traded Conversions"/>
    <x v="11"/>
    <x v="938"/>
    <x v="11"/>
    <s v="MAIN WEBSITE (HOT)"/>
    <n v="2000"/>
    <n v="1"/>
    <x v="0"/>
  </r>
  <r>
    <s v="A135435"/>
    <s v="Traded Conversions"/>
    <x v="29"/>
    <x v="939"/>
    <x v="2"/>
    <s v="Meta6"/>
    <n v="1000"/>
    <n v="1"/>
    <x v="0"/>
  </r>
  <r>
    <s v="M136221"/>
    <s v="Traded Conversions"/>
    <x v="20"/>
    <x v="940"/>
    <x v="4"/>
    <s v="MAIN WEBSITE (HOT)"/>
    <n v="1000"/>
    <n v="1"/>
    <x v="0"/>
  </r>
  <r>
    <s v="P138593"/>
    <s v="Traded Conversions"/>
    <x v="12"/>
    <x v="941"/>
    <x v="19"/>
    <s v="Meta6"/>
    <n v="1000"/>
    <n v="1"/>
    <x v="0"/>
  </r>
  <r>
    <s v="S143661"/>
    <s v="Traded Conversions"/>
    <x v="45"/>
    <x v="942"/>
    <x v="5"/>
    <s v="Meta6"/>
    <n v="1000"/>
    <n v="1"/>
    <x v="0"/>
  </r>
  <r>
    <s v="A152199"/>
    <s v="Traded Conversions"/>
    <x v="14"/>
    <x v="943"/>
    <x v="16"/>
    <s v="MAIN WEBSITE (HOT)"/>
    <n v="9757"/>
    <n v="1"/>
    <x v="0"/>
  </r>
  <r>
    <s v="S151335"/>
    <s v="Traded Conversions"/>
    <x v="0"/>
    <x v="944"/>
    <x v="1"/>
    <s v="Referral (HOT)"/>
    <n v="1000"/>
    <n v="3"/>
    <x v="0"/>
  </r>
  <r>
    <s v="R141588"/>
    <s v="Old Portal_1YT"/>
    <x v="7"/>
    <x v="945"/>
    <x v="26"/>
    <s v="META3"/>
    <n v="10000"/>
    <n v="3"/>
    <x v="0"/>
  </r>
  <r>
    <s v="R139647"/>
    <s v="Old Portal_1YT"/>
    <x v="13"/>
    <x v="946"/>
    <x v="24"/>
    <s v="Telegram"/>
    <n v="1000"/>
    <n v="2"/>
    <x v="0"/>
  </r>
  <r>
    <s v="J93823"/>
    <s v="Traded Conversions"/>
    <x v="40"/>
    <x v="947"/>
    <x v="26"/>
    <s v="META2"/>
    <n v="1000"/>
    <n v="3"/>
    <x v="0"/>
  </r>
  <r>
    <s v="S141036"/>
    <s v="Traded Conversions"/>
    <x v="12"/>
    <x v="948"/>
    <x v="6"/>
    <s v="Referral (HOT)"/>
    <n v="1000"/>
    <n v="3"/>
    <x v="0"/>
  </r>
  <r>
    <s v="D148723"/>
    <s v="Traded Conversions"/>
    <x v="17"/>
    <x v="949"/>
    <x v="21"/>
    <s v="Referral (HOT)"/>
    <n v="4500"/>
    <n v="3"/>
    <x v="0"/>
  </r>
  <r>
    <s v="V150624"/>
    <s v="Traded Conversions"/>
    <x v="14"/>
    <x v="950"/>
    <x v="17"/>
    <s v="Referral (HOT)"/>
    <n v="1000"/>
    <n v="3"/>
    <x v="0"/>
  </r>
  <r>
    <s v="K145355"/>
    <s v="Traded Conversions"/>
    <x v="20"/>
    <x v="951"/>
    <x v="7"/>
    <s v="MAIN WEBSITE (HOT)"/>
    <n v="1000"/>
    <n v="1"/>
    <x v="0"/>
  </r>
  <r>
    <s v="A146778"/>
    <s v="Traded Conversions"/>
    <x v="43"/>
    <x v="952"/>
    <x v="18"/>
    <s v="Referral (HOT)"/>
    <n v="2000"/>
    <n v="3"/>
    <x v="0"/>
  </r>
  <r>
    <s v="G140609"/>
    <s v="Old Portal_1YT"/>
    <x v="48"/>
    <x v="953"/>
    <x v="2"/>
    <s v="Instagram"/>
    <n v="2138"/>
    <n v="2"/>
    <x v="0"/>
  </r>
  <r>
    <s v="S135110"/>
    <s v="Traded Conversions"/>
    <x v="20"/>
    <x v="954"/>
    <x v="22"/>
    <s v="MAIN WEBSITE (HOT)"/>
    <n v="2000"/>
    <n v="1"/>
    <x v="0"/>
  </r>
  <r>
    <s v="A131954"/>
    <s v="Traded Conversions"/>
    <x v="19"/>
    <x v="955"/>
    <x v="8"/>
    <s v="META2"/>
    <n v="1500"/>
    <n v="3"/>
    <x v="0"/>
  </r>
  <r>
    <s v="A146976"/>
    <s v="Traded Conversions"/>
    <x v="1"/>
    <x v="956"/>
    <x v="10"/>
    <s v="Meta6"/>
    <n v="1000"/>
    <n v="1"/>
    <x v="0"/>
  </r>
  <r>
    <s v="S140204"/>
    <s v="Traded Conversions"/>
    <x v="32"/>
    <x v="957"/>
    <x v="2"/>
    <s v="Referral (HOT)"/>
    <n v="35000"/>
    <n v="3"/>
    <x v="0"/>
  </r>
  <r>
    <s v="S139933"/>
    <s v="Traded Conversions"/>
    <x v="6"/>
    <x v="958"/>
    <x v="8"/>
    <s v="Referral (HOT)"/>
    <n v="1000"/>
    <n v="3"/>
    <x v="0"/>
  </r>
  <r>
    <s v="S146831"/>
    <s v="Traded Conversions"/>
    <x v="18"/>
    <x v="959"/>
    <x v="0"/>
    <s v="Referral (HOT)"/>
    <n v="2000"/>
    <n v="3"/>
    <x v="0"/>
  </r>
  <r>
    <s v="S151223"/>
    <s v="Old Portal_1YT"/>
    <x v="18"/>
    <x v="960"/>
    <x v="1"/>
    <s v="MAIN WEBSITE (HOT)"/>
    <n v="10000"/>
    <n v="1"/>
    <x v="0"/>
  </r>
  <r>
    <s v="M149338"/>
    <s v="Old Portal_1YT"/>
    <x v="20"/>
    <x v="961"/>
    <x v="0"/>
    <s v="Instagram"/>
    <n v="1729"/>
    <n v="2"/>
    <x v="0"/>
  </r>
  <r>
    <s v="B140079"/>
    <s v="Traded Conversions"/>
    <x v="19"/>
    <x v="962"/>
    <x v="12"/>
    <s v="Referral (HOT)"/>
    <n v="9000"/>
    <n v="3"/>
    <x v="0"/>
  </r>
  <r>
    <s v="A151347"/>
    <s v="Traded Conversions"/>
    <x v="9"/>
    <x v="963"/>
    <x v="1"/>
    <s v="Referral (HOT)"/>
    <n v="1000"/>
    <n v="3"/>
    <x v="0"/>
  </r>
  <r>
    <s v="S141918"/>
    <s v="Traded Conversions"/>
    <x v="32"/>
    <x v="964"/>
    <x v="11"/>
    <s v="Referral (HOT)"/>
    <n v="34000"/>
    <n v="3"/>
    <x v="0"/>
  </r>
  <r>
    <s v="K144660"/>
    <s v="Traded Conversions"/>
    <x v="11"/>
    <x v="965"/>
    <x v="13"/>
    <s v="Referral (HOT)"/>
    <n v="25000"/>
    <n v="3"/>
    <x v="1"/>
  </r>
  <r>
    <s v="S142439"/>
    <s v="Traded Conversions"/>
    <x v="0"/>
    <x v="966"/>
    <x v="12"/>
    <s v="Meta6"/>
    <n v="1000"/>
    <n v="1"/>
    <x v="0"/>
  </r>
  <r>
    <s v="S142087"/>
    <s v="Traded Conversions"/>
    <x v="10"/>
    <x v="967"/>
    <x v="5"/>
    <s v="MAIN WEBSITE (HOT)"/>
    <n v="49000"/>
    <n v="1"/>
    <x v="0"/>
  </r>
  <r>
    <s v="P149136"/>
    <s v="Traded Conversions"/>
    <x v="20"/>
    <x v="968"/>
    <x v="0"/>
    <s v="Referral (HOT)"/>
    <n v="1000"/>
    <n v="3"/>
    <x v="0"/>
  </r>
  <r>
    <s v="M150208"/>
    <s v="Traded Conversions"/>
    <x v="12"/>
    <x v="969"/>
    <x v="9"/>
    <s v="Telegram ads"/>
    <n v="1001"/>
    <n v="2"/>
    <x v="0"/>
  </r>
  <r>
    <s v="J118052"/>
    <s v="Traded Conversions"/>
    <x v="45"/>
    <x v="970"/>
    <x v="23"/>
    <s v="MAIN WEBSITE (HOT)"/>
    <n v="11000"/>
    <n v="1"/>
    <x v="0"/>
  </r>
  <r>
    <s v="D148354"/>
    <s v="Traded Conversions"/>
    <x v="3"/>
    <x v="971"/>
    <x v="8"/>
    <s v="Referral (HOT)"/>
    <n v="2000"/>
    <n v="3"/>
    <x v="0"/>
  </r>
  <r>
    <s v="K150903"/>
    <s v="Traded Conversions"/>
    <x v="20"/>
    <x v="972"/>
    <x v="9"/>
    <s v="MAIN WEBSITE (HOT)"/>
    <n v="2000"/>
    <n v="1"/>
    <x v="0"/>
  </r>
  <r>
    <s v="Y139566"/>
    <s v="Traded Conversions"/>
    <x v="11"/>
    <x v="973"/>
    <x v="22"/>
    <s v="MAIN WEBSITE (HOT)"/>
    <n v="5000"/>
    <n v="1"/>
    <x v="0"/>
  </r>
  <r>
    <s v="D134581"/>
    <s v="Traded Conversions"/>
    <x v="17"/>
    <x v="974"/>
    <x v="15"/>
    <s v="MAIN WEBSITE (HOT)"/>
    <n v="1000"/>
    <n v="1"/>
    <x v="0"/>
  </r>
  <r>
    <s v="J148254"/>
    <s v="Traded Conversions"/>
    <x v="24"/>
    <x v="975"/>
    <x v="23"/>
    <s v="MAIN WEBSITE (HOT)"/>
    <n v="10000"/>
    <n v="1"/>
    <x v="0"/>
  </r>
  <r>
    <s v="R149703"/>
    <s v="Traded Conversions"/>
    <x v="19"/>
    <x v="976"/>
    <x v="3"/>
    <s v="Meta6"/>
    <n v="1000"/>
    <n v="1"/>
    <x v="0"/>
  </r>
  <r>
    <s v="S148829"/>
    <s v="Traded Conversions"/>
    <x v="41"/>
    <x v="977"/>
    <x v="0"/>
    <s v="Referral (HOT)"/>
    <n v="3000"/>
    <n v="3"/>
    <x v="0"/>
  </r>
  <r>
    <s v="A139756"/>
    <s v="Traded Conversions"/>
    <x v="10"/>
    <x v="978"/>
    <x v="22"/>
    <s v="MAIN WEBSITE (HOT) 1"/>
    <n v="1000"/>
    <n v="1"/>
    <x v="0"/>
  </r>
  <r>
    <s v="A149516"/>
    <s v="Traded Conversions"/>
    <x v="12"/>
    <x v="979"/>
    <x v="8"/>
    <s v="Telegram ads"/>
    <n v="1000"/>
    <n v="2"/>
    <x v="0"/>
  </r>
  <r>
    <s v="V140141"/>
    <s v="Traded Conversions"/>
    <x v="9"/>
    <x v="980"/>
    <x v="2"/>
    <s v="Meta6"/>
    <n v="1000"/>
    <n v="1"/>
    <x v="0"/>
  </r>
  <r>
    <s v="M145375"/>
    <s v="Traded Conversions"/>
    <x v="14"/>
    <x v="981"/>
    <x v="18"/>
    <s v="MAIN WEBSITE (HOT)"/>
    <n v="1000"/>
    <n v="1"/>
    <x v="0"/>
  </r>
  <r>
    <s v="P147993"/>
    <s v="Traded Conversions"/>
    <x v="10"/>
    <x v="982"/>
    <x v="23"/>
    <s v="MAIN WEBSITE (HOT)"/>
    <n v="35000"/>
    <n v="1"/>
    <x v="0"/>
  </r>
  <r>
    <s v="C148406"/>
    <s v="Traded Conversions"/>
    <x v="18"/>
    <x v="983"/>
    <x v="21"/>
    <s v="MAIN WEBSITE (HOT)"/>
    <n v="6000"/>
    <n v="1"/>
    <x v="0"/>
  </r>
  <r>
    <s v="M144027"/>
    <s v="Traded Conversions"/>
    <x v="29"/>
    <x v="984"/>
    <x v="15"/>
    <s v="Telegram ads"/>
    <n v="1000"/>
    <n v="2"/>
    <x v="0"/>
  </r>
  <r>
    <s v="R145367"/>
    <s v="Traded Conversions"/>
    <x v="27"/>
    <x v="985"/>
    <x v="4"/>
    <s v="Meta6"/>
    <n v="7000"/>
    <n v="1"/>
    <x v="0"/>
  </r>
  <r>
    <s v="C143910"/>
    <s v="Traded Conversions"/>
    <x v="18"/>
    <x v="986"/>
    <x v="7"/>
    <s v="MAIN WEBSITE (HOT)"/>
    <n v="25000"/>
    <n v="1"/>
    <x v="0"/>
  </r>
  <r>
    <s v="R148210"/>
    <s v="Traded Conversions"/>
    <x v="20"/>
    <x v="987"/>
    <x v="0"/>
    <s v="Referral (HOT)"/>
    <n v="1000"/>
    <n v="3"/>
    <x v="0"/>
  </r>
  <r>
    <s v="H152697"/>
    <s v="Traded Conversions"/>
    <x v="20"/>
    <x v="988"/>
    <x v="16"/>
    <s v="MAIN WEBSITE (HOT)"/>
    <n v="2000"/>
    <n v="1"/>
    <x v="0"/>
  </r>
  <r>
    <s v="S140772"/>
    <s v="Traded Conversions"/>
    <x v="18"/>
    <x v="989"/>
    <x v="9"/>
    <s v="MAIN WEBSITE (HOT)"/>
    <n v="1000"/>
    <n v="1"/>
    <x v="0"/>
  </r>
  <r>
    <s v="G145769"/>
    <s v="Traded Conversions"/>
    <x v="16"/>
    <x v="990"/>
    <x v="4"/>
    <s v="MAIN WEBSITE (HOT)"/>
    <n v="1000"/>
    <n v="1"/>
    <x v="0"/>
  </r>
  <r>
    <s v="S146900"/>
    <s v="Traded Conversions"/>
    <x v="11"/>
    <x v="991"/>
    <x v="10"/>
    <s v="MAIN WEBSITE (HOT)"/>
    <n v="1000"/>
    <n v="1"/>
    <x v="0"/>
  </r>
  <r>
    <s v="M148157"/>
    <s v="Traded Conversions"/>
    <x v="19"/>
    <x v="992"/>
    <x v="6"/>
    <s v="Referral (HOT)"/>
    <n v="7000"/>
    <n v="3"/>
    <x v="0"/>
  </r>
  <r>
    <s v="P140179"/>
    <s v="Traded Conversions"/>
    <x v="20"/>
    <x v="993"/>
    <x v="11"/>
    <s v="Referral (HOT)"/>
    <n v="1000"/>
    <n v="3"/>
    <x v="0"/>
  </r>
  <r>
    <s v="D140579"/>
    <s v="Traded Conversions"/>
    <x v="1"/>
    <x v="994"/>
    <x v="20"/>
    <s v="Meta6"/>
    <n v="1000"/>
    <n v="1"/>
    <x v="2"/>
  </r>
  <r>
    <s v="R148304"/>
    <s v="Traded Conversions"/>
    <x v="15"/>
    <x v="995"/>
    <x v="23"/>
    <s v="Telegram ads"/>
    <n v="1000"/>
    <n v="2"/>
    <x v="0"/>
  </r>
  <r>
    <s v="S149213"/>
    <s v="Old Portal_1YT"/>
    <x v="15"/>
    <x v="996"/>
    <x v="0"/>
    <s v="Telegram"/>
    <n v="3800"/>
    <n v="2"/>
    <x v="0"/>
  </r>
  <r>
    <s v="V148045"/>
    <s v="Old Portal_1YT"/>
    <x v="40"/>
    <x v="997"/>
    <x v="0"/>
    <s v="APPLICATION"/>
    <n v="20000"/>
    <n v="1"/>
    <x v="0"/>
  </r>
  <r>
    <s v="S146046"/>
    <s v="Old Portal_1YT"/>
    <x v="3"/>
    <x v="998"/>
    <x v="6"/>
    <s v="Direct (HOT)"/>
    <n v="2000"/>
    <n v="1"/>
    <x v="0"/>
  </r>
  <r>
    <s v="P139178"/>
    <s v="Old Portal_1YT"/>
    <x v="6"/>
    <x v="999"/>
    <x v="22"/>
    <s v="Instagram"/>
    <n v="10000"/>
    <n v="2"/>
    <x v="0"/>
  </r>
  <r>
    <s v="R146086"/>
    <s v="Old Portal_1YT"/>
    <x v="36"/>
    <x v="1000"/>
    <x v="18"/>
    <s v="MAIN WEBSITE (HOT)"/>
    <n v="1001"/>
    <n v="1"/>
    <x v="0"/>
  </r>
  <r>
    <s v="R134332"/>
    <s v="Old Portal_1YT"/>
    <x v="5"/>
    <x v="1001"/>
    <x v="24"/>
    <s v="MAIN WEBSITE (HOT)"/>
    <n v="1000"/>
    <n v="1"/>
    <x v="0"/>
  </r>
  <r>
    <s v="C147087"/>
    <s v="Old Portal_1YT"/>
    <x v="38"/>
    <x v="1002"/>
    <x v="10"/>
    <s v="META3"/>
    <n v="1356"/>
    <n v="3"/>
    <x v="0"/>
  </r>
  <r>
    <s v="A82250"/>
    <s v="Traded Conversions"/>
    <x v="27"/>
    <x v="1003"/>
    <x v="15"/>
    <s v="MAIN WEBSITE (HOT)"/>
    <n v="3000"/>
    <n v="1"/>
    <x v="0"/>
  </r>
  <r>
    <s v="H138519"/>
    <s v="Traded Conversions"/>
    <x v="18"/>
    <x v="1004"/>
    <x v="24"/>
    <s v="MAIN WEBSITE (HOT)"/>
    <n v="1000"/>
    <n v="1"/>
    <x v="0"/>
  </r>
  <r>
    <s v="H93952"/>
    <s v="Traded Conversions"/>
    <x v="30"/>
    <x v="1005"/>
    <x v="9"/>
    <s v="MAIN WEBSITE (HOT) 1"/>
    <n v="2000"/>
    <n v="1"/>
    <x v="0"/>
  </r>
  <r>
    <s v="A29734"/>
    <s v="Traded Conversions"/>
    <x v="27"/>
    <x v="1006"/>
    <x v="23"/>
    <s v="META3"/>
    <n v="1000"/>
    <n v="3"/>
    <x v="0"/>
  </r>
  <r>
    <s v="A133408"/>
    <s v="Traded Conversions"/>
    <x v="18"/>
    <x v="1007"/>
    <x v="7"/>
    <s v="MAIN WEBSITE (HOT)"/>
    <n v="1000"/>
    <n v="1"/>
    <x v="0"/>
  </r>
  <r>
    <s v="S136374"/>
    <s v="Traded Conversions"/>
    <x v="18"/>
    <x v="1008"/>
    <x v="12"/>
    <s v="Meta6"/>
    <n v="40000"/>
    <n v="1"/>
    <x v="0"/>
  </r>
  <r>
    <s v="R128888"/>
    <s v="Traded Conversions"/>
    <x v="44"/>
    <x v="1009"/>
    <x v="4"/>
    <s v="Premium"/>
    <n v="1000"/>
    <n v="2"/>
    <x v="0"/>
  </r>
  <r>
    <s v="V144929"/>
    <s v="Traded Conversions"/>
    <x v="15"/>
    <x v="1010"/>
    <x v="27"/>
    <s v="Referral (HOT)"/>
    <n v="3000"/>
    <n v="3"/>
    <x v="2"/>
  </r>
  <r>
    <s v="K141354"/>
    <s v="Traded Conversions"/>
    <x v="9"/>
    <x v="1011"/>
    <x v="12"/>
    <s v="Meta6"/>
    <n v="1001"/>
    <n v="1"/>
    <x v="0"/>
  </r>
  <r>
    <s v="P150823"/>
    <s v="Traded Conversions"/>
    <x v="11"/>
    <x v="1012"/>
    <x v="9"/>
    <s v="MAIN WEBSITE (HOT) 1"/>
    <n v="1000"/>
    <n v="1"/>
    <x v="0"/>
  </r>
  <r>
    <s v="L141530"/>
    <s v="Traded Conversions"/>
    <x v="13"/>
    <x v="1013"/>
    <x v="21"/>
    <s v="Referral (HOT)"/>
    <n v="1000"/>
    <n v="3"/>
    <x v="0"/>
  </r>
  <r>
    <s v="P139848"/>
    <s v="Traded Conversions"/>
    <x v="11"/>
    <x v="1014"/>
    <x v="11"/>
    <s v="MAIN WEBSITE (HOT)"/>
    <n v="5000"/>
    <n v="1"/>
    <x v="0"/>
  </r>
  <r>
    <s v="G145797"/>
    <s v="Traded Conversions"/>
    <x v="1"/>
    <x v="1015"/>
    <x v="4"/>
    <s v="Meta6"/>
    <n v="2000"/>
    <n v="1"/>
    <x v="0"/>
  </r>
  <r>
    <s v="D129038"/>
    <s v="Traded Conversions"/>
    <x v="0"/>
    <x v="1016"/>
    <x v="18"/>
    <s v="META-E"/>
    <n v="1000"/>
    <n v="3"/>
    <x v="0"/>
  </r>
  <r>
    <s v="M147731"/>
    <s v="Traded Conversions"/>
    <x v="10"/>
    <x v="1017"/>
    <x v="6"/>
    <s v="Referral (HOT)"/>
    <n v="10000"/>
    <n v="3"/>
    <x v="0"/>
  </r>
  <r>
    <s v="J150572"/>
    <s v="Traded Conversions"/>
    <x v="19"/>
    <x v="1018"/>
    <x v="16"/>
    <s v="Meta6"/>
    <n v="1000"/>
    <n v="1"/>
    <x v="0"/>
  </r>
  <r>
    <s v="S149176"/>
    <s v="Traded Conversions"/>
    <x v="12"/>
    <x v="1019"/>
    <x v="0"/>
    <s v="Referral (HOT)"/>
    <n v="1000"/>
    <n v="3"/>
    <x v="0"/>
  </r>
  <r>
    <s v="C151753"/>
    <s v="Traded Conversions"/>
    <x v="14"/>
    <x v="1020"/>
    <x v="17"/>
    <s v="MAIN WEBSITE (HOT)"/>
    <n v="1000"/>
    <n v="1"/>
    <x v="0"/>
  </r>
  <r>
    <s v="K140010"/>
    <s v="Old Portal_1YT"/>
    <x v="3"/>
    <x v="1021"/>
    <x v="24"/>
    <s v="Referral (HOT)"/>
    <n v="5000"/>
    <n v="3"/>
    <x v="0"/>
  </r>
  <r>
    <s v="R151946"/>
    <s v="Old Portal_1YT"/>
    <x v="26"/>
    <x v="1022"/>
    <x v="3"/>
    <s v="Referral (HOT)"/>
    <n v="1000"/>
    <n v="3"/>
    <x v="0"/>
  </r>
  <r>
    <s v="K147121"/>
    <s v="Old Portal_1YT"/>
    <x v="34"/>
    <x v="1023"/>
    <x v="0"/>
    <s v="MAIN WEBSITE (HOT)"/>
    <n v="501"/>
    <n v="1"/>
    <x v="0"/>
  </r>
  <r>
    <s v="C143899"/>
    <s v="Traded Conversions"/>
    <x v="15"/>
    <x v="1024"/>
    <x v="5"/>
    <s v="Meta6"/>
    <n v="1000"/>
    <n v="1"/>
    <x v="0"/>
  </r>
  <r>
    <s v="M126084"/>
    <s v="Traded Conversions"/>
    <x v="1"/>
    <x v="1025"/>
    <x v="12"/>
    <s v="Meta6"/>
    <n v="1000"/>
    <n v="1"/>
    <x v="0"/>
  </r>
  <r>
    <s v="A68273"/>
    <s v="Traded Conversions"/>
    <x v="8"/>
    <x v="1026"/>
    <x v="12"/>
    <s v="Meta6"/>
    <n v="1000"/>
    <n v="1"/>
    <x v="0"/>
  </r>
  <r>
    <s v="G132339"/>
    <s v="Traded Conversions"/>
    <x v="18"/>
    <x v="1027"/>
    <x v="23"/>
    <s v="META2"/>
    <n v="1000"/>
    <n v="3"/>
    <x v="0"/>
  </r>
  <r>
    <s v="G64577"/>
    <s v="Traded Conversions"/>
    <x v="19"/>
    <x v="1028"/>
    <x v="17"/>
    <s v="MAIN WEBSITE (HOT)"/>
    <n v="10000"/>
    <n v="1"/>
    <x v="0"/>
  </r>
  <r>
    <s v="G143829"/>
    <s v="Traded Conversions"/>
    <x v="10"/>
    <x v="1029"/>
    <x v="5"/>
    <s v="MAIN WEBSITE (HOT)"/>
    <n v="2000"/>
    <n v="1"/>
    <x v="0"/>
  </r>
  <r>
    <s v="G150851"/>
    <s v="Traded Conversions"/>
    <x v="11"/>
    <x v="1030"/>
    <x v="1"/>
    <s v="MAIN WEBSITE (HOT)"/>
    <n v="1000"/>
    <n v="1"/>
    <x v="0"/>
  </r>
  <r>
    <s v="S147264"/>
    <s v="Traded Conversions"/>
    <x v="20"/>
    <x v="1031"/>
    <x v="30"/>
    <s v="MAIN WEBSITE (HOT)"/>
    <n v="2000"/>
    <n v="1"/>
    <x v="1"/>
  </r>
  <r>
    <s v="B139780"/>
    <s v="Traded Conversions"/>
    <x v="8"/>
    <x v="1032"/>
    <x v="24"/>
    <s v="Meta6"/>
    <n v="1000"/>
    <n v="1"/>
    <x v="0"/>
  </r>
  <r>
    <s v="V63623"/>
    <s v="Not traded new panel"/>
    <x v="30"/>
    <x v="1033"/>
    <x v="26"/>
    <s v="META3"/>
    <n v="1000"/>
    <n v="3"/>
    <x v="0"/>
  </r>
  <r>
    <s v="M142211"/>
    <s v="Old Portal_1YT"/>
    <x v="33"/>
    <x v="1034"/>
    <x v="21"/>
    <s v="DV1"/>
    <n v="1000"/>
    <n v="2"/>
    <x v="0"/>
  </r>
  <r>
    <s v="S147083"/>
    <s v="Old Portal_1YT"/>
    <x v="48"/>
    <x v="1035"/>
    <x v="30"/>
    <s v="MAIN WEBSITE (HOT) 1"/>
    <n v="500"/>
    <n v="1"/>
    <x v="1"/>
  </r>
  <r>
    <s v="A140862"/>
    <s v="Traded Conversions"/>
    <x v="20"/>
    <x v="1036"/>
    <x v="2"/>
    <s v="MAIN WEBSITE (HOT)"/>
    <n v="1000"/>
    <n v="1"/>
    <x v="0"/>
  </r>
  <r>
    <s v="M106991"/>
    <s v="Traded Conversions"/>
    <x v="30"/>
    <x v="1037"/>
    <x v="5"/>
    <s v="Meta6"/>
    <n v="1001"/>
    <n v="1"/>
    <x v="0"/>
  </r>
  <r>
    <s v="G148043"/>
    <s v="Traded Conversions"/>
    <x v="11"/>
    <x v="1038"/>
    <x v="6"/>
    <s v="MAIN WEBSITE (HOT)"/>
    <n v="1000"/>
    <n v="1"/>
    <x v="0"/>
  </r>
  <r>
    <s v="G141596"/>
    <s v="Traded Conversions"/>
    <x v="25"/>
    <x v="1039"/>
    <x v="16"/>
    <s v="MAIN WEBSITE (HOT)"/>
    <n v="1000"/>
    <n v="1"/>
    <x v="0"/>
  </r>
  <r>
    <s v="P137897"/>
    <s v="Traded Conversions"/>
    <x v="18"/>
    <x v="1040"/>
    <x v="12"/>
    <s v="MAIN WEBSITE (HOT)"/>
    <n v="5000"/>
    <n v="1"/>
    <x v="0"/>
  </r>
  <r>
    <s v="R134918"/>
    <s v="Old Portal_1YT"/>
    <x v="33"/>
    <x v="1041"/>
    <x v="10"/>
    <s v="Telegram"/>
    <n v="1000"/>
    <n v="2"/>
    <x v="0"/>
  </r>
  <r>
    <s v="S142390"/>
    <s v="Old Portal_1YT"/>
    <x v="1"/>
    <x v="1042"/>
    <x v="11"/>
    <s v="MAIN WEBSITE (HOT)"/>
    <n v="1000"/>
    <n v="1"/>
    <x v="0"/>
  </r>
  <r>
    <s v="C147189"/>
    <s v="Old Portal_1YT"/>
    <x v="34"/>
    <x v="1043"/>
    <x v="10"/>
    <s v="Referral (HOT)"/>
    <n v="862"/>
    <n v="3"/>
    <x v="0"/>
  </r>
  <r>
    <s v="L22662"/>
    <s v="Traded Conversions"/>
    <x v="9"/>
    <x v="1044"/>
    <x v="1"/>
    <s v="Meta6"/>
    <n v="1001"/>
    <n v="1"/>
    <x v="0"/>
  </r>
  <r>
    <s v="S147076"/>
    <s v="Old Portal_1YT"/>
    <x v="0"/>
    <x v="1045"/>
    <x v="10"/>
    <s v="MAIN WEBSITE (HOT)"/>
    <n v="3939"/>
    <n v="1"/>
    <x v="0"/>
  </r>
  <r>
    <s v="N26390"/>
    <s v="Not traded new panel"/>
    <x v="35"/>
    <x v="1046"/>
    <x v="21"/>
    <s v="Referral (HOT)"/>
    <n v="10000"/>
    <n v="3"/>
    <x v="0"/>
  </r>
  <r>
    <s v="A146792"/>
    <s v="Old Portal_1YT"/>
    <x v="34"/>
    <x v="1047"/>
    <x v="18"/>
    <s v="MAIN WEBSITE (HOT) 1"/>
    <n v="1000"/>
    <n v="1"/>
    <x v="0"/>
  </r>
  <r>
    <s v="D140390"/>
    <s v="Old Portal_1YT"/>
    <x v="1"/>
    <x v="1048"/>
    <x v="24"/>
    <s v="Referral (HOT)"/>
    <n v="25000"/>
    <n v="3"/>
    <x v="0"/>
  </r>
  <r>
    <s v="N149597"/>
    <s v="Old Portal_1YT"/>
    <x v="7"/>
    <x v="1049"/>
    <x v="8"/>
    <s v="MAIN WEBSITE (HOT)"/>
    <n v="500"/>
    <n v="1"/>
    <x v="0"/>
  </r>
  <r>
    <s v="B137577"/>
    <s v="Old Portal_1YT"/>
    <x v="3"/>
    <x v="1050"/>
    <x v="4"/>
    <s v="MAIN WEBSITE (HOT) 1"/>
    <n v="1000"/>
    <n v="1"/>
    <x v="0"/>
  </r>
  <r>
    <s v="S147558"/>
    <s v="Old Portal_1YT"/>
    <x v="8"/>
    <x v="1051"/>
    <x v="23"/>
    <s v="MAIN WEBSITE (HOT)"/>
    <n v="2000"/>
    <n v="1"/>
    <x v="0"/>
  </r>
  <r>
    <s v="L143934"/>
    <s v="Old Portal_1YT"/>
    <x v="9"/>
    <x v="1052"/>
    <x v="17"/>
    <s v="MAIN WEBSITE (HOT)"/>
    <n v="1000"/>
    <n v="1"/>
    <x v="0"/>
  </r>
  <r>
    <s v="K145913"/>
    <s v="Old Portal_1YT"/>
    <x v="32"/>
    <x v="1053"/>
    <x v="4"/>
    <s v="MAIN WEBSITE (HOT)"/>
    <n v="2000"/>
    <n v="1"/>
    <x v="0"/>
  </r>
  <r>
    <s v="A131016"/>
    <s v="Traded Conversions"/>
    <x v="18"/>
    <x v="1054"/>
    <x v="2"/>
    <s v="MAIN WEBSITE (HOT)"/>
    <n v="1000"/>
    <n v="1"/>
    <x v="0"/>
  </r>
  <r>
    <s v="G113369"/>
    <s v="Traded Conversions"/>
    <x v="25"/>
    <x v="1055"/>
    <x v="10"/>
    <s v="MAIN WEBSITE (HOT)"/>
    <n v="3000"/>
    <n v="1"/>
    <x v="0"/>
  </r>
  <r>
    <s v="K132236"/>
    <s v="Traded Conversions"/>
    <x v="42"/>
    <x v="1056"/>
    <x v="4"/>
    <s v="MAIN WEBSITE (HOT) 1"/>
    <n v="1000"/>
    <n v="1"/>
    <x v="0"/>
  </r>
  <r>
    <s v="B136689"/>
    <s v="Traded Conversions"/>
    <x v="15"/>
    <x v="1057"/>
    <x v="26"/>
    <s v="Meta6"/>
    <n v="1000"/>
    <n v="1"/>
    <x v="0"/>
  </r>
  <r>
    <s v="A135262"/>
    <s v="Traded Conversions"/>
    <x v="18"/>
    <x v="1058"/>
    <x v="11"/>
    <s v="Premium"/>
    <n v="1000"/>
    <n v="2"/>
    <x v="0"/>
  </r>
  <r>
    <s v="M95970"/>
    <s v="Traded Conversions"/>
    <x v="40"/>
    <x v="1059"/>
    <x v="12"/>
    <s v="Meta6"/>
    <n v="1000"/>
    <n v="1"/>
    <x v="0"/>
  </r>
  <r>
    <s v="V137088"/>
    <s v="Traded Conversions"/>
    <x v="13"/>
    <x v="1060"/>
    <x v="26"/>
    <s v="Referral (HOT)"/>
    <n v="5000"/>
    <n v="3"/>
    <x v="0"/>
  </r>
  <r>
    <s v="G148563"/>
    <s v="Traded Conversions"/>
    <x v="10"/>
    <x v="1061"/>
    <x v="23"/>
    <s v="MAIN WEBSITE (HOT) 1"/>
    <n v="2000"/>
    <n v="1"/>
    <x v="0"/>
  </r>
  <r>
    <s v="S137652"/>
    <s v="Traded Conversions"/>
    <x v="33"/>
    <x v="1062"/>
    <x v="4"/>
    <s v="Meta6"/>
    <n v="1000"/>
    <n v="1"/>
    <x v="0"/>
  </r>
  <r>
    <s v="I46128"/>
    <s v="Traded Conversions"/>
    <x v="45"/>
    <x v="1063"/>
    <x v="1"/>
    <s v="MAIN WEBSITE (HOT)"/>
    <n v="31000"/>
    <n v="1"/>
    <x v="0"/>
  </r>
  <r>
    <s v="J150714"/>
    <s v="Traded Conversions"/>
    <x v="12"/>
    <x v="1064"/>
    <x v="9"/>
    <s v="Meta6"/>
    <n v="1000"/>
    <n v="1"/>
    <x v="0"/>
  </r>
  <r>
    <s v="K140513"/>
    <s v="Traded Conversions"/>
    <x v="24"/>
    <x v="1065"/>
    <x v="19"/>
    <s v="MAIN WEBSITE (HOT)"/>
    <n v="2000"/>
    <n v="1"/>
    <x v="0"/>
  </r>
  <r>
    <s v="S142732"/>
    <s v="Traded Conversions"/>
    <x v="18"/>
    <x v="1066"/>
    <x v="12"/>
    <s v="META3"/>
    <n v="1000"/>
    <n v="3"/>
    <x v="0"/>
  </r>
  <r>
    <s v="A151758"/>
    <s v="Traded Conversions"/>
    <x v="12"/>
    <x v="1067"/>
    <x v="3"/>
    <s v="Referral (HOT)"/>
    <n v="5000"/>
    <n v="3"/>
    <x v="0"/>
  </r>
  <r>
    <s v="S148543"/>
    <s v="Traded Conversions"/>
    <x v="11"/>
    <x v="1068"/>
    <x v="21"/>
    <s v="MAIN WEBSITE (HOT)"/>
    <n v="1000"/>
    <n v="1"/>
    <x v="0"/>
  </r>
  <r>
    <s v="S150186"/>
    <s v="Traded Conversions"/>
    <x v="29"/>
    <x v="1069"/>
    <x v="1"/>
    <s v="Referral (HOT)"/>
    <n v="2000"/>
    <n v="3"/>
    <x v="0"/>
  </r>
  <r>
    <s v="M151610"/>
    <s v="Traded Conversions"/>
    <x v="11"/>
    <x v="1070"/>
    <x v="3"/>
    <s v="MAIN WEBSITE (HOT)"/>
    <n v="1000"/>
    <n v="1"/>
    <x v="0"/>
  </r>
  <r>
    <s v="S144296"/>
    <s v="Traded Conversions"/>
    <x v="8"/>
    <x v="1071"/>
    <x v="19"/>
    <s v="Meta6"/>
    <n v="6000"/>
    <n v="1"/>
    <x v="0"/>
  </r>
  <r>
    <s v="R145973"/>
    <s v="Traded Conversions"/>
    <x v="20"/>
    <x v="1072"/>
    <x v="18"/>
    <s v="MAIN WEBSITE (HOT)"/>
    <n v="4700"/>
    <n v="1"/>
    <x v="0"/>
  </r>
  <r>
    <s v="M102217"/>
    <s v="Traded Conversions"/>
    <x v="21"/>
    <x v="1073"/>
    <x v="23"/>
    <s v="Telegram"/>
    <n v="1000"/>
    <n v="2"/>
    <x v="0"/>
  </r>
  <r>
    <s v="S143812"/>
    <s v="Traded Conversions"/>
    <x v="16"/>
    <x v="1074"/>
    <x v="15"/>
    <s v="Referral (HOT)"/>
    <n v="2000"/>
    <n v="3"/>
    <x v="0"/>
  </r>
  <r>
    <s v="D142471"/>
    <s v="Traded Conversions"/>
    <x v="18"/>
    <x v="1075"/>
    <x v="19"/>
    <s v="MAIN WEBSITE (HOT)"/>
    <n v="10000"/>
    <n v="1"/>
    <x v="0"/>
  </r>
  <r>
    <s v="P140083"/>
    <s v="Traded Conversions"/>
    <x v="5"/>
    <x v="1076"/>
    <x v="26"/>
    <s v="Referral (HOT)"/>
    <n v="1250"/>
    <n v="3"/>
    <x v="0"/>
  </r>
  <r>
    <s v="D145691"/>
    <s v="Traded Conversions"/>
    <x v="20"/>
    <x v="1077"/>
    <x v="18"/>
    <s v="MAIN WEBSITE (HOT)"/>
    <n v="5000"/>
    <n v="1"/>
    <x v="0"/>
  </r>
  <r>
    <s v="S152347"/>
    <s v="Traded Conversions"/>
    <x v="18"/>
    <x v="1078"/>
    <x v="16"/>
    <s v="Premium"/>
    <n v="1000"/>
    <n v="2"/>
    <x v="0"/>
  </r>
  <r>
    <s v="P151922"/>
    <s v="Traded Conversions"/>
    <x v="18"/>
    <x v="1079"/>
    <x v="17"/>
    <s v="MAIN WEBSITE (HOT)"/>
    <n v="60000"/>
    <n v="1"/>
    <x v="0"/>
  </r>
  <r>
    <s v="A140244"/>
    <s v="Traded Conversions"/>
    <x v="18"/>
    <x v="1080"/>
    <x v="10"/>
    <s v="MAIN WEBSITE (HOT)"/>
    <n v="2000"/>
    <n v="1"/>
    <x v="0"/>
  </r>
  <r>
    <s v="H145873"/>
    <s v="Traded Conversions"/>
    <x v="36"/>
    <x v="1081"/>
    <x v="10"/>
    <s v="MAIN WEBSITE (HOT) 1"/>
    <n v="100048"/>
    <n v="1"/>
    <x v="0"/>
  </r>
  <r>
    <s v="G141583"/>
    <s v="Traded Conversions"/>
    <x v="24"/>
    <x v="1082"/>
    <x v="26"/>
    <s v="MAIN WEBSITE (HOT)"/>
    <n v="1000"/>
    <n v="1"/>
    <x v="0"/>
  </r>
  <r>
    <s v="S88390"/>
    <s v="Traded Conversions"/>
    <x v="25"/>
    <x v="1083"/>
    <x v="3"/>
    <s v="STOCKMEME"/>
    <n v="1000"/>
    <n v="2"/>
    <x v="0"/>
  </r>
  <r>
    <s v="A138797"/>
    <s v="Traded Conversions"/>
    <x v="3"/>
    <x v="1084"/>
    <x v="8"/>
    <s v="Meta6"/>
    <n v="1000"/>
    <n v="1"/>
    <x v="0"/>
  </r>
  <r>
    <s v="B90423"/>
    <s v="Traded Conversions"/>
    <x v="21"/>
    <x v="1085"/>
    <x v="19"/>
    <s v="Meta6"/>
    <n v="1000"/>
    <n v="1"/>
    <x v="0"/>
  </r>
  <r>
    <s v="A141236"/>
    <s v="Traded Conversions"/>
    <x v="46"/>
    <x v="1086"/>
    <x v="26"/>
    <s v="MAIN WEBSITE (HOT)"/>
    <n v="3000"/>
    <n v="1"/>
    <x v="0"/>
  </r>
  <r>
    <s v="A140120"/>
    <s v="Traded Conversions"/>
    <x v="10"/>
    <x v="1087"/>
    <x v="20"/>
    <s v="MAIN WEBSITE (HOT)"/>
    <n v="2000"/>
    <n v="1"/>
    <x v="2"/>
  </r>
  <r>
    <s v="K140256"/>
    <s v="Traded Conversions"/>
    <x v="11"/>
    <x v="1088"/>
    <x v="2"/>
    <s v="MAIN WEBSITE (HOT)"/>
    <n v="2000"/>
    <n v="1"/>
    <x v="0"/>
  </r>
  <r>
    <s v="D139480"/>
    <s v="Traded Conversions"/>
    <x v="4"/>
    <x v="1089"/>
    <x v="22"/>
    <s v="META2"/>
    <n v="5000"/>
    <n v="3"/>
    <x v="0"/>
  </r>
  <r>
    <s v="V147755"/>
    <s v="Traded Conversions"/>
    <x v="1"/>
    <x v="1090"/>
    <x v="1"/>
    <s v="Meta6"/>
    <n v="2000"/>
    <n v="1"/>
    <x v="0"/>
  </r>
  <r>
    <s v="A145020"/>
    <s v="Traded Conversions"/>
    <x v="20"/>
    <x v="1091"/>
    <x v="23"/>
    <s v="MAIN WEBSITE (HOT)"/>
    <n v="6000"/>
    <n v="1"/>
    <x v="0"/>
  </r>
  <r>
    <s v="A152130"/>
    <s v="Traded Conversions"/>
    <x v="4"/>
    <x v="1092"/>
    <x v="17"/>
    <s v="Telegram ads"/>
    <n v="1001"/>
    <n v="2"/>
    <x v="0"/>
  </r>
  <r>
    <s v="R145485"/>
    <s v="Traded Conversions"/>
    <x v="12"/>
    <x v="1093"/>
    <x v="6"/>
    <s v="Telegram ads"/>
    <n v="1000"/>
    <n v="2"/>
    <x v="0"/>
  </r>
  <r>
    <s v="R140434"/>
    <s v="Traded Conversions"/>
    <x v="29"/>
    <x v="1094"/>
    <x v="19"/>
    <s v="Telegram ads"/>
    <n v="1000"/>
    <n v="2"/>
    <x v="0"/>
  </r>
  <r>
    <s v="S141645"/>
    <s v="Traded Conversions"/>
    <x v="24"/>
    <x v="1095"/>
    <x v="26"/>
    <s v="MAIN WEBSITE (HOT)"/>
    <n v="3500"/>
    <n v="1"/>
    <x v="0"/>
  </r>
  <r>
    <s v="Y143811"/>
    <s v="Traded Conversions"/>
    <x v="48"/>
    <x v="1096"/>
    <x v="5"/>
    <s v="Referral (HOT)"/>
    <n v="1000"/>
    <n v="3"/>
    <x v="0"/>
  </r>
  <r>
    <s v="A142564"/>
    <s v="Traded Conversions"/>
    <x v="8"/>
    <x v="397"/>
    <x v="0"/>
    <s v="Meta6"/>
    <n v="1000"/>
    <n v="1"/>
    <x v="0"/>
  </r>
  <r>
    <s v="G138577"/>
    <s v="Old Portal_1YT"/>
    <x v="9"/>
    <x v="1097"/>
    <x v="11"/>
    <s v="META3"/>
    <n v="1"/>
    <n v="3"/>
    <x v="0"/>
  </r>
  <r>
    <s v="M135883"/>
    <s v="Old Portal_1YT"/>
    <x v="3"/>
    <x v="1098"/>
    <x v="18"/>
    <s v="MAIN WEBSITE (HOT)"/>
    <n v="1572"/>
    <n v="1"/>
    <x v="0"/>
  </r>
  <r>
    <s v="J150224"/>
    <s v="Old Portal_1YT"/>
    <x v="24"/>
    <x v="1099"/>
    <x v="17"/>
    <s v="MAIN WEBSITE (HOT) 1"/>
    <n v="5000"/>
    <n v="1"/>
    <x v="0"/>
  </r>
  <r>
    <s v="S134353"/>
    <s v="Old Portal_1YT"/>
    <x v="8"/>
    <x v="1100"/>
    <x v="12"/>
    <s v="Dabba"/>
    <n v="5000"/>
    <n v="2"/>
    <x v="0"/>
  </r>
  <r>
    <s v="G149612"/>
    <s v="Old Portal_1YT"/>
    <x v="33"/>
    <x v="1101"/>
    <x v="1"/>
    <s v="APPLICATION"/>
    <n v="1000"/>
    <n v="1"/>
    <x v="0"/>
  </r>
  <r>
    <s v="D132173"/>
    <s v="Traded Conversions"/>
    <x v="45"/>
    <x v="1102"/>
    <x v="19"/>
    <s v="Telegram ads"/>
    <n v="5000"/>
    <n v="2"/>
    <x v="0"/>
  </r>
  <r>
    <s v="M103159"/>
    <s v="Traded Conversions"/>
    <x v="40"/>
    <x v="1103"/>
    <x v="20"/>
    <s v="MAIN WEBSITE (HOT)"/>
    <n v="2000"/>
    <n v="1"/>
    <x v="2"/>
  </r>
  <r>
    <s v="D135040"/>
    <s v="Traded Conversions"/>
    <x v="20"/>
    <x v="1104"/>
    <x v="26"/>
    <s v="MAIN WEBSITE (HOT)"/>
    <n v="1000"/>
    <n v="1"/>
    <x v="0"/>
  </r>
  <r>
    <s v="S138934"/>
    <s v="Traded Conversions"/>
    <x v="8"/>
    <x v="1105"/>
    <x v="2"/>
    <s v="Meta6"/>
    <n v="1000"/>
    <n v="1"/>
    <x v="0"/>
  </r>
  <r>
    <s v="I141181"/>
    <s v="Traded Conversions"/>
    <x v="11"/>
    <x v="1106"/>
    <x v="11"/>
    <s v="MAIN WEBSITE (HOT)"/>
    <n v="2500"/>
    <n v="1"/>
    <x v="0"/>
  </r>
  <r>
    <s v="N147439"/>
    <s v="Traded Conversions"/>
    <x v="20"/>
    <x v="1107"/>
    <x v="30"/>
    <s v="MAIN WEBSITE (HOT)"/>
    <n v="1000"/>
    <n v="1"/>
    <x v="1"/>
  </r>
  <r>
    <s v="K116774"/>
    <s v="Traded Conversions"/>
    <x v="49"/>
    <x v="1108"/>
    <x v="21"/>
    <s v="MAIN WEBSITE (HOT)"/>
    <n v="1000"/>
    <n v="1"/>
    <x v="0"/>
  </r>
  <r>
    <s v="D140368"/>
    <s v="Old Portal_1YT"/>
    <x v="13"/>
    <x v="1109"/>
    <x v="11"/>
    <s v="META3"/>
    <n v="228"/>
    <n v="3"/>
    <x v="0"/>
  </r>
  <r>
    <s v="H147135"/>
    <s v="Old Portal_1YT"/>
    <x v="40"/>
    <x v="1110"/>
    <x v="21"/>
    <s v="MAIN WEBSITE (HOT)"/>
    <n v="500"/>
    <n v="1"/>
    <x v="0"/>
  </r>
  <r>
    <s v="V137384"/>
    <s v="Traded Conversions"/>
    <x v="10"/>
    <x v="1111"/>
    <x v="25"/>
    <s v="MAIN WEBSITE (HOT)"/>
    <n v="1000"/>
    <n v="1"/>
    <x v="2"/>
  </r>
  <r>
    <s v="N147051"/>
    <s v="Traded Conversions"/>
    <x v="1"/>
    <x v="1112"/>
    <x v="10"/>
    <s v="RCS 3"/>
    <n v="1000"/>
    <n v="2"/>
    <x v="0"/>
  </r>
  <r>
    <s v="G145252"/>
    <s v="Traded Conversions"/>
    <x v="48"/>
    <x v="1113"/>
    <x v="10"/>
    <s v="Referral (HOT)"/>
    <n v="1000"/>
    <n v="3"/>
    <x v="0"/>
  </r>
  <r>
    <s v="S146590"/>
    <s v="Traded Conversions"/>
    <x v="44"/>
    <x v="1114"/>
    <x v="18"/>
    <s v="MAIN WEBSITE (HOT)"/>
    <n v="1000"/>
    <n v="1"/>
    <x v="0"/>
  </r>
  <r>
    <s v="N134760"/>
    <s v="Old Portal_1YT"/>
    <x v="18"/>
    <x v="1115"/>
    <x v="6"/>
    <s v="Referral (HOT)"/>
    <n v="800"/>
    <n v="3"/>
    <x v="0"/>
  </r>
  <r>
    <s v="S147574"/>
    <s v="Old Portal_1YT"/>
    <x v="48"/>
    <x v="1116"/>
    <x v="16"/>
    <s v="MAIN WEBSITE (HOT) 1"/>
    <n v="791"/>
    <n v="1"/>
    <x v="0"/>
  </r>
  <r>
    <s v="A147186"/>
    <s v="Old Portal_1YT"/>
    <x v="22"/>
    <x v="1117"/>
    <x v="10"/>
    <s v="Telegram"/>
    <n v="622"/>
    <n v="2"/>
    <x v="0"/>
  </r>
  <r>
    <s v="S149365"/>
    <s v="Traded Conversions"/>
    <x v="9"/>
    <x v="1118"/>
    <x v="9"/>
    <s v="Referral (HOT)"/>
    <n v="12000"/>
    <n v="3"/>
    <x v="0"/>
  </r>
  <r>
    <s v="G141900"/>
    <s v="Traded Conversions"/>
    <x v="13"/>
    <x v="1119"/>
    <x v="11"/>
    <s v="Referral (HOT)"/>
    <n v="8000"/>
    <n v="3"/>
    <x v="0"/>
  </r>
  <r>
    <s v="H148391"/>
    <s v="Traded Conversions"/>
    <x v="24"/>
    <x v="1120"/>
    <x v="23"/>
    <s v="Telegram ads"/>
    <n v="7000"/>
    <n v="2"/>
    <x v="0"/>
  </r>
  <r>
    <s v="P140293"/>
    <s v="Traded Conversions"/>
    <x v="24"/>
    <x v="1121"/>
    <x v="24"/>
    <s v="MAIN WEBSITE (HOT)"/>
    <n v="5000"/>
    <n v="1"/>
    <x v="0"/>
  </r>
  <r>
    <s v="I126694"/>
    <s v="Traded Conversions"/>
    <x v="7"/>
    <x v="1122"/>
    <x v="1"/>
    <s v="MAIN WEBSITE (HOT)"/>
    <n v="3000"/>
    <n v="1"/>
    <x v="0"/>
  </r>
  <r>
    <s v="A29731"/>
    <s v="Traded Conversions"/>
    <x v="45"/>
    <x v="1123"/>
    <x v="0"/>
    <s v="MAIN WEBSITE (HOT)"/>
    <n v="2500"/>
    <n v="1"/>
    <x v="0"/>
  </r>
  <r>
    <s v="R142762"/>
    <s v="Traded Conversions"/>
    <x v="2"/>
    <x v="1124"/>
    <x v="1"/>
    <s v="Telegram ads"/>
    <n v="1000"/>
    <n v="2"/>
    <x v="0"/>
  </r>
  <r>
    <s v="M145876"/>
    <s v="Traded Conversions"/>
    <x v="30"/>
    <x v="1125"/>
    <x v="0"/>
    <s v="MAIN WEBSITE (HOT)"/>
    <n v="4000"/>
    <n v="1"/>
    <x v="0"/>
  </r>
  <r>
    <s v="A124881"/>
    <s v="Traded Conversions"/>
    <x v="0"/>
    <x v="1126"/>
    <x v="4"/>
    <s v="Meta6"/>
    <n v="1000"/>
    <n v="1"/>
    <x v="0"/>
  </r>
  <r>
    <s v="R149076"/>
    <s v="Traded Conversions"/>
    <x v="14"/>
    <x v="1127"/>
    <x v="1"/>
    <s v="Referral (HOT)"/>
    <n v="2000"/>
    <n v="3"/>
    <x v="0"/>
  </r>
  <r>
    <s v="B148047"/>
    <s v="Traded Conversions"/>
    <x v="10"/>
    <x v="1128"/>
    <x v="23"/>
    <s v="MAIN WEBSITE (HOT)"/>
    <n v="18000"/>
    <n v="1"/>
    <x v="0"/>
  </r>
  <r>
    <s v="H146715"/>
    <s v="Traded Conversions"/>
    <x v="10"/>
    <x v="1129"/>
    <x v="10"/>
    <s v="MAIN WEBSITE (HOT)"/>
    <n v="1000"/>
    <n v="1"/>
    <x v="0"/>
  </r>
  <r>
    <s v="V146206"/>
    <s v="Traded Conversions"/>
    <x v="10"/>
    <x v="1130"/>
    <x v="15"/>
    <s v="MAIN WEBSITE (HOT)"/>
    <n v="2000"/>
    <n v="1"/>
    <x v="0"/>
  </r>
  <r>
    <s v="R148005"/>
    <s v="Traded Conversions"/>
    <x v="20"/>
    <x v="1131"/>
    <x v="6"/>
    <s v="MAIN WEBSITE (HOT)"/>
    <n v="3000"/>
    <n v="1"/>
    <x v="0"/>
  </r>
  <r>
    <s v="K139506"/>
    <s v="Traded Conversions"/>
    <x v="19"/>
    <x v="1132"/>
    <x v="22"/>
    <s v="Meta6"/>
    <n v="3000"/>
    <n v="1"/>
    <x v="0"/>
  </r>
  <r>
    <s v="R151765"/>
    <s v="Traded Conversions"/>
    <x v="20"/>
    <x v="1133"/>
    <x v="3"/>
    <s v="Referral (HOT)"/>
    <n v="3000"/>
    <n v="3"/>
    <x v="0"/>
  </r>
  <r>
    <s v="D151756"/>
    <s v="Traded Conversions"/>
    <x v="32"/>
    <x v="1134"/>
    <x v="3"/>
    <s v="Referral (HOT)"/>
    <n v="35000"/>
    <n v="3"/>
    <x v="0"/>
  </r>
  <r>
    <s v="I118896"/>
    <s v="Traded Conversions"/>
    <x v="2"/>
    <x v="1135"/>
    <x v="1"/>
    <s v="MAIN WEBSITE (HOT)"/>
    <n v="6900"/>
    <n v="1"/>
    <x v="0"/>
  </r>
  <r>
    <s v="A142681"/>
    <s v="Traded Conversions"/>
    <x v="45"/>
    <x v="1136"/>
    <x v="12"/>
    <s v="Meta6"/>
    <n v="20000"/>
    <n v="1"/>
    <x v="0"/>
  </r>
  <r>
    <s v="A149052"/>
    <s v="Traded Conversions"/>
    <x v="14"/>
    <x v="1137"/>
    <x v="8"/>
    <s v="Referral (HOT)"/>
    <n v="1000"/>
    <n v="3"/>
    <x v="0"/>
  </r>
  <r>
    <s v="S142095"/>
    <s v="Traded Conversions"/>
    <x v="8"/>
    <x v="1138"/>
    <x v="0"/>
    <s v="Meta6"/>
    <n v="2000"/>
    <n v="1"/>
    <x v="0"/>
  </r>
  <r>
    <s v="A148762"/>
    <s v="Traded Conversions"/>
    <x v="20"/>
    <x v="1139"/>
    <x v="21"/>
    <s v="MAIN WEBSITE (HOT)"/>
    <n v="40000"/>
    <n v="1"/>
    <x v="0"/>
  </r>
  <r>
    <s v="E141736"/>
    <s v="Traded Conversions"/>
    <x v="10"/>
    <x v="1140"/>
    <x v="15"/>
    <s v="MAIN WEBSITE (HOT)"/>
    <n v="1000"/>
    <n v="1"/>
    <x v="0"/>
  </r>
  <r>
    <s v="V143308"/>
    <s v="Traded Conversions"/>
    <x v="20"/>
    <x v="1141"/>
    <x v="5"/>
    <s v="Referral (HOT)"/>
    <n v="2000"/>
    <n v="3"/>
    <x v="0"/>
  </r>
  <r>
    <s v="D146317"/>
    <s v="Traded Conversions"/>
    <x v="3"/>
    <x v="1142"/>
    <x v="18"/>
    <s v="Referral (HOT)"/>
    <n v="1000"/>
    <n v="3"/>
    <x v="0"/>
  </r>
  <r>
    <s v="V143801"/>
    <s v="Traded Conversions"/>
    <x v="19"/>
    <x v="1143"/>
    <x v="5"/>
    <s v="Telegram ads (digi)"/>
    <n v="1000"/>
    <n v="2"/>
    <x v="0"/>
  </r>
  <r>
    <s v="D144859"/>
    <s v="Traded Conversions"/>
    <x v="12"/>
    <x v="1144"/>
    <x v="4"/>
    <s v=""/>
    <n v="1000"/>
    <n v="2"/>
    <x v="0"/>
  </r>
  <r>
    <s v="A144609"/>
    <s v="Traded Conversions"/>
    <x v="19"/>
    <x v="1145"/>
    <x v="7"/>
    <s v="Meta6"/>
    <n v="1000"/>
    <n v="1"/>
    <x v="0"/>
  </r>
  <r>
    <s v="B144100"/>
    <s v="Traded Conversions"/>
    <x v="18"/>
    <x v="1146"/>
    <x v="19"/>
    <s v="Referral (HOT)"/>
    <n v="2000"/>
    <n v="3"/>
    <x v="0"/>
  </r>
  <r>
    <s v="A142194"/>
    <s v="Traded Conversions"/>
    <x v="38"/>
    <x v="1147"/>
    <x v="18"/>
    <s v="Meta6"/>
    <n v="1000"/>
    <n v="1"/>
    <x v="0"/>
  </r>
  <r>
    <s v="R99895"/>
    <s v="Traded Conversions"/>
    <x v="37"/>
    <x v="1148"/>
    <x v="15"/>
    <s v="Meta6"/>
    <n v="10000"/>
    <n v="1"/>
    <x v="0"/>
  </r>
  <r>
    <s v="M152416"/>
    <s v="Traded Conversions"/>
    <x v="20"/>
    <x v="1149"/>
    <x v="17"/>
    <s v="MAIN WEBSITE (HOT)"/>
    <n v="15000"/>
    <n v="1"/>
    <x v="0"/>
  </r>
  <r>
    <s v="C152126"/>
    <s v="Traded Conversions"/>
    <x v="14"/>
    <x v="1150"/>
    <x v="17"/>
    <s v="MAIN WEBSITE (HOT)"/>
    <n v="15000"/>
    <n v="1"/>
    <x v="0"/>
  </r>
  <r>
    <s v="K148103"/>
    <s v="Traded Conversions"/>
    <x v="32"/>
    <x v="1151"/>
    <x v="6"/>
    <s v="Telegram"/>
    <n v="1000"/>
    <n v="2"/>
    <x v="0"/>
  </r>
  <r>
    <s v="T139651"/>
    <s v="Traded Conversions"/>
    <x v="1"/>
    <x v="1152"/>
    <x v="22"/>
    <s v="Referral (HOT)"/>
    <n v="1200"/>
    <n v="3"/>
    <x v="0"/>
  </r>
  <r>
    <s v="N144981"/>
    <s v="Traded Conversions"/>
    <x v="14"/>
    <x v="1153"/>
    <x v="7"/>
    <s v="MAIN WEBSITE (HOT)"/>
    <n v="40000"/>
    <n v="1"/>
    <x v="0"/>
  </r>
  <r>
    <s v="A150761"/>
    <s v="Traded Conversions"/>
    <x v="30"/>
    <x v="1154"/>
    <x v="9"/>
    <s v="Referral (HOT)"/>
    <n v="1011"/>
    <n v="3"/>
    <x v="0"/>
  </r>
  <r>
    <s v="S149983"/>
    <s v="Old Portal_1YT"/>
    <x v="50"/>
    <x v="1155"/>
    <x v="17"/>
    <s v="MAIN WEBSITE (HOT)"/>
    <n v="1000"/>
    <n v="1"/>
    <x v="0"/>
  </r>
  <r>
    <s v="S145300"/>
    <s v="Old Portal_1YT"/>
    <x v="48"/>
    <x v="1156"/>
    <x v="0"/>
    <s v="MAIN WEBSITE (HOT)"/>
    <n v="5000"/>
    <n v="1"/>
    <x v="0"/>
  </r>
  <r>
    <s v="D151238"/>
    <s v="Old Portal_1YT"/>
    <x v="6"/>
    <x v="1157"/>
    <x v="1"/>
    <s v="Telegram"/>
    <n v="961"/>
    <n v="2"/>
    <x v="0"/>
  </r>
  <r>
    <s v="A148906"/>
    <s v="Old Portal_1YT"/>
    <x v="16"/>
    <x v="1158"/>
    <x v="0"/>
    <s v="MAIN WEBSITE (HOT)"/>
    <n v="1000"/>
    <n v="1"/>
    <x v="0"/>
  </r>
  <r>
    <s v="A143912"/>
    <s v="Old Portal_1YT"/>
    <x v="8"/>
    <x v="1159"/>
    <x v="5"/>
    <s v="Direct (HOT)"/>
    <n v="1000"/>
    <n v="1"/>
    <x v="0"/>
  </r>
  <r>
    <s v="P54093"/>
    <s v="Not traded new panel"/>
    <x v="21"/>
    <x v="1160"/>
    <x v="1"/>
    <s v="MAIN WEBSITE (HOT)"/>
    <n v="500"/>
    <n v="1"/>
    <x v="0"/>
  </r>
  <r>
    <s v="A140115"/>
    <s v="Old Portal_1YT"/>
    <x v="27"/>
    <x v="1161"/>
    <x v="24"/>
    <s v="MAIN WEBSITE (HOT)"/>
    <n v="1000"/>
    <n v="1"/>
    <x v="0"/>
  </r>
  <r>
    <s v="R151345"/>
    <s v="Old Portal_1YT"/>
    <x v="29"/>
    <x v="1162"/>
    <x v="1"/>
    <s v="Telegram"/>
    <n v="1000"/>
    <n v="2"/>
    <x v="0"/>
  </r>
  <r>
    <s v="V148572"/>
    <s v="Old Portal_1YT"/>
    <x v="2"/>
    <x v="1163"/>
    <x v="21"/>
    <s v="Meta-T"/>
    <n v="1000"/>
    <n v="3"/>
    <x v="0"/>
  </r>
  <r>
    <s v="S146182"/>
    <s v="Old Portal_1YT"/>
    <x v="36"/>
    <x v="1164"/>
    <x v="15"/>
    <s v="META3"/>
    <n v="1000"/>
    <n v="3"/>
    <x v="0"/>
  </r>
  <r>
    <s v="V149225"/>
    <s v="Old Portal_1YT"/>
    <x v="36"/>
    <x v="1165"/>
    <x v="16"/>
    <s v="MAIN WEBSITE (HOT)"/>
    <n v="2000"/>
    <n v="1"/>
    <x v="0"/>
  </r>
  <r>
    <s v="M146492"/>
    <s v="Old Portal_1YT"/>
    <x v="36"/>
    <x v="1166"/>
    <x v="18"/>
    <s v="MAIN WEBSITE (HOT)"/>
    <n v="2000"/>
    <n v="1"/>
    <x v="0"/>
  </r>
  <r>
    <s v="V149287"/>
    <s v="Old Portal_1YT"/>
    <x v="17"/>
    <x v="1167"/>
    <x v="0"/>
    <s v="META3"/>
    <n v="1000"/>
    <n v="3"/>
    <x v="0"/>
  </r>
  <r>
    <s v="A143156"/>
    <s v="Old Portal_1YT"/>
    <x v="12"/>
    <x v="1168"/>
    <x v="12"/>
    <s v="MAIN WEBSITE (HOT)"/>
    <n v="2000"/>
    <n v="1"/>
    <x v="0"/>
  </r>
  <r>
    <s v="S144780"/>
    <s v="Traded Conversions"/>
    <x v="29"/>
    <x v="1169"/>
    <x v="13"/>
    <s v="MAIN WEBSITE (HOT)"/>
    <n v="10000"/>
    <n v="1"/>
    <x v="1"/>
  </r>
  <r>
    <s v="U60830"/>
    <s v="Traded Conversions"/>
    <x v="30"/>
    <x v="1170"/>
    <x v="9"/>
    <s v="MAIN WEBSITE (HOT)"/>
    <n v="1500"/>
    <n v="1"/>
    <x v="0"/>
  </r>
  <r>
    <s v="M138675"/>
    <s v="Traded Conversions"/>
    <x v="2"/>
    <x v="1171"/>
    <x v="2"/>
    <s v="Meta6"/>
    <n v="1000"/>
    <n v="1"/>
    <x v="0"/>
  </r>
  <r>
    <s v="R137343"/>
    <s v="Traded Conversions"/>
    <x v="11"/>
    <x v="1172"/>
    <x v="22"/>
    <s v="MAIN WEBSITE (HOT)"/>
    <n v="50000"/>
    <n v="1"/>
    <x v="0"/>
  </r>
  <r>
    <s v="N137042"/>
    <s v="Traded Conversions"/>
    <x v="11"/>
    <x v="1173"/>
    <x v="22"/>
    <s v="MAIN WEBSITE (HOT)"/>
    <n v="3000"/>
    <n v="1"/>
    <x v="0"/>
  </r>
  <r>
    <s v="M137892"/>
    <s v="Traded Conversions"/>
    <x v="19"/>
    <x v="1174"/>
    <x v="2"/>
    <s v="Telegram ads"/>
    <n v="1000"/>
    <n v="2"/>
    <x v="0"/>
  </r>
  <r>
    <s v="P135020"/>
    <s v="Traded Conversions"/>
    <x v="18"/>
    <x v="1175"/>
    <x v="22"/>
    <s v="META2"/>
    <n v="4000"/>
    <n v="3"/>
    <x v="0"/>
  </r>
  <r>
    <s v="R139052"/>
    <s v="Traded Conversions"/>
    <x v="14"/>
    <x v="1176"/>
    <x v="19"/>
    <s v="Meta6"/>
    <n v="1000"/>
    <n v="1"/>
    <x v="0"/>
  </r>
  <r>
    <s v="S142193"/>
    <s v="Traded Conversions"/>
    <x v="7"/>
    <x v="1177"/>
    <x v="19"/>
    <s v="Instagram"/>
    <n v="1000"/>
    <n v="2"/>
    <x v="0"/>
  </r>
  <r>
    <s v="J126244"/>
    <s v="Traded Conversions"/>
    <x v="27"/>
    <x v="1178"/>
    <x v="4"/>
    <s v="MAIN WEBSITE (HOT)"/>
    <n v="1000"/>
    <n v="1"/>
    <x v="0"/>
  </r>
  <r>
    <s v="S137400"/>
    <s v="Traded Conversions"/>
    <x v="30"/>
    <x v="1179"/>
    <x v="6"/>
    <s v="Premium"/>
    <n v="1000"/>
    <n v="2"/>
    <x v="0"/>
  </r>
  <r>
    <s v="N148112"/>
    <s v="Traded Conversions"/>
    <x v="19"/>
    <x v="1180"/>
    <x v="6"/>
    <s v="Telegram ads"/>
    <n v="1000"/>
    <n v="2"/>
    <x v="0"/>
  </r>
  <r>
    <s v="A99645"/>
    <s v="Traded Conversions"/>
    <x v="21"/>
    <x v="1181"/>
    <x v="11"/>
    <s v="Meta6"/>
    <n v="1000"/>
    <n v="1"/>
    <x v="0"/>
  </r>
  <r>
    <s v="A139637"/>
    <s v="Traded Conversions"/>
    <x v="11"/>
    <x v="1182"/>
    <x v="5"/>
    <s v="Referral (HOT)"/>
    <n v="4000"/>
    <n v="3"/>
    <x v="0"/>
  </r>
  <r>
    <s v="D144350"/>
    <s v="Traded Conversions"/>
    <x v="11"/>
    <x v="1183"/>
    <x v="19"/>
    <s v="MAIN WEBSITE (HOT)"/>
    <n v="5000"/>
    <n v="1"/>
    <x v="0"/>
  </r>
  <r>
    <s v="R143663"/>
    <s v="Traded Conversions"/>
    <x v="11"/>
    <x v="1184"/>
    <x v="5"/>
    <s v="MAIN WEBSITE (HOT)"/>
    <n v="11000"/>
    <n v="1"/>
    <x v="0"/>
  </r>
  <r>
    <s v="H139324"/>
    <s v="Traded Conversions"/>
    <x v="20"/>
    <x v="1185"/>
    <x v="26"/>
    <s v="MAIN WEBSITE (HOT)"/>
    <n v="5000"/>
    <n v="1"/>
    <x v="0"/>
  </r>
  <r>
    <s v="A141119"/>
    <s v="Traded Conversions"/>
    <x v="4"/>
    <x v="1186"/>
    <x v="14"/>
    <s v="Meta6"/>
    <n v="1000"/>
    <n v="1"/>
    <x v="1"/>
  </r>
  <r>
    <s v="M142091"/>
    <s v="Traded Conversions"/>
    <x v="20"/>
    <x v="1187"/>
    <x v="11"/>
    <s v="MAIN WEBSITE (HOT)"/>
    <n v="1000"/>
    <n v="1"/>
    <x v="0"/>
  </r>
  <r>
    <s v="S151943"/>
    <s v="Traded Conversions"/>
    <x v="20"/>
    <x v="1188"/>
    <x v="3"/>
    <s v="MAIN WEBSITE (HOT)"/>
    <n v="1000"/>
    <n v="1"/>
    <x v="0"/>
  </r>
  <r>
    <s v="S149395"/>
    <s v="Traded Conversions"/>
    <x v="24"/>
    <x v="1189"/>
    <x v="9"/>
    <s v="Referral (HOT)"/>
    <n v="3000"/>
    <n v="3"/>
    <x v="0"/>
  </r>
  <r>
    <s v="S147575"/>
    <s v="Traded Conversions"/>
    <x v="18"/>
    <x v="1190"/>
    <x v="21"/>
    <s v="MAIN WEBSITE (HOT)"/>
    <n v="10000"/>
    <n v="1"/>
    <x v="0"/>
  </r>
  <r>
    <s v="R144816"/>
    <s v="Traded Conversions"/>
    <x v="20"/>
    <x v="1191"/>
    <x v="4"/>
    <s v="Referral (HOT)"/>
    <n v="3000"/>
    <n v="3"/>
    <x v="0"/>
  </r>
  <r>
    <s v="M138920"/>
    <s v="Old Portal_1YT"/>
    <x v="31"/>
    <x v="1192"/>
    <x v="2"/>
    <s v="META2"/>
    <n v="1000"/>
    <n v="3"/>
    <x v="0"/>
  </r>
  <r>
    <s v="I135980"/>
    <s v="Old Portal_1YT"/>
    <x v="30"/>
    <x v="1193"/>
    <x v="1"/>
    <s v="MAIN WEBSITE (HOT)"/>
    <n v="1001"/>
    <n v="1"/>
    <x v="0"/>
  </r>
  <r>
    <s v="V147227"/>
    <s v="Old Portal_1YT"/>
    <x v="3"/>
    <x v="1194"/>
    <x v="16"/>
    <s v="STOCKMEME"/>
    <n v="500"/>
    <n v="2"/>
    <x v="0"/>
  </r>
  <r>
    <s v="S126320"/>
    <s v="Traded Conversions"/>
    <x v="25"/>
    <x v="1195"/>
    <x v="2"/>
    <s v="MAIN WEBSITE (HOT)"/>
    <n v="4000"/>
    <n v="1"/>
    <x v="0"/>
  </r>
  <r>
    <s v="V141550"/>
    <s v="Traded Conversions"/>
    <x v="5"/>
    <x v="1196"/>
    <x v="20"/>
    <s v="Meta6"/>
    <n v="4000"/>
    <n v="1"/>
    <x v="2"/>
  </r>
  <r>
    <s v="R87445"/>
    <s v="Traded Conversions"/>
    <x v="38"/>
    <x v="1197"/>
    <x v="23"/>
    <s v="MAIN WEBSITE (HOT)"/>
    <n v="2000"/>
    <n v="1"/>
    <x v="0"/>
  </r>
  <r>
    <s v="U141578"/>
    <s v="Traded Conversions"/>
    <x v="11"/>
    <x v="1198"/>
    <x v="12"/>
    <s v="MAIN WEBSITE (HOT)"/>
    <n v="1200"/>
    <n v="1"/>
    <x v="0"/>
  </r>
  <r>
    <s v="G143399"/>
    <s v="Traded Conversions"/>
    <x v="6"/>
    <x v="1199"/>
    <x v="5"/>
    <s v="Referral (HOT)"/>
    <n v="1000"/>
    <n v="3"/>
    <x v="0"/>
  </r>
  <r>
    <s v="B68919"/>
    <s v="Traded Conversions"/>
    <x v="42"/>
    <x v="1200"/>
    <x v="12"/>
    <s v="Meta6"/>
    <n v="1000"/>
    <n v="1"/>
    <x v="0"/>
  </r>
  <r>
    <s v="K140375"/>
    <s v="Traded Conversions"/>
    <x v="24"/>
    <x v="1201"/>
    <x v="26"/>
    <s v="MAIN WEBSITE (HOT)"/>
    <n v="1000"/>
    <n v="1"/>
    <x v="0"/>
  </r>
  <r>
    <s v="A143208"/>
    <s v="Traded Conversions"/>
    <x v="14"/>
    <x v="1202"/>
    <x v="5"/>
    <s v="MAIN WEBSITE (HOT)"/>
    <n v="4100"/>
    <n v="1"/>
    <x v="0"/>
  </r>
  <r>
    <s v="G148409"/>
    <s v="Traded Conversions"/>
    <x v="10"/>
    <x v="1203"/>
    <x v="21"/>
    <s v="MAIN WEBSITE (HOT)"/>
    <n v="10000"/>
    <n v="1"/>
    <x v="0"/>
  </r>
  <r>
    <s v="H34206"/>
    <s v="Not traded new panel"/>
    <x v="17"/>
    <x v="1204"/>
    <x v="0"/>
    <s v="MAIN WEBSITE (HOT)"/>
    <e v="#N/A"/>
    <n v="1"/>
    <x v="0"/>
  </r>
  <r>
    <s v="A138355"/>
    <s v="Old Portal_1YT"/>
    <x v="36"/>
    <x v="1205"/>
    <x v="14"/>
    <s v="META3"/>
    <n v="375"/>
    <n v="3"/>
    <x v="1"/>
  </r>
  <r>
    <s v="S138373"/>
    <s v="Traded Conversions"/>
    <x v="16"/>
    <x v="1206"/>
    <x v="22"/>
    <s v="Telegram"/>
    <n v="1000"/>
    <n v="2"/>
    <x v="0"/>
  </r>
  <r>
    <s v="P144548"/>
    <s v="Traded Conversions"/>
    <x v="10"/>
    <x v="1207"/>
    <x v="25"/>
    <s v="MAIN WEBSITE (HOT)"/>
    <n v="1000"/>
    <n v="1"/>
    <x v="2"/>
  </r>
  <r>
    <s v="M147219"/>
    <s v="Old Portal_1YT"/>
    <x v="4"/>
    <x v="1208"/>
    <x v="30"/>
    <s v="Telegram"/>
    <n v="885"/>
    <n v="2"/>
    <x v="1"/>
  </r>
  <r>
    <s v="A146320"/>
    <s v="Old Portal_1YT"/>
    <x v="2"/>
    <x v="1209"/>
    <x v="17"/>
    <s v="Referral (HOT)"/>
    <n v="8000"/>
    <n v="3"/>
    <x v="0"/>
  </r>
  <r>
    <s v="H148898"/>
    <s v="Old Portal_1YT"/>
    <x v="7"/>
    <x v="1210"/>
    <x v="0"/>
    <s v="META3"/>
    <n v="477"/>
    <n v="3"/>
    <x v="0"/>
  </r>
  <r>
    <s v="F144873"/>
    <s v="Traded Conversions"/>
    <x v="36"/>
    <x v="1211"/>
    <x v="10"/>
    <s v="MAIN WEBSITE (HOT)"/>
    <n v="1000"/>
    <n v="1"/>
    <x v="0"/>
  </r>
  <r>
    <s v="K147031"/>
    <s v="Traded Conversions"/>
    <x v="14"/>
    <x v="1212"/>
    <x v="10"/>
    <s v="MAIN WEBSITE (HOT)"/>
    <n v="1000"/>
    <n v="1"/>
    <x v="0"/>
  </r>
  <r>
    <s v="K147769"/>
    <s v="Old Portal_1YT"/>
    <x v="40"/>
    <x v="1213"/>
    <x v="25"/>
    <s v="SUNIL"/>
    <n v="527"/>
    <n v="1"/>
    <x v="2"/>
  </r>
  <r>
    <s v="S139498"/>
    <s v="Traded Conversions"/>
    <x v="3"/>
    <x v="1214"/>
    <x v="22"/>
    <s v="MAIN WEBSITE (HOT)"/>
    <n v="2000"/>
    <n v="1"/>
    <x v="0"/>
  </r>
  <r>
    <s v="K141734"/>
    <s v="Traded Conversions"/>
    <x v="43"/>
    <x v="1215"/>
    <x v="12"/>
    <s v="Referral (HOT)"/>
    <n v="2000"/>
    <n v="3"/>
    <x v="0"/>
  </r>
  <r>
    <s v="G145010"/>
    <s v="Traded Conversions"/>
    <x v="8"/>
    <x v="1216"/>
    <x v="9"/>
    <s v="Telegram ads"/>
    <n v="1000"/>
    <n v="2"/>
    <x v="0"/>
  </r>
  <r>
    <s v="S149488"/>
    <s v="Traded Conversions"/>
    <x v="10"/>
    <x v="1217"/>
    <x v="8"/>
    <s v="MAIN WEBSITE (HOT)"/>
    <n v="7000"/>
    <n v="1"/>
    <x v="0"/>
  </r>
  <r>
    <s v="I69481"/>
    <s v="Traded Conversions"/>
    <x v="37"/>
    <x v="1218"/>
    <x v="23"/>
    <s v="STOCKMEME"/>
    <n v="1000"/>
    <n v="2"/>
    <x v="0"/>
  </r>
  <r>
    <s v="M140816"/>
    <s v="Traded Conversions"/>
    <x v="10"/>
    <x v="1219"/>
    <x v="6"/>
    <s v="MAIN WEBSITE (HOT)"/>
    <n v="7500"/>
    <n v="1"/>
    <x v="0"/>
  </r>
  <r>
    <s v="S148618"/>
    <s v="Traded Conversions"/>
    <x v="29"/>
    <x v="1220"/>
    <x v="0"/>
    <s v="Referral (HOT)"/>
    <n v="40000"/>
    <n v="3"/>
    <x v="0"/>
  </r>
  <r>
    <s v="B143789"/>
    <s v="Traded Conversions"/>
    <x v="20"/>
    <x v="1221"/>
    <x v="5"/>
    <s v="MAIN WEBSITE (HOT)"/>
    <n v="20000"/>
    <n v="1"/>
    <x v="0"/>
  </r>
  <r>
    <s v="A149237"/>
    <s v="Traded Conversions"/>
    <x v="24"/>
    <x v="1222"/>
    <x v="0"/>
    <s v="MAIN WEBSITE (HOT)"/>
    <n v="2000"/>
    <n v="1"/>
    <x v="0"/>
  </r>
  <r>
    <s v="M139721"/>
    <s v="Traded Conversions"/>
    <x v="10"/>
    <x v="1223"/>
    <x v="22"/>
    <s v="MAIN WEBSITE (HOT)"/>
    <n v="4400"/>
    <n v="1"/>
    <x v="0"/>
  </r>
  <r>
    <s v="D148048"/>
    <s v="Traded Conversions"/>
    <x v="18"/>
    <x v="1224"/>
    <x v="21"/>
    <s v="MAIN WEBSITE (HOT) 1"/>
    <n v="10000"/>
    <n v="1"/>
    <x v="0"/>
  </r>
  <r>
    <s v="R151754"/>
    <s v="Traded Conversions"/>
    <x v="19"/>
    <x v="1225"/>
    <x v="3"/>
    <s v="Telegram ads"/>
    <n v="1000"/>
    <n v="2"/>
    <x v="0"/>
  </r>
  <r>
    <s v="S141070"/>
    <s v="Traded Conversions"/>
    <x v="29"/>
    <x v="1226"/>
    <x v="12"/>
    <s v="Meta6"/>
    <n v="2112"/>
    <n v="1"/>
    <x v="0"/>
  </r>
  <r>
    <s v="A149736"/>
    <s v="Traded Conversions"/>
    <x v="10"/>
    <x v="1227"/>
    <x v="28"/>
    <s v="MAIN WEBSITE (HOT)"/>
    <n v="3000"/>
    <n v="1"/>
    <x v="1"/>
  </r>
  <r>
    <s v="R147271"/>
    <s v="Traded Conversions"/>
    <x v="3"/>
    <x v="1228"/>
    <x v="3"/>
    <s v="MAIN WEBSITE (HOT)"/>
    <n v="21000"/>
    <n v="1"/>
    <x v="0"/>
  </r>
  <r>
    <s v="M141996"/>
    <s v="Traded Conversions"/>
    <x v="16"/>
    <x v="1229"/>
    <x v="21"/>
    <s v="Referral (HOT)"/>
    <n v="1000"/>
    <n v="3"/>
    <x v="0"/>
  </r>
  <r>
    <s v="G145442"/>
    <s v="Traded Conversions"/>
    <x v="10"/>
    <x v="1230"/>
    <x v="7"/>
    <s v="MAIN WEBSITE (HOT)"/>
    <n v="11100"/>
    <n v="1"/>
    <x v="0"/>
  </r>
  <r>
    <s v="R146511"/>
    <s v="Traded Conversions"/>
    <x v="12"/>
    <x v="1231"/>
    <x v="21"/>
    <s v="Meta6"/>
    <n v="1000"/>
    <n v="1"/>
    <x v="0"/>
  </r>
  <r>
    <s v="C149217"/>
    <s v="Traded Conversions"/>
    <x v="11"/>
    <x v="1232"/>
    <x v="8"/>
    <s v="MAIN WEBSITE (HOT)"/>
    <n v="10000"/>
    <n v="1"/>
    <x v="0"/>
  </r>
  <r>
    <s v="J139587"/>
    <s v="Traded Conversions"/>
    <x v="26"/>
    <x v="1233"/>
    <x v="15"/>
    <s v="MAIN WEBSITE (HOT) 1"/>
    <n v="5000"/>
    <n v="1"/>
    <x v="0"/>
  </r>
  <r>
    <s v="A144172"/>
    <s v="Traded Conversions"/>
    <x v="12"/>
    <x v="1234"/>
    <x v="19"/>
    <s v="Meta6"/>
    <n v="1000"/>
    <n v="1"/>
    <x v="0"/>
  </r>
  <r>
    <s v="B146051"/>
    <s v="Traded Conversions"/>
    <x v="19"/>
    <x v="1235"/>
    <x v="15"/>
    <s v="Telegram ads (digi)"/>
    <n v="1000"/>
    <n v="2"/>
    <x v="0"/>
  </r>
  <r>
    <s v="S140953"/>
    <s v="Traded Conversions"/>
    <x v="18"/>
    <x v="1236"/>
    <x v="5"/>
    <s v="MAIN WEBSITE (HOT)"/>
    <n v="1500"/>
    <n v="1"/>
    <x v="0"/>
  </r>
  <r>
    <s v="S141957"/>
    <s v="Traded Conversions"/>
    <x v="10"/>
    <x v="1237"/>
    <x v="11"/>
    <s v="MAIN WEBSITE (HOT)"/>
    <n v="9000"/>
    <n v="1"/>
    <x v="0"/>
  </r>
  <r>
    <s v="A144969"/>
    <s v="Traded Conversions"/>
    <x v="20"/>
    <x v="1238"/>
    <x v="27"/>
    <s v="MAIN WEBSITE (HOT)"/>
    <n v="1000"/>
    <n v="1"/>
    <x v="2"/>
  </r>
  <r>
    <s v="A113716"/>
    <s v="Traded Conversions"/>
    <x v="48"/>
    <x v="1239"/>
    <x v="19"/>
    <s v="STOCKMEME"/>
    <n v="1011"/>
    <n v="2"/>
    <x v="0"/>
  </r>
  <r>
    <s v="D142656"/>
    <s v="Traded Conversions"/>
    <x v="9"/>
    <x v="1240"/>
    <x v="11"/>
    <s v="Referral (HOT)"/>
    <n v="1000"/>
    <n v="3"/>
    <x v="0"/>
  </r>
  <r>
    <s v="J151654"/>
    <s v="Traded Conversions"/>
    <x v="9"/>
    <x v="1241"/>
    <x v="17"/>
    <s v="Meta6"/>
    <n v="2000"/>
    <n v="1"/>
    <x v="0"/>
  </r>
  <r>
    <s v="V151240"/>
    <s v="Traded Conversions"/>
    <x v="43"/>
    <x v="1242"/>
    <x v="3"/>
    <s v="Telegram ads"/>
    <n v="5000"/>
    <n v="2"/>
    <x v="0"/>
  </r>
  <r>
    <s v="P148387"/>
    <s v="Traded Conversions"/>
    <x v="18"/>
    <x v="1243"/>
    <x v="23"/>
    <s v="MAIN WEBSITE (HOT)"/>
    <n v="13000"/>
    <n v="1"/>
    <x v="0"/>
  </r>
  <r>
    <s v="N147187"/>
    <s v="Traded Conversions"/>
    <x v="1"/>
    <x v="1244"/>
    <x v="6"/>
    <s v="Meta6"/>
    <n v="1000"/>
    <n v="1"/>
    <x v="0"/>
  </r>
  <r>
    <s v="R148374"/>
    <s v="Traded Conversions"/>
    <x v="11"/>
    <x v="1245"/>
    <x v="23"/>
    <s v="MAIN WEBSITE (HOT)"/>
    <n v="1000"/>
    <n v="1"/>
    <x v="0"/>
  </r>
  <r>
    <s v="R146157"/>
    <s v="Traded Conversions"/>
    <x v="10"/>
    <x v="1246"/>
    <x v="23"/>
    <s v="MAIN WEBSITE (HOT)"/>
    <n v="2000"/>
    <n v="1"/>
    <x v="0"/>
  </r>
  <r>
    <s v="M138948"/>
    <s v="Old Portal_1YT"/>
    <x v="10"/>
    <x v="1247"/>
    <x v="24"/>
    <s v="APPLICATION"/>
    <n v="10000"/>
    <n v="1"/>
    <x v="0"/>
  </r>
  <r>
    <s v="N146619"/>
    <s v="Old Portal_1YT"/>
    <x v="11"/>
    <x v="1248"/>
    <x v="23"/>
    <s v="MAIN WEBSITE (HOT)"/>
    <n v="46000"/>
    <n v="1"/>
    <x v="0"/>
  </r>
  <r>
    <s v="M143209"/>
    <s v="Old Portal_1YT"/>
    <x v="44"/>
    <x v="1249"/>
    <x v="5"/>
    <s v="META2"/>
    <n v="1000"/>
    <n v="3"/>
    <x v="0"/>
  </r>
  <r>
    <s v="S112711"/>
    <s v="Not traded new panel"/>
    <x v="51"/>
    <x v="1250"/>
    <x v="24"/>
    <s v="Instagram"/>
    <n v="1000"/>
    <n v="2"/>
    <x v="0"/>
  </r>
  <r>
    <s v="H139282"/>
    <s v="Old Portal_1YT"/>
    <x v="12"/>
    <x v="1251"/>
    <x v="22"/>
    <s v="APPLICATION"/>
    <n v="1000"/>
    <n v="1"/>
    <x v="0"/>
  </r>
  <r>
    <s v="J147194"/>
    <s v="Old Portal_1YT"/>
    <x v="46"/>
    <x v="1252"/>
    <x v="10"/>
    <s v="META3"/>
    <n v="980"/>
    <n v="3"/>
    <x v="0"/>
  </r>
  <r>
    <s v="Y148177"/>
    <s v="Old Portal_1YT"/>
    <x v="47"/>
    <x v="1253"/>
    <x v="23"/>
    <s v="META3"/>
    <n v="5000"/>
    <n v="3"/>
    <x v="0"/>
  </r>
  <r>
    <s v="S148465"/>
    <s v="Old Portal_1YT"/>
    <x v="45"/>
    <x v="1254"/>
    <x v="23"/>
    <s v="Referral (HOT)"/>
    <n v="1000"/>
    <n v="3"/>
    <x v="0"/>
  </r>
  <r>
    <s v="T145700"/>
    <s v="Traded_Old Portal"/>
    <x v="18"/>
    <x v="1255"/>
    <x v="18"/>
    <s v="Referral (HOT)"/>
    <n v="5000"/>
    <n v="3"/>
    <x v="0"/>
  </r>
  <r>
    <s v="S150344"/>
    <s v="Traded Conversions"/>
    <x v="19"/>
    <x v="1256"/>
    <x v="16"/>
    <s v="RCS 3"/>
    <n v="1000"/>
    <n v="2"/>
    <x v="0"/>
  </r>
  <r>
    <s v="R29062"/>
    <s v="Traded Conversions"/>
    <x v="48"/>
    <x v="1257"/>
    <x v="11"/>
    <s v="MAIN WEBSITE (HOT)"/>
    <n v="3000"/>
    <n v="1"/>
    <x v="0"/>
  </r>
  <r>
    <s v="D35049"/>
    <s v="Traded Conversions"/>
    <x v="21"/>
    <x v="1258"/>
    <x v="1"/>
    <s v="MAIN WEBSITE (HOT)"/>
    <n v="1000"/>
    <n v="1"/>
    <x v="0"/>
  </r>
  <r>
    <s v="A133629"/>
    <s v="Traded Conversions"/>
    <x v="15"/>
    <x v="1259"/>
    <x v="24"/>
    <s v="Telegram ads"/>
    <n v="1000"/>
    <n v="2"/>
    <x v="0"/>
  </r>
  <r>
    <s v="A120613"/>
    <s v="Traded Conversions"/>
    <x v="35"/>
    <x v="1260"/>
    <x v="4"/>
    <s v="Referral (HOT)"/>
    <n v="1360"/>
    <n v="3"/>
    <x v="0"/>
  </r>
  <r>
    <s v="M138734"/>
    <s v="Traded Conversions"/>
    <x v="27"/>
    <x v="1261"/>
    <x v="8"/>
    <s v="Meta6"/>
    <n v="1000"/>
    <n v="1"/>
    <x v="0"/>
  </r>
  <r>
    <s v="S137555"/>
    <s v="Traded Conversions"/>
    <x v="20"/>
    <x v="1262"/>
    <x v="15"/>
    <s v="MAIN WEBSITE (HOT)"/>
    <n v="2000"/>
    <n v="1"/>
    <x v="0"/>
  </r>
  <r>
    <s v="R141394"/>
    <s v="Traded Conversions"/>
    <x v="10"/>
    <x v="1263"/>
    <x v="7"/>
    <s v="MAIN WEBSITE (HOT)"/>
    <n v="1000"/>
    <n v="1"/>
    <x v="0"/>
  </r>
  <r>
    <s v="A134750"/>
    <s v="Traded Conversions"/>
    <x v="25"/>
    <x v="1264"/>
    <x v="26"/>
    <s v="MAIN WEBSITE (HOT)"/>
    <n v="8000"/>
    <n v="1"/>
    <x v="0"/>
  </r>
  <r>
    <s v="G141871"/>
    <s v="Traded Conversions"/>
    <x v="12"/>
    <x v="1265"/>
    <x v="19"/>
    <s v="Referral (HOT)"/>
    <n v="5000"/>
    <n v="3"/>
    <x v="0"/>
  </r>
  <r>
    <s v="I138810"/>
    <s v="Traded Conversions"/>
    <x v="11"/>
    <x v="1266"/>
    <x v="14"/>
    <s v="MAIN WEBSITE (HOT)"/>
    <n v="5000"/>
    <n v="1"/>
    <x v="1"/>
  </r>
  <r>
    <s v="M142708"/>
    <s v="Traded Conversions"/>
    <x v="29"/>
    <x v="1267"/>
    <x v="11"/>
    <s v="Meta6"/>
    <n v="1001"/>
    <n v="1"/>
    <x v="0"/>
  </r>
  <r>
    <s v="V144813"/>
    <s v="Traded Conversions"/>
    <x v="14"/>
    <x v="1268"/>
    <x v="7"/>
    <s v="MAIN WEBSITE (HOT)"/>
    <n v="1000"/>
    <n v="1"/>
    <x v="0"/>
  </r>
  <r>
    <s v="A151510"/>
    <s v="Traded Conversions"/>
    <x v="20"/>
    <x v="1269"/>
    <x v="3"/>
    <s v="MAIN WEBSITE (HOT)"/>
    <n v="1000"/>
    <n v="1"/>
    <x v="0"/>
  </r>
  <r>
    <s v="S151944"/>
    <s v="Traded Conversions"/>
    <x v="19"/>
    <x v="1270"/>
    <x v="3"/>
    <s v="Meta6"/>
    <n v="1000"/>
    <n v="1"/>
    <x v="0"/>
  </r>
  <r>
    <s v="R145874"/>
    <s v="Traded Conversions"/>
    <x v="20"/>
    <x v="1271"/>
    <x v="4"/>
    <s v="MAIN WEBSITE (HOT)"/>
    <n v="3000"/>
    <n v="1"/>
    <x v="0"/>
  </r>
  <r>
    <s v="S82774"/>
    <s v="Traded Conversions"/>
    <x v="21"/>
    <x v="1272"/>
    <x v="18"/>
    <s v="Meta6"/>
    <n v="1000"/>
    <n v="1"/>
    <x v="0"/>
  </r>
  <r>
    <s v="N145778"/>
    <s v="Traded Conversions"/>
    <x v="17"/>
    <x v="1273"/>
    <x v="21"/>
    <s v="Referral (HOT)"/>
    <n v="1000"/>
    <n v="3"/>
    <x v="0"/>
  </r>
  <r>
    <s v="L144670"/>
    <s v="Traded Conversions"/>
    <x v="24"/>
    <x v="1274"/>
    <x v="15"/>
    <s v="MAIN WEBSITE (HOT)"/>
    <n v="1000"/>
    <n v="1"/>
    <x v="0"/>
  </r>
  <r>
    <s v="R141700"/>
    <s v="Traded Conversions"/>
    <x v="10"/>
    <x v="1275"/>
    <x v="11"/>
    <s v="MAIN WEBSITE (HOT)"/>
    <n v="1000"/>
    <n v="1"/>
    <x v="0"/>
  </r>
  <r>
    <s v="S138000"/>
    <s v="Old Portal_1YT"/>
    <x v="0"/>
    <x v="1276"/>
    <x v="20"/>
    <s v="META3"/>
    <n v="1000"/>
    <n v="3"/>
    <x v="2"/>
  </r>
  <r>
    <s v="A142210"/>
    <s v="Old Portal_1YT"/>
    <x v="30"/>
    <x v="1277"/>
    <x v="11"/>
    <s v="MAIN WEBSITE (HOT)"/>
    <n v="1000"/>
    <n v="1"/>
    <x v="0"/>
  </r>
  <r>
    <s v="J151744"/>
    <s v="Old Portal_1YT"/>
    <x v="26"/>
    <x v="1278"/>
    <x v="17"/>
    <s v="MAIN WEBSITE (HOT)"/>
    <n v="905"/>
    <n v="1"/>
    <x v="0"/>
  </r>
  <r>
    <s v="N148447"/>
    <s v="Old Portal_1YT"/>
    <x v="30"/>
    <x v="1279"/>
    <x v="21"/>
    <s v="MAIN WEBSITE (HOT)"/>
    <n v="440"/>
    <n v="1"/>
    <x v="0"/>
  </r>
  <r>
    <s v="N144758"/>
    <s v="Old Portal_1YT"/>
    <x v="36"/>
    <x v="1280"/>
    <x v="15"/>
    <s v="MAIN WEBSITE (HOT)"/>
    <n v="3000"/>
    <n v="1"/>
    <x v="0"/>
  </r>
  <r>
    <s v="A65032"/>
    <s v="Traded Conversions"/>
    <x v="47"/>
    <x v="1281"/>
    <x v="17"/>
    <s v="MAIN WEBSITE (HOT)"/>
    <n v="25000"/>
    <n v="1"/>
    <x v="0"/>
  </r>
  <r>
    <s v="M136456"/>
    <s v="Traded Conversions"/>
    <x v="18"/>
    <x v="1282"/>
    <x v="26"/>
    <s v="Referral (HOT)"/>
    <n v="1000"/>
    <n v="3"/>
    <x v="0"/>
  </r>
  <r>
    <s v="S109642"/>
    <s v="Traded Conversions"/>
    <x v="33"/>
    <x v="1283"/>
    <x v="22"/>
    <s v="Meta(Murtaza-E)"/>
    <n v="2000"/>
    <n v="3"/>
    <x v="0"/>
  </r>
  <r>
    <s v="S99004"/>
    <s v="Traded Conversions"/>
    <x v="45"/>
    <x v="1284"/>
    <x v="10"/>
    <s v="Meta6"/>
    <n v="1000"/>
    <n v="1"/>
    <x v="0"/>
  </r>
  <r>
    <s v="P81746"/>
    <s v="Traded Conversions"/>
    <x v="46"/>
    <x v="1285"/>
    <x v="4"/>
    <s v="MAIN WEBSITE (HOT)"/>
    <n v="1000"/>
    <n v="1"/>
    <x v="0"/>
  </r>
  <r>
    <s v="S140710"/>
    <s v="Traded Conversions"/>
    <x v="29"/>
    <x v="1286"/>
    <x v="14"/>
    <s v="Telegram ads (digi)"/>
    <n v="1000"/>
    <n v="2"/>
    <x v="1"/>
  </r>
  <r>
    <s v="N148083"/>
    <s v="Traded Conversions"/>
    <x v="29"/>
    <x v="1287"/>
    <x v="1"/>
    <s v="Meta6"/>
    <n v="1000"/>
    <n v="1"/>
    <x v="0"/>
  </r>
  <r>
    <s v="A143159"/>
    <s v="Traded Conversions"/>
    <x v="19"/>
    <x v="1288"/>
    <x v="12"/>
    <s v="Telegram ads (digi)"/>
    <n v="1000"/>
    <n v="2"/>
    <x v="0"/>
  </r>
  <r>
    <s v="S136892"/>
    <s v="Old Portal_1YT"/>
    <x v="26"/>
    <x v="1289"/>
    <x v="1"/>
    <s v="MAIN WEBSITE (HOT)"/>
    <n v="1000"/>
    <n v="1"/>
    <x v="0"/>
  </r>
  <r>
    <s v="R141338"/>
    <s v="Old Portal_1YT"/>
    <x v="0"/>
    <x v="1290"/>
    <x v="14"/>
    <s v="MAIN WEBSITE (HOT)"/>
    <n v="1000"/>
    <n v="1"/>
    <x v="1"/>
  </r>
  <r>
    <s v="M113901"/>
    <s v="Traded Conversions"/>
    <x v="21"/>
    <x v="1291"/>
    <x v="26"/>
    <s v="Instagram"/>
    <n v="1000"/>
    <n v="2"/>
    <x v="0"/>
  </r>
  <r>
    <s v="R140114"/>
    <s v="Traded Conversions"/>
    <x v="20"/>
    <x v="1292"/>
    <x v="2"/>
    <s v="MAIN WEBSITE (HOT)"/>
    <n v="1000"/>
    <n v="1"/>
    <x v="0"/>
  </r>
  <r>
    <s v="K109818"/>
    <s v="Traded Conversions"/>
    <x v="16"/>
    <x v="1293"/>
    <x v="10"/>
    <s v="Meta6"/>
    <n v="1000"/>
    <n v="1"/>
    <x v="0"/>
  </r>
  <r>
    <s v="V30508"/>
    <s v="Traded Conversions"/>
    <x v="45"/>
    <x v="1294"/>
    <x v="10"/>
    <s v="Meta Crypto"/>
    <n v="1000"/>
    <n v="3"/>
    <x v="0"/>
  </r>
  <r>
    <s v="I139799"/>
    <s v="Traded Conversions"/>
    <x v="20"/>
    <x v="1295"/>
    <x v="26"/>
    <s v="MAIN WEBSITE (HOT)"/>
    <n v="14000"/>
    <n v="1"/>
    <x v="0"/>
  </r>
  <r>
    <s v="A150235"/>
    <s v="Traded_Old Portal"/>
    <x v="27"/>
    <x v="1296"/>
    <x v="17"/>
    <s v="MAIN WEBSITE (HOT)"/>
    <n v="5000"/>
    <n v="1"/>
    <x v="0"/>
  </r>
  <r>
    <s v="M103643"/>
    <s v="Traded Conversions"/>
    <x v="43"/>
    <x v="1297"/>
    <x v="7"/>
    <s v="Meta(Murtaza-E)"/>
    <n v="1000"/>
    <n v="3"/>
    <x v="0"/>
  </r>
  <r>
    <s v="S138735"/>
    <s v="Traded Conversions"/>
    <x v="25"/>
    <x v="1298"/>
    <x v="6"/>
    <s v="Meta6"/>
    <n v="1000"/>
    <n v="1"/>
    <x v="0"/>
  </r>
  <r>
    <s v="R147175"/>
    <s v="Traded Conversions"/>
    <x v="32"/>
    <x v="1299"/>
    <x v="16"/>
    <s v="Meta6"/>
    <n v="1000"/>
    <n v="1"/>
    <x v="0"/>
  </r>
  <r>
    <s v="S142026"/>
    <s v="Traded Conversions"/>
    <x v="45"/>
    <x v="1300"/>
    <x v="26"/>
    <s v="Referral (HOT)"/>
    <n v="2000"/>
    <n v="3"/>
    <x v="0"/>
  </r>
  <r>
    <s v="D131739"/>
    <s v="Old Portal_1YT"/>
    <x v="42"/>
    <x v="1301"/>
    <x v="10"/>
    <s v="Telegram"/>
    <n v="2000"/>
    <n v="2"/>
    <x v="0"/>
  </r>
  <r>
    <s v="H146579"/>
    <s v="Old Portal_1YT"/>
    <x v="27"/>
    <x v="1302"/>
    <x v="18"/>
    <s v="MAIN WEBSITE (HOT)"/>
    <n v="9000"/>
    <n v="1"/>
    <x v="0"/>
  </r>
  <r>
    <s v="N143882"/>
    <s v="Old Portal_1YT"/>
    <x v="21"/>
    <x v="1303"/>
    <x v="19"/>
    <s v="META3"/>
    <n v="2000"/>
    <n v="3"/>
    <x v="0"/>
  </r>
  <r>
    <s v="M136387"/>
    <s v="Traded Conversions"/>
    <x v="20"/>
    <x v="1304"/>
    <x v="26"/>
    <s v="Referral (HOT)"/>
    <n v="1000"/>
    <n v="3"/>
    <x v="0"/>
  </r>
  <r>
    <s v="P148338"/>
    <s v="Traded Conversions"/>
    <x v="20"/>
    <x v="1305"/>
    <x v="23"/>
    <s v="Referral (HOT)"/>
    <n v="1000"/>
    <n v="3"/>
    <x v="0"/>
  </r>
  <r>
    <s v="M140421"/>
    <s v="Traded Conversions"/>
    <x v="11"/>
    <x v="1306"/>
    <x v="5"/>
    <s v="MAIN WEBSITE (HOT)"/>
    <n v="1000"/>
    <n v="1"/>
    <x v="0"/>
  </r>
  <r>
    <s v="T140274"/>
    <s v="Traded Conversions"/>
    <x v="20"/>
    <x v="1307"/>
    <x v="2"/>
    <s v="MAIN WEBSITE (HOT)"/>
    <n v="2000"/>
    <n v="1"/>
    <x v="0"/>
  </r>
  <r>
    <s v="S150399"/>
    <s v="Traded Conversions"/>
    <x v="20"/>
    <x v="1308"/>
    <x v="29"/>
    <s v="MAIN WEBSITE (HOT)"/>
    <n v="1000"/>
    <n v="1"/>
    <x v="2"/>
  </r>
  <r>
    <s v="S149637"/>
    <s v="Traded Conversions"/>
    <x v="10"/>
    <x v="1309"/>
    <x v="9"/>
    <s v="MAIN WEBSITE (HOT)"/>
    <n v="1000"/>
    <n v="1"/>
    <x v="0"/>
  </r>
  <r>
    <s v="M139303"/>
    <s v="Traded Conversions"/>
    <x v="24"/>
    <x v="1310"/>
    <x v="24"/>
    <s v="MAIN WEBSITE (HOT)"/>
    <n v="1000"/>
    <n v="1"/>
    <x v="0"/>
  </r>
  <r>
    <s v="G140322"/>
    <s v="Traded Conversions"/>
    <x v="20"/>
    <x v="1311"/>
    <x v="24"/>
    <s v="MAIN WEBSITE (HOT)"/>
    <n v="4000"/>
    <n v="1"/>
    <x v="0"/>
  </r>
  <r>
    <s v="R150692"/>
    <s v="Traded Conversions"/>
    <x v="20"/>
    <x v="1312"/>
    <x v="9"/>
    <s v="MAIN WEBSITE (HOT)"/>
    <n v="30000"/>
    <n v="1"/>
    <x v="0"/>
  </r>
  <r>
    <s v="K142622"/>
    <s v="Traded Conversions"/>
    <x v="24"/>
    <x v="1313"/>
    <x v="9"/>
    <s v="MAIN WEBSITE (HOT)"/>
    <n v="2000"/>
    <n v="1"/>
    <x v="0"/>
  </r>
  <r>
    <s v="S145544"/>
    <s v="Traded Conversions"/>
    <x v="10"/>
    <x v="1314"/>
    <x v="15"/>
    <s v="MAIN WEBSITE (HOT)"/>
    <n v="1000"/>
    <n v="1"/>
    <x v="0"/>
  </r>
  <r>
    <s v="A143726"/>
    <s v="Traded Conversions"/>
    <x v="11"/>
    <x v="1315"/>
    <x v="5"/>
    <s v="MAIN WEBSITE (HOT)"/>
    <n v="6500"/>
    <n v="1"/>
    <x v="0"/>
  </r>
  <r>
    <s v="S139711"/>
    <s v="Traded Conversions"/>
    <x v="8"/>
    <x v="1316"/>
    <x v="18"/>
    <s v="Meta6"/>
    <n v="1000"/>
    <n v="1"/>
    <x v="0"/>
  </r>
  <r>
    <s v="P145983"/>
    <s v="Traded Conversions"/>
    <x v="10"/>
    <x v="1317"/>
    <x v="15"/>
    <s v="MAIN WEBSITE (HOT)"/>
    <n v="5000"/>
    <n v="1"/>
    <x v="0"/>
  </r>
  <r>
    <s v="K85806"/>
    <s v="Traded Conversions"/>
    <x v="7"/>
    <x v="1318"/>
    <x v="19"/>
    <s v="MAIN WEBSITE (HOT)"/>
    <n v="1000"/>
    <n v="1"/>
    <x v="0"/>
  </r>
  <r>
    <s v="S144256"/>
    <s v="Traded Conversions"/>
    <x v="18"/>
    <x v="1319"/>
    <x v="19"/>
    <s v="MAIN WEBSITE (HOT)"/>
    <n v="5000"/>
    <n v="1"/>
    <x v="0"/>
  </r>
  <r>
    <s v="S143257"/>
    <s v="Traded Conversions"/>
    <x v="2"/>
    <x v="1320"/>
    <x v="12"/>
    <s v="Referral (HOT)"/>
    <n v="1000"/>
    <n v="3"/>
    <x v="0"/>
  </r>
  <r>
    <s v="A147225"/>
    <s v="Traded Conversions"/>
    <x v="14"/>
    <x v="1321"/>
    <x v="10"/>
    <s v="MAIN WEBSITE (HOT)"/>
    <n v="28350"/>
    <n v="1"/>
    <x v="0"/>
  </r>
  <r>
    <s v="S152626"/>
    <s v="Traded Conversions"/>
    <x v="19"/>
    <x v="1322"/>
    <x v="16"/>
    <s v="Referral (HOT)"/>
    <n v="2000"/>
    <n v="3"/>
    <x v="0"/>
  </r>
  <r>
    <s v="A142072"/>
    <s v="Traded Conversions"/>
    <x v="12"/>
    <x v="1323"/>
    <x v="26"/>
    <s v="Meta6"/>
    <n v="2000"/>
    <n v="1"/>
    <x v="0"/>
  </r>
  <r>
    <s v="A132132"/>
    <s v="Traded Conversions"/>
    <x v="23"/>
    <x v="1324"/>
    <x v="6"/>
    <s v="Meta6"/>
    <n v="1000"/>
    <n v="1"/>
    <x v="0"/>
  </r>
  <r>
    <s v="S142551"/>
    <s v="Traded Conversions"/>
    <x v="3"/>
    <x v="1325"/>
    <x v="6"/>
    <s v="MAIN WEBSITE (HOT) 1"/>
    <n v="2000"/>
    <n v="1"/>
    <x v="0"/>
  </r>
  <r>
    <s v="P148156"/>
    <s v="Traded Conversions"/>
    <x v="29"/>
    <x v="1326"/>
    <x v="6"/>
    <s v="Telegram ads"/>
    <n v="1000"/>
    <n v="2"/>
    <x v="0"/>
  </r>
  <r>
    <s v="C144034"/>
    <s v="Traded Conversions"/>
    <x v="10"/>
    <x v="1327"/>
    <x v="9"/>
    <s v="MAIN WEBSITE (HOT)"/>
    <n v="10000"/>
    <n v="1"/>
    <x v="0"/>
  </r>
  <r>
    <s v="S152393"/>
    <s v="Traded Conversions"/>
    <x v="24"/>
    <x v="1328"/>
    <x v="17"/>
    <s v="MAIN WEBSITE (HOT)"/>
    <n v="1000"/>
    <n v="1"/>
    <x v="0"/>
  </r>
  <r>
    <s v="S139602"/>
    <s v="Old Portal_1YT"/>
    <x v="9"/>
    <x v="1329"/>
    <x v="22"/>
    <s v="Referral (HOT)"/>
    <n v="5000"/>
    <n v="3"/>
    <x v="0"/>
  </r>
  <r>
    <s v="A148971"/>
    <s v="Old Portal_1YT"/>
    <x v="50"/>
    <x v="1330"/>
    <x v="8"/>
    <s v="MAIN WEBSITE (HOT)"/>
    <n v="3300"/>
    <n v="1"/>
    <x v="0"/>
  </r>
  <r>
    <s v="A145171"/>
    <s v="Old Portal_1YT"/>
    <x v="39"/>
    <x v="1331"/>
    <x v="7"/>
    <s v="MAIN WEBSITE (HOT)"/>
    <n v="1200"/>
    <n v="1"/>
    <x v="0"/>
  </r>
  <r>
    <s v="V57067"/>
    <s v="Not traded new panel"/>
    <x v="3"/>
    <x v="1332"/>
    <x v="18"/>
    <s v="Meta6"/>
    <n v="1001"/>
    <n v="1"/>
    <x v="0"/>
  </r>
  <r>
    <s v="G139437"/>
    <s v="Old Portal_1YT"/>
    <x v="7"/>
    <x v="1333"/>
    <x v="24"/>
    <s v="META3"/>
    <n v="1000"/>
    <n v="3"/>
    <x v="0"/>
  </r>
  <r>
    <s v="S148658"/>
    <s v="Old Portal_1YT"/>
    <x v="18"/>
    <x v="1334"/>
    <x v="23"/>
    <s v="MAIN WEBSITE (HOT) 1"/>
    <n v="5000"/>
    <n v="1"/>
    <x v="0"/>
  </r>
  <r>
    <s v="A136233"/>
    <s v="Old Portal_1YT"/>
    <x v="33"/>
    <x v="1335"/>
    <x v="4"/>
    <s v="META3"/>
    <n v="1000"/>
    <n v="3"/>
    <x v="0"/>
  </r>
  <r>
    <s v="M146078"/>
    <s v="Old Portal_1YT"/>
    <x v="12"/>
    <x v="1336"/>
    <x v="15"/>
    <s v="META3"/>
    <n v="1000"/>
    <n v="3"/>
    <x v="0"/>
  </r>
  <r>
    <s v="P131034"/>
    <s v="Traded Conversions"/>
    <x v="45"/>
    <x v="1337"/>
    <x v="18"/>
    <s v="MAIN WEBSITE (HOT)"/>
    <n v="20000"/>
    <n v="1"/>
    <x v="0"/>
  </r>
  <r>
    <s v="R104250"/>
    <s v="Traded Conversions"/>
    <x v="24"/>
    <x v="1338"/>
    <x v="6"/>
    <s v="MAIN WEBSITE (HOT)"/>
    <n v="2000"/>
    <n v="1"/>
    <x v="0"/>
  </r>
  <r>
    <s v="G150436"/>
    <s v="Traded Conversions"/>
    <x v="13"/>
    <x v="1339"/>
    <x v="1"/>
    <s v="MAIN WEBSITE (HOT)"/>
    <n v="8000"/>
    <n v="1"/>
    <x v="0"/>
  </r>
  <r>
    <s v="P138578"/>
    <s v="Traded Conversions"/>
    <x v="20"/>
    <x v="1340"/>
    <x v="22"/>
    <s v="MAIN WEBSITE (HOT)"/>
    <n v="2000"/>
    <n v="1"/>
    <x v="0"/>
  </r>
  <r>
    <s v="P139192"/>
    <s v="Traded Conversions"/>
    <x v="20"/>
    <x v="1341"/>
    <x v="22"/>
    <s v="MAIN WEBSITE (HOT)"/>
    <n v="1000"/>
    <n v="1"/>
    <x v="0"/>
  </r>
  <r>
    <s v="R114795"/>
    <s v="Traded Conversions"/>
    <x v="24"/>
    <x v="1342"/>
    <x v="4"/>
    <s v="MAIN WEBSITE (HOT)"/>
    <n v="1000"/>
    <n v="1"/>
    <x v="0"/>
  </r>
  <r>
    <s v="A129393"/>
    <s v="Traded Conversions"/>
    <x v="24"/>
    <x v="1343"/>
    <x v="5"/>
    <s v="MAIN WEBSITE (HOT)"/>
    <n v="2000"/>
    <n v="1"/>
    <x v="0"/>
  </r>
  <r>
    <s v="A106487"/>
    <s v="Traded Conversions"/>
    <x v="30"/>
    <x v="1344"/>
    <x v="27"/>
    <s v="META2"/>
    <n v="1000"/>
    <n v="3"/>
    <x v="2"/>
  </r>
  <r>
    <s v="P142172"/>
    <s v="Traded Conversions"/>
    <x v="29"/>
    <x v="1345"/>
    <x v="19"/>
    <s v="Meta6"/>
    <n v="1001"/>
    <n v="1"/>
    <x v="0"/>
  </r>
  <r>
    <s v="P144659"/>
    <s v="Traded Conversions"/>
    <x v="19"/>
    <x v="1346"/>
    <x v="13"/>
    <s v="MAIN WEBSITE (HOT)"/>
    <n v="1000"/>
    <n v="1"/>
    <x v="1"/>
  </r>
  <r>
    <s v="P143787"/>
    <s v="Traded Conversions"/>
    <x v="12"/>
    <x v="1347"/>
    <x v="19"/>
    <s v="Referral (HOT)"/>
    <n v="1000"/>
    <n v="3"/>
    <x v="0"/>
  </r>
  <r>
    <s v="P141281"/>
    <s v="Traded Conversions"/>
    <x v="18"/>
    <x v="1348"/>
    <x v="14"/>
    <s v="MAIN WEBSITE (HOT)"/>
    <n v="1000"/>
    <n v="1"/>
    <x v="1"/>
  </r>
  <r>
    <s v="J148115"/>
    <s v="Traded Conversions"/>
    <x v="19"/>
    <x v="1349"/>
    <x v="8"/>
    <s v="Meta6"/>
    <n v="1000"/>
    <n v="1"/>
    <x v="0"/>
  </r>
  <r>
    <s v="J146435"/>
    <s v="Traded Conversions"/>
    <x v="1"/>
    <x v="1350"/>
    <x v="18"/>
    <s v="Meta6"/>
    <n v="1001"/>
    <n v="1"/>
    <x v="0"/>
  </r>
  <r>
    <s v="S148246"/>
    <s v="Traded Conversions"/>
    <x v="26"/>
    <x v="1351"/>
    <x v="23"/>
    <s v="MAIN WEBSITE (HOT) 1"/>
    <n v="1000"/>
    <n v="1"/>
    <x v="0"/>
  </r>
  <r>
    <s v="P145113"/>
    <s v="Traded Conversions"/>
    <x v="11"/>
    <x v="1352"/>
    <x v="4"/>
    <s v="MAIN WEBSITE (HOT)"/>
    <n v="13000"/>
    <n v="1"/>
    <x v="0"/>
  </r>
  <r>
    <s v="C143682"/>
    <s v="Traded Conversions"/>
    <x v="14"/>
    <x v="1353"/>
    <x v="0"/>
    <s v="MAIN WEBSITE (HOT)"/>
    <n v="1000"/>
    <n v="1"/>
    <x v="0"/>
  </r>
  <r>
    <s v="P144947"/>
    <s v="Traded Conversions"/>
    <x v="20"/>
    <x v="1354"/>
    <x v="15"/>
    <s v="MAIN WEBSITE (HOT)"/>
    <n v="1000"/>
    <n v="1"/>
    <x v="0"/>
  </r>
  <r>
    <s v="S141647"/>
    <s v="Traded Conversions"/>
    <x v="20"/>
    <x v="1355"/>
    <x v="20"/>
    <s v="Referral (HOT)"/>
    <n v="2000"/>
    <n v="3"/>
    <x v="2"/>
  </r>
  <r>
    <s v="S137182"/>
    <s v="Old Portal_1YT"/>
    <x v="13"/>
    <x v="1356"/>
    <x v="2"/>
    <s v="META3"/>
    <n v="1000"/>
    <n v="3"/>
    <x v="0"/>
  </r>
  <r>
    <s v="A139077"/>
    <s v="Old Portal_1YT"/>
    <x v="8"/>
    <x v="1357"/>
    <x v="20"/>
    <s v="META3"/>
    <n v="3000"/>
    <n v="3"/>
    <x v="2"/>
  </r>
  <r>
    <s v="D142659"/>
    <s v="Old Portal_1YT"/>
    <x v="17"/>
    <x v="1358"/>
    <x v="4"/>
    <s v="META3"/>
    <n v="60"/>
    <n v="3"/>
    <x v="0"/>
  </r>
  <r>
    <s v="S142407"/>
    <s v="Traded_Old Portal"/>
    <x v="14"/>
    <x v="1359"/>
    <x v="11"/>
    <s v="Meta-T"/>
    <n v="500"/>
    <n v="3"/>
    <x v="0"/>
  </r>
  <r>
    <s v="A98977"/>
    <s v="Traded Conversions"/>
    <x v="16"/>
    <x v="1360"/>
    <x v="20"/>
    <s v="Telegram"/>
    <n v="1000"/>
    <n v="2"/>
    <x v="2"/>
  </r>
  <r>
    <s v="S144160"/>
    <s v="Traded Conversions"/>
    <x v="8"/>
    <x v="1361"/>
    <x v="19"/>
    <s v="MAIN WEBSITE (HOT)"/>
    <n v="1500"/>
    <n v="1"/>
    <x v="0"/>
  </r>
  <r>
    <s v="R31814"/>
    <s v="Traded Conversions"/>
    <x v="27"/>
    <x v="1362"/>
    <x v="2"/>
    <s v="RCS"/>
    <n v="5000"/>
    <n v="2"/>
    <x v="0"/>
  </r>
  <r>
    <s v="S123528"/>
    <s v="Traded Conversions"/>
    <x v="24"/>
    <x v="1363"/>
    <x v="3"/>
    <s v="MAIN WEBSITE (HOT)"/>
    <n v="2000"/>
    <n v="1"/>
    <x v="0"/>
  </r>
  <r>
    <s v="M137495"/>
    <s v="Traded Conversions"/>
    <x v="1"/>
    <x v="1364"/>
    <x v="4"/>
    <s v="Meta6"/>
    <n v="2000"/>
    <n v="1"/>
    <x v="0"/>
  </r>
  <r>
    <s v="R143042"/>
    <s v="Traded Conversions"/>
    <x v="14"/>
    <x v="1365"/>
    <x v="12"/>
    <s v="MAIN WEBSITE (HOT)"/>
    <n v="3000"/>
    <n v="1"/>
    <x v="0"/>
  </r>
  <r>
    <s v="R141371"/>
    <s v="Traded Conversions"/>
    <x v="18"/>
    <x v="1366"/>
    <x v="26"/>
    <s v="MAIN WEBSITE (HOT)"/>
    <n v="1000"/>
    <n v="1"/>
    <x v="0"/>
  </r>
  <r>
    <s v="D151929"/>
    <s v="Traded Conversions"/>
    <x v="14"/>
    <x v="1367"/>
    <x v="16"/>
    <s v="Referral (HOT)"/>
    <n v="1000"/>
    <n v="3"/>
    <x v="0"/>
  </r>
  <r>
    <s v="R149979"/>
    <s v="Traded Conversions"/>
    <x v="8"/>
    <x v="1368"/>
    <x v="9"/>
    <s v="Referral (HOT)"/>
    <n v="2000"/>
    <n v="3"/>
    <x v="0"/>
  </r>
  <r>
    <s v="K141259"/>
    <s v="Traded Conversions"/>
    <x v="33"/>
    <x v="1369"/>
    <x v="14"/>
    <s v="Referral (HOT)"/>
    <n v="1000"/>
    <n v="3"/>
    <x v="1"/>
  </r>
  <r>
    <s v="M147262"/>
    <s v="Old Portal_1YT"/>
    <x v="0"/>
    <x v="1370"/>
    <x v="30"/>
    <s v="MAIN WEBSITE (HOT) 1"/>
    <n v="500"/>
    <n v="1"/>
    <x v="1"/>
  </r>
  <r>
    <s v="T139945"/>
    <s v="Old Portal_1YT"/>
    <x v="43"/>
    <x v="1371"/>
    <x v="16"/>
    <s v="META3"/>
    <n v="1000"/>
    <n v="3"/>
    <x v="0"/>
  </r>
  <r>
    <s v="M150323"/>
    <s v="Traded Conversions"/>
    <x v="14"/>
    <x v="1372"/>
    <x v="29"/>
    <s v="MAIN WEBSITE (HOT)"/>
    <n v="25000"/>
    <n v="1"/>
    <x v="2"/>
  </r>
  <r>
    <s v="P141962"/>
    <s v="Traded Conversions"/>
    <x v="24"/>
    <x v="1373"/>
    <x v="26"/>
    <s v="MAIN WEBSITE (HOT)"/>
    <n v="1000"/>
    <n v="1"/>
    <x v="0"/>
  </r>
  <r>
    <s v="P147079"/>
    <s v="Old Portal_1YT"/>
    <x v="40"/>
    <x v="1374"/>
    <x v="10"/>
    <s v="Meta Crypto"/>
    <n v="500"/>
    <n v="3"/>
    <x v="0"/>
  </r>
  <r>
    <s v="R149626"/>
    <s v="Old Portal_1YT"/>
    <x v="0"/>
    <x v="1375"/>
    <x v="8"/>
    <s v="Referral (HOT)"/>
    <n v="5000"/>
    <n v="3"/>
    <x v="0"/>
  </r>
  <r>
    <s v="S139666"/>
    <s v="Old Portal_1YT"/>
    <x v="22"/>
    <x v="1376"/>
    <x v="26"/>
    <s v="MAIN WEBSITE (HOT) 1"/>
    <n v="3000"/>
    <n v="1"/>
    <x v="0"/>
  </r>
  <r>
    <s v="G67361"/>
    <s v="Traded Conversions"/>
    <x v="45"/>
    <x v="1377"/>
    <x v="26"/>
    <s v="Meta6"/>
    <n v="100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4409E-EB86-4B70-B5E2-02B94F9DE812}"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2:P691" firstHeaderRow="1" firstDataRow="1" firstDataCol="3"/>
  <pivotFields count="13">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2">
        <item x="17"/>
        <item x="15"/>
        <item x="48"/>
        <item x="44"/>
        <item x="0"/>
        <item x="51"/>
        <item x="27"/>
        <item x="45"/>
        <item x="10"/>
        <item x="25"/>
        <item x="32"/>
        <item x="1"/>
        <item x="34"/>
        <item x="28"/>
        <item x="26"/>
        <item x="29"/>
        <item x="12"/>
        <item x="9"/>
        <item x="13"/>
        <item x="7"/>
        <item x="19"/>
        <item x="23"/>
        <item x="8"/>
        <item x="47"/>
        <item x="35"/>
        <item x="24"/>
        <item x="36"/>
        <item x="16"/>
        <item x="18"/>
        <item x="46"/>
        <item x="50"/>
        <item x="38"/>
        <item x="43"/>
        <item x="42"/>
        <item x="14"/>
        <item x="37"/>
        <item x="3"/>
        <item x="5"/>
        <item x="2"/>
        <item x="4"/>
        <item x="33"/>
        <item x="41"/>
        <item x="6"/>
        <item x="22"/>
        <item x="31"/>
        <item x="21"/>
        <item x="11"/>
        <item x="39"/>
        <item x="30"/>
        <item x="49"/>
        <item x="40"/>
        <item x="20"/>
      </items>
      <extLst>
        <ext xmlns:x14="http://schemas.microsoft.com/office/spreadsheetml/2009/9/main" uri="{2946ED86-A175-432a-8AC1-64E0C546D7DE}">
          <x14:pivotField fillDownLabels="1"/>
        </ext>
      </extLst>
    </pivotField>
    <pivotField compact="0" numFmtId="14" outline="0" showAll="0" defaultSubtotal="0">
      <items count="1378">
        <item x="1341"/>
        <item x="216"/>
        <item x="1172"/>
        <item x="403"/>
        <item x="227"/>
        <item x="999"/>
        <item x="325"/>
        <item x="1283"/>
        <item x="1089"/>
        <item x="86"/>
        <item x="578"/>
        <item x="1132"/>
        <item x="1251"/>
        <item x="1175"/>
        <item x="697"/>
        <item x="528"/>
        <item x="131"/>
        <item x="63"/>
        <item x="666"/>
        <item x="1214"/>
        <item x="591"/>
        <item x="1206"/>
        <item x="973"/>
        <item x="698"/>
        <item x="205"/>
        <item x="251"/>
        <item x="823"/>
        <item x="594"/>
        <item x="233"/>
        <item x="258"/>
        <item x="954"/>
        <item x="1173"/>
        <item x="916"/>
        <item x="1329"/>
        <item x="934"/>
        <item x="1223"/>
        <item x="460"/>
        <item x="353"/>
        <item x="1340"/>
        <item x="754"/>
        <item x="354"/>
        <item x="96"/>
        <item x="978"/>
        <item x="279"/>
        <item x="187"/>
        <item x="636"/>
        <item x="1152"/>
        <item x="561"/>
        <item x="429"/>
        <item x="838"/>
        <item x="1021"/>
        <item x="719"/>
        <item x="647"/>
        <item x="1004"/>
        <item x="877"/>
        <item x="761"/>
        <item x="946"/>
        <item x="1032"/>
        <item x="266"/>
        <item x="72"/>
        <item x="414"/>
        <item x="1333"/>
        <item x="1310"/>
        <item x="300"/>
        <item x="355"/>
        <item x="597"/>
        <item x="763"/>
        <item x="91"/>
        <item x="1259"/>
        <item x="275"/>
        <item x="616"/>
        <item x="1250"/>
        <item x="92"/>
        <item x="522"/>
        <item x="222"/>
        <item x="1247"/>
        <item x="560"/>
        <item x="1161"/>
        <item x="1121"/>
        <item x="615"/>
        <item x="221"/>
        <item x="649"/>
        <item x="85"/>
        <item x="173"/>
        <item x="571"/>
        <item x="1001"/>
        <item x="1048"/>
        <item x="70"/>
        <item x="1311"/>
        <item x="326"/>
        <item x="852"/>
        <item x="811"/>
        <item x="148"/>
        <item x="243"/>
        <item x="58"/>
        <item x="408"/>
        <item x="564"/>
        <item x="932"/>
        <item x="939"/>
        <item x="471"/>
        <item x="1171"/>
        <item x="582"/>
        <item x="465"/>
        <item x="695"/>
        <item x="747"/>
        <item x="48"/>
        <item x="484"/>
        <item x="1088"/>
        <item x="843"/>
        <item x="558"/>
        <item x="1195"/>
        <item x="1362"/>
        <item x="244"/>
        <item x="567"/>
        <item x="134"/>
        <item x="1307"/>
        <item x="924"/>
        <item x="577"/>
        <item x="556"/>
        <item x="1192"/>
        <item x="245"/>
        <item x="783"/>
        <item x="980"/>
        <item x="1356"/>
        <item x="702"/>
        <item x="593"/>
        <item x="652"/>
        <item x="12"/>
        <item x="918"/>
        <item x="957"/>
        <item x="1105"/>
        <item x="1174"/>
        <item x="1292"/>
        <item x="751"/>
        <item x="953"/>
        <item x="506"/>
        <item x="576"/>
        <item x="1036"/>
        <item x="897"/>
        <item x="2"/>
        <item x="785"/>
        <item x="391"/>
        <item x="545"/>
        <item x="590"/>
        <item x="846"/>
        <item x="133"/>
        <item x="1054"/>
        <item x="128"/>
        <item x="552"/>
        <item x="498"/>
        <item x="25"/>
        <item x="828"/>
        <item x="1266"/>
        <item x="55"/>
        <item x="1186"/>
        <item x="1205"/>
        <item x="589"/>
        <item x="1286"/>
        <item x="328"/>
        <item x="161"/>
        <item x="274"/>
        <item x="1369"/>
        <item x="585"/>
        <item x="733"/>
        <item x="493"/>
        <item x="836"/>
        <item x="1348"/>
        <item x="204"/>
        <item x="518"/>
        <item x="744"/>
        <item x="1290"/>
        <item x="125"/>
        <item x="731"/>
        <item x="224"/>
        <item x="773"/>
        <item x="752"/>
        <item x="1087"/>
        <item x="562"/>
        <item x="1103"/>
        <item x="994"/>
        <item x="1276"/>
        <item x="492"/>
        <item x="1357"/>
        <item x="482"/>
        <item x="1196"/>
        <item x="648"/>
        <item x="794"/>
        <item x="46"/>
        <item x="1360"/>
        <item x="1355"/>
        <item x="232"/>
        <item x="319"/>
        <item x="75"/>
        <item x="113"/>
        <item x="1095"/>
        <item x="1086"/>
        <item x="406"/>
        <item x="945"/>
        <item x="502"/>
        <item x="1366"/>
        <item x="947"/>
        <item x="1104"/>
        <item x="1376"/>
        <item x="1185"/>
        <item x="517"/>
        <item x="452"/>
        <item x="248"/>
        <item x="1201"/>
        <item x="1291"/>
        <item x="440"/>
        <item x="1076"/>
        <item x="210"/>
        <item x="158"/>
        <item x="1033"/>
        <item x="892"/>
        <item x="1282"/>
        <item x="923"/>
        <item x="913"/>
        <item x="152"/>
        <item x="732"/>
        <item x="364"/>
        <item x="286"/>
        <item x="1373"/>
        <item x="1082"/>
        <item x="816"/>
        <item x="869"/>
        <item x="454"/>
        <item x="261"/>
        <item x="605"/>
        <item x="407"/>
        <item x="1264"/>
        <item x="153"/>
        <item x="341"/>
        <item x="1300"/>
        <item x="786"/>
        <item x="865"/>
        <item x="1057"/>
        <item x="600"/>
        <item x="745"/>
        <item x="1304"/>
        <item x="1060"/>
        <item x="682"/>
        <item x="231"/>
        <item x="559"/>
        <item x="928"/>
        <item x="1323"/>
        <item x="1377"/>
        <item x="242"/>
        <item x="568"/>
        <item x="712"/>
        <item x="662"/>
        <item x="546"/>
        <item x="760"/>
        <item x="430"/>
        <item x="1295"/>
        <item x="142"/>
        <item x="601"/>
        <item x="867"/>
        <item x="1097"/>
        <item x="1237"/>
        <item x="171"/>
        <item x="29"/>
        <item x="1042"/>
        <item x="1119"/>
        <item x="198"/>
        <item x="1277"/>
        <item x="889"/>
        <item x="908"/>
        <item x="1014"/>
        <item x="1275"/>
        <item x="938"/>
        <item x="1359"/>
        <item x="329"/>
        <item x="685"/>
        <item x="140"/>
        <item x="801"/>
        <item x="770"/>
        <item x="569"/>
        <item x="311"/>
        <item x="964"/>
        <item x="1187"/>
        <item x="230"/>
        <item x="1106"/>
        <item x="535"/>
        <item x="203"/>
        <item x="252"/>
        <item x="1109"/>
        <item x="390"/>
        <item x="1257"/>
        <item x="993"/>
        <item x="837"/>
        <item x="16"/>
        <item x="734"/>
        <item x="410"/>
        <item x="292"/>
        <item x="701"/>
        <item x="47"/>
        <item x="800"/>
        <item x="641"/>
        <item x="321"/>
        <item x="1058"/>
        <item x="570"/>
        <item x="32"/>
        <item x="1240"/>
        <item x="721"/>
        <item x="141"/>
        <item x="416"/>
        <item x="1181"/>
        <item x="766"/>
        <item x="678"/>
        <item x="922"/>
        <item x="921"/>
        <item x="160"/>
        <item x="933"/>
        <item x="1267"/>
        <item x="1026"/>
        <item x="906"/>
        <item x="835"/>
        <item x="537"/>
        <item x="1025"/>
        <item x="229"/>
        <item x="1059"/>
        <item x="45"/>
        <item x="389"/>
        <item x="1136"/>
        <item x="464"/>
        <item x="194"/>
        <item x="654"/>
        <item x="691"/>
        <item x="402"/>
        <item x="868"/>
        <item x="217"/>
        <item x="966"/>
        <item x="668"/>
        <item x="651"/>
        <item x="399"/>
        <item x="1198"/>
        <item x="472"/>
        <item x="500"/>
        <item x="1215"/>
        <item x="359"/>
        <item x="496"/>
        <item x="327"/>
        <item x="62"/>
        <item x="1365"/>
        <item x="962"/>
        <item x="1011"/>
        <item x="706"/>
        <item x="1168"/>
        <item x="710"/>
        <item x="1288"/>
        <item x="356"/>
        <item x="80"/>
        <item x="168"/>
        <item x="753"/>
        <item x="1066"/>
        <item x="337"/>
        <item x="477"/>
        <item x="167"/>
        <item x="937"/>
        <item x="34"/>
        <item x="1226"/>
        <item x="655"/>
        <item x="17"/>
        <item x="77"/>
        <item x="381"/>
        <item x="1040"/>
        <item x="104"/>
        <item x="156"/>
        <item x="1320"/>
        <item x="1008"/>
        <item x="1200"/>
        <item x="1100"/>
        <item x="850"/>
        <item x="497"/>
        <item x="202"/>
        <item x="365"/>
        <item x="398"/>
        <item x="137"/>
        <item x="623"/>
        <item x="239"/>
        <item x="247"/>
        <item x="736"/>
        <item x="1141"/>
        <item x="699"/>
        <item x="392"/>
        <item x="1199"/>
        <item x="1249"/>
        <item x="920"/>
        <item x="151"/>
        <item x="225"/>
        <item x="307"/>
        <item x="670"/>
        <item x="547"/>
        <item x="1184"/>
        <item x="755"/>
        <item x="942"/>
        <item x="1202"/>
        <item x="65"/>
        <item x="827"/>
        <item x="56"/>
        <item x="750"/>
        <item x="138"/>
        <item x="1182"/>
        <item x="884"/>
        <item x="1315"/>
        <item x="310"/>
        <item x="901"/>
        <item x="159"/>
        <item x="350"/>
        <item x="818"/>
        <item x="1096"/>
        <item x="1029"/>
        <item x="400"/>
        <item x="5"/>
        <item x="803"/>
        <item x="144"/>
        <item x="534"/>
        <item x="33"/>
        <item x="208"/>
        <item x="1306"/>
        <item x="587"/>
        <item x="606"/>
        <item x="862"/>
        <item x="136"/>
        <item x="684"/>
        <item x="280"/>
        <item x="1024"/>
        <item x="1221"/>
        <item x="1236"/>
        <item x="475"/>
        <item x="387"/>
        <item x="1159"/>
        <item x="1037"/>
        <item x="1343"/>
        <item x="309"/>
        <item x="445"/>
        <item x="967"/>
        <item x="1143"/>
        <item x="563"/>
        <item x="536"/>
        <item x="1102"/>
        <item x="433"/>
        <item x="639"/>
        <item x="1176"/>
        <item x="746"/>
        <item x="1177"/>
        <item x="1265"/>
        <item x="249"/>
        <item x="1303"/>
        <item x="386"/>
        <item x="1065"/>
        <item x="726"/>
        <item x="510"/>
        <item x="1239"/>
        <item x="481"/>
        <item x="480"/>
        <item x="1345"/>
        <item x="1075"/>
        <item x="1319"/>
        <item x="1347"/>
        <item x="1318"/>
        <item x="1071"/>
        <item x="44"/>
        <item x="1361"/>
        <item x="1234"/>
        <item x="532"/>
        <item x="782"/>
        <item x="1183"/>
        <item x="1085"/>
        <item x="1146"/>
        <item x="111"/>
        <item x="1094"/>
        <item x="489"/>
        <item x="665"/>
        <item x="633"/>
        <item x="653"/>
        <item x="941"/>
        <item x="103"/>
        <item x="849"/>
        <item x="196"/>
        <item x="21"/>
        <item x="832"/>
        <item x="102"/>
        <item x="479"/>
        <item x="565"/>
        <item x="1346"/>
        <item x="478"/>
        <item x="1169"/>
        <item x="696"/>
        <item x="320"/>
        <item x="965"/>
        <item x="117"/>
        <item x="1010"/>
        <item x="893"/>
        <item x="1238"/>
        <item x="898"/>
        <item x="1344"/>
        <item x="324"/>
        <item x="780"/>
        <item x="833"/>
        <item x="880"/>
        <item x="728"/>
        <item x="346"/>
        <item x="295"/>
        <item x="462"/>
        <item x="831"/>
        <item x="1263"/>
        <item x="379"/>
        <item x="919"/>
        <item x="891"/>
        <item x="262"/>
        <item x="626"/>
        <item x="1268"/>
        <item x="183"/>
        <item x="195"/>
        <item x="1153"/>
        <item x="438"/>
        <item x="700"/>
        <item x="7"/>
        <item x="847"/>
        <item x="915"/>
        <item x="357"/>
        <item x="1145"/>
        <item x="1331"/>
        <item x="434"/>
        <item x="503"/>
        <item x="444"/>
        <item x="190"/>
        <item x="333"/>
        <item x="223"/>
        <item x="951"/>
        <item x="513"/>
        <item x="1297"/>
        <item x="504"/>
        <item x="375"/>
        <item x="542"/>
        <item x="172"/>
        <item x="716"/>
        <item x="154"/>
        <item x="20"/>
        <item x="446"/>
        <item x="441"/>
        <item x="986"/>
        <item x="931"/>
        <item x="1230"/>
        <item x="238"/>
        <item x="1007"/>
        <item x="52"/>
        <item x="802"/>
        <item x="380"/>
        <item x="290"/>
        <item x="376"/>
        <item x="4"/>
        <item x="722"/>
        <item x="797"/>
        <item x="723"/>
        <item x="226"/>
        <item x="628"/>
        <item x="890"/>
        <item x="1126"/>
        <item x="185"/>
        <item x="1178"/>
        <item x="1144"/>
        <item x="910"/>
        <item x="289"/>
        <item x="549"/>
        <item x="650"/>
        <item x="617"/>
        <item x="940"/>
        <item x="219"/>
        <item x="858"/>
        <item x="115"/>
        <item x="841"/>
        <item x="625"/>
        <item x="1364"/>
        <item x="739"/>
        <item x="352"/>
        <item x="145"/>
        <item x="419"/>
        <item x="661"/>
        <item x="930"/>
        <item x="378"/>
        <item x="235"/>
        <item x="1358"/>
        <item x="396"/>
        <item x="490"/>
        <item x="291"/>
        <item x="817"/>
        <item x="740"/>
        <item x="362"/>
        <item x="645"/>
        <item x="1285"/>
        <item x="990"/>
        <item x="1062"/>
        <item x="1009"/>
        <item x="483"/>
        <item x="207"/>
        <item x="894"/>
        <item x="175"/>
        <item x="1352"/>
        <item x="1015"/>
        <item x="394"/>
        <item x="237"/>
        <item x="1335"/>
        <item x="314"/>
        <item x="297"/>
        <item x="573"/>
        <item x="1191"/>
        <item x="720"/>
        <item x="1342"/>
        <item x="1050"/>
        <item x="193"/>
        <item x="146"/>
        <item x="442"/>
        <item x="1271"/>
        <item x="581"/>
        <item x="469"/>
        <item x="304"/>
        <item x="985"/>
        <item x="123"/>
        <item x="1056"/>
        <item x="809"/>
        <item x="871"/>
        <item x="1053"/>
        <item x="604"/>
        <item x="936"/>
        <item x="1260"/>
        <item x="250"/>
        <item x="521"/>
        <item x="1003"/>
        <item x="1148"/>
        <item x="1314"/>
        <item x="715"/>
        <item x="718"/>
        <item x="779"/>
        <item x="1354"/>
        <item x="1235"/>
        <item x="282"/>
        <item x="798"/>
        <item x="69"/>
        <item x="713"/>
        <item x="533"/>
        <item x="212"/>
        <item x="268"/>
        <item x="1233"/>
        <item x="281"/>
        <item x="107"/>
        <item x="1336"/>
        <item x="902"/>
        <item x="627"/>
        <item x="447"/>
        <item x="1262"/>
        <item x="435"/>
        <item x="99"/>
        <item x="1280"/>
        <item x="621"/>
        <item x="1274"/>
        <item x="182"/>
        <item x="395"/>
        <item x="984"/>
        <item x="1130"/>
        <item x="165"/>
        <item x="620"/>
        <item x="191"/>
        <item x="1074"/>
        <item x="1140"/>
        <item x="1164"/>
        <item x="1317"/>
        <item x="796"/>
        <item x="288"/>
        <item x="974"/>
        <item x="348"/>
        <item x="287"/>
        <item x="105"/>
        <item x="31"/>
        <item x="377"/>
        <item x="439"/>
        <item x="520"/>
        <item x="1142"/>
        <item x="39"/>
        <item x="236"/>
        <item x="272"/>
        <item x="1255"/>
        <item x="101"/>
        <item x="228"/>
        <item x="1337"/>
        <item x="583"/>
        <item x="793"/>
        <item x="637"/>
        <item x="1272"/>
        <item x="981"/>
        <item x="1332"/>
        <item x="315"/>
        <item x="888"/>
        <item x="1016"/>
        <item x="1350"/>
        <item x="283"/>
        <item x="50"/>
        <item x="486"/>
        <item x="404"/>
        <item x="659"/>
        <item x="819"/>
        <item x="531"/>
        <item x="904"/>
        <item x="211"/>
        <item x="1316"/>
        <item x="1072"/>
        <item x="821"/>
        <item x="717"/>
        <item x="1114"/>
        <item x="610"/>
        <item x="1166"/>
        <item x="855"/>
        <item x="501"/>
        <item x="674"/>
        <item x="331"/>
        <item x="553"/>
        <item x="1147"/>
        <item x="840"/>
        <item x="1302"/>
        <item x="579"/>
        <item x="658"/>
        <item x="1098"/>
        <item x="927"/>
        <item x="1077"/>
        <item x="124"/>
        <item x="935"/>
        <item x="693"/>
        <item x="952"/>
        <item x="1000"/>
        <item x="122"/>
        <item x="866"/>
        <item x="1047"/>
        <item x="523"/>
        <item x="263"/>
        <item x="1055"/>
        <item x="335"/>
        <item x="1211"/>
        <item x="384"/>
        <item x="234"/>
        <item x="10"/>
        <item x="1284"/>
        <item x="598"/>
        <item x="1080"/>
        <item x="339"/>
        <item x="541"/>
        <item x="201"/>
        <item x="991"/>
        <item x="1294"/>
        <item x="544"/>
        <item x="417"/>
        <item x="820"/>
        <item x="956"/>
        <item x="824"/>
        <item x="1112"/>
        <item x="1081"/>
        <item x="1212"/>
        <item x="1293"/>
        <item x="1129"/>
        <item x="332"/>
        <item x="688"/>
        <item x="643"/>
        <item x="74"/>
        <item x="863"/>
        <item x="1301"/>
        <item x="388"/>
        <item x="170"/>
        <item x="23"/>
        <item x="548"/>
        <item x="675"/>
        <item x="260"/>
        <item x="768"/>
        <item x="1374"/>
        <item x="856"/>
        <item x="265"/>
        <item x="1002"/>
        <item x="899"/>
        <item x="1043"/>
        <item x="1117"/>
        <item x="1045"/>
        <item x="762"/>
        <item x="169"/>
        <item x="119"/>
        <item x="683"/>
        <item x="686"/>
        <item x="1113"/>
        <item x="1321"/>
        <item x="418"/>
        <item x="425"/>
        <item x="78"/>
        <item x="1252"/>
        <item x="177"/>
        <item x="1041"/>
        <item x="455"/>
        <item x="214"/>
        <item x="629"/>
        <item x="1208"/>
        <item x="1107"/>
        <item x="1370"/>
        <item x="1031"/>
        <item x="1035"/>
        <item x="256"/>
        <item x="436"/>
        <item x="806"/>
        <item x="842"/>
        <item x="450"/>
        <item x="1207"/>
        <item x="303"/>
        <item x="184"/>
        <item x="449"/>
        <item x="98"/>
        <item x="81"/>
        <item x="1111"/>
        <item x="73"/>
        <item x="613"/>
        <item x="640"/>
        <item x="845"/>
        <item x="511"/>
        <item x="1213"/>
        <item x="694"/>
        <item x="769"/>
        <item x="215"/>
        <item x="200"/>
        <item x="554"/>
        <item x="592"/>
        <item x="634"/>
        <item x="1338"/>
        <item x="163"/>
        <item x="632"/>
        <item x="672"/>
        <item x="1324"/>
        <item x="550"/>
        <item x="948"/>
        <item x="127"/>
        <item x="557"/>
        <item x="6"/>
        <item x="998"/>
        <item x="313"/>
        <item x="1219"/>
        <item x="507"/>
        <item x="83"/>
        <item x="459"/>
        <item x="1131"/>
        <item x="147"/>
        <item x="82"/>
        <item x="1017"/>
        <item x="861"/>
        <item x="294"/>
        <item x="259"/>
        <item x="285"/>
        <item x="343"/>
        <item x="1244"/>
        <item x="1298"/>
        <item x="644"/>
        <item x="681"/>
        <item x="860"/>
        <item x="1325"/>
        <item x="1093"/>
        <item x="635"/>
        <item x="1038"/>
        <item x="41"/>
        <item x="13"/>
        <item x="1115"/>
        <item x="727"/>
        <item x="413"/>
        <item x="40"/>
        <item x="829"/>
        <item x="830"/>
        <item x="1151"/>
        <item x="476"/>
        <item x="87"/>
        <item x="308"/>
        <item x="135"/>
        <item x="1179"/>
        <item x="189"/>
        <item x="1326"/>
        <item x="473"/>
        <item x="992"/>
        <item x="1180"/>
        <item x="900"/>
        <item x="451"/>
        <item x="886"/>
        <item x="35"/>
        <item x="911"/>
        <item x="420"/>
        <item x="995"/>
        <item x="540"/>
        <item x="367"/>
        <item x="807"/>
        <item x="296"/>
        <item x="1305"/>
        <item x="299"/>
        <item x="1253"/>
        <item x="385"/>
        <item x="1248"/>
        <item x="825"/>
        <item x="457"/>
        <item x="467"/>
        <item x="1218"/>
        <item x="109"/>
        <item x="179"/>
        <item x="1245"/>
        <item x="810"/>
        <item x="774"/>
        <item x="306"/>
        <item x="302"/>
        <item x="199"/>
        <item x="1246"/>
        <item x="456"/>
        <item x="1120"/>
        <item x="982"/>
        <item x="1051"/>
        <item x="970"/>
        <item x="1073"/>
        <item x="126"/>
        <item x="1243"/>
        <item x="566"/>
        <item x="1254"/>
        <item x="1197"/>
        <item x="88"/>
        <item x="1128"/>
        <item x="777"/>
        <item x="345"/>
        <item x="975"/>
        <item x="401"/>
        <item x="241"/>
        <item x="907"/>
        <item x="657"/>
        <item x="150"/>
        <item x="1351"/>
        <item x="1027"/>
        <item x="614"/>
        <item x="909"/>
        <item x="905"/>
        <item x="130"/>
        <item x="178"/>
        <item x="1061"/>
        <item x="758"/>
        <item x="1006"/>
        <item x="748"/>
        <item x="411"/>
        <item x="1091"/>
        <item x="538"/>
        <item x="68"/>
        <item x="1334"/>
        <item x="848"/>
        <item x="1013"/>
        <item x="949"/>
        <item x="374"/>
        <item x="1190"/>
        <item x="602"/>
        <item x="874"/>
        <item x="792"/>
        <item x="110"/>
        <item x="95"/>
        <item x="443"/>
        <item x="1203"/>
        <item x="574"/>
        <item x="409"/>
        <item x="505"/>
        <item x="322"/>
        <item x="1273"/>
        <item x="708"/>
        <item x="316"/>
        <item x="64"/>
        <item x="487"/>
        <item x="929"/>
        <item x="1279"/>
        <item x="879"/>
        <item x="787"/>
        <item x="1110"/>
        <item x="370"/>
        <item x="277"/>
        <item x="253"/>
        <item x="336"/>
        <item x="100"/>
        <item x="983"/>
        <item x="1229"/>
        <item x="273"/>
        <item x="1139"/>
        <item x="676"/>
        <item x="790"/>
        <item x="804"/>
        <item x="59"/>
        <item x="1163"/>
        <item x="1224"/>
        <item x="1068"/>
        <item x="371"/>
        <item x="872"/>
        <item x="1034"/>
        <item x="453"/>
        <item x="724"/>
        <item x="305"/>
        <item x="129"/>
        <item x="363"/>
        <item x="422"/>
        <item x="1046"/>
        <item x="79"/>
        <item x="1231"/>
        <item x="611"/>
        <item x="1108"/>
        <item x="673"/>
        <item x="859"/>
        <item x="514"/>
        <item x="870"/>
        <item x="997"/>
        <item x="112"/>
        <item x="529"/>
        <item x="188"/>
        <item x="255"/>
        <item x="284"/>
        <item x="162"/>
        <item x="791"/>
        <item x="192"/>
        <item x="664"/>
        <item x="968"/>
        <item x="61"/>
        <item x="106"/>
        <item x="397"/>
        <item x="1158"/>
        <item x="30"/>
        <item x="1353"/>
        <item x="1019"/>
        <item x="959"/>
        <item x="1125"/>
        <item x="996"/>
        <item x="317"/>
        <item x="624"/>
        <item x="742"/>
        <item x="822"/>
        <item x="373"/>
        <item x="1023"/>
        <item x="1204"/>
        <item x="121"/>
        <item x="977"/>
        <item x="301"/>
        <item x="575"/>
        <item x="298"/>
        <item x="254"/>
        <item x="679"/>
        <item x="164"/>
        <item x="349"/>
        <item x="1222"/>
        <item x="596"/>
        <item x="257"/>
        <item x="1220"/>
        <item x="1138"/>
        <item x="1210"/>
        <item x="27"/>
        <item x="1167"/>
        <item x="143"/>
        <item x="0"/>
        <item x="612"/>
        <item x="795"/>
        <item x="961"/>
        <item x="789"/>
        <item x="692"/>
        <item x="987"/>
        <item x="1156"/>
        <item x="1123"/>
        <item x="181"/>
        <item x="361"/>
        <item x="427"/>
        <item x="463"/>
        <item x="458"/>
        <item x="551"/>
        <item x="1261"/>
        <item x="1232"/>
        <item x="912"/>
        <item x="530"/>
        <item x="1084"/>
        <item x="638"/>
        <item x="826"/>
        <item x="1137"/>
        <item x="97"/>
        <item x="955"/>
        <item x="555"/>
        <item x="609"/>
        <item x="8"/>
        <item x="1217"/>
        <item x="690"/>
        <item x="642"/>
        <item x="979"/>
        <item x="11"/>
        <item x="1330"/>
        <item x="1049"/>
        <item x="971"/>
        <item x="28"/>
        <item x="873"/>
        <item x="515"/>
        <item x="887"/>
        <item x="1375"/>
        <item x="958"/>
        <item x="421"/>
        <item x="917"/>
        <item x="437"/>
        <item x="815"/>
        <item x="808"/>
        <item x="885"/>
        <item x="428"/>
        <item x="1349"/>
        <item x="580"/>
        <item x="323"/>
        <item x="312"/>
        <item x="711"/>
        <item x="368"/>
        <item x="342"/>
        <item x="269"/>
        <item x="180"/>
        <item x="813"/>
        <item x="424"/>
        <item x="667"/>
        <item x="1227"/>
        <item x="461"/>
        <item x="166"/>
        <item x="781"/>
        <item x="206"/>
        <item x="709"/>
        <item x="1372"/>
        <item x="1308"/>
        <item x="812"/>
        <item x="1309"/>
        <item x="470"/>
        <item x="9"/>
        <item x="1005"/>
        <item x="1313"/>
        <item x="42"/>
        <item x="1368"/>
        <item x="671"/>
        <item x="271"/>
        <item x="89"/>
        <item x="278"/>
        <item x="1189"/>
        <item x="778"/>
        <item x="118"/>
        <item x="989"/>
        <item x="737"/>
        <item x="543"/>
        <item x="839"/>
        <item x="176"/>
        <item x="66"/>
        <item x="588"/>
        <item x="174"/>
        <item x="270"/>
        <item x="775"/>
        <item x="622"/>
        <item x="24"/>
        <item x="15"/>
        <item x="926"/>
        <item x="1064"/>
        <item x="240"/>
        <item x="18"/>
        <item x="1118"/>
        <item x="1312"/>
        <item x="1216"/>
        <item x="519"/>
        <item x="1327"/>
        <item x="149"/>
        <item x="485"/>
        <item x="84"/>
        <item x="1012"/>
        <item x="1154"/>
        <item x="488"/>
        <item x="19"/>
        <item x="876"/>
        <item x="49"/>
        <item x="972"/>
        <item x="90"/>
        <item x="703"/>
        <item x="969"/>
        <item x="1170"/>
        <item x="369"/>
        <item x="423"/>
        <item x="1160"/>
        <item x="366"/>
        <item x="267"/>
        <item x="875"/>
        <item x="1339"/>
        <item x="646"/>
        <item x="360"/>
        <item x="914"/>
        <item x="426"/>
        <item x="1127"/>
        <item x="264"/>
        <item x="689"/>
        <item x="1258"/>
        <item x="516"/>
        <item x="116"/>
        <item x="707"/>
        <item x="883"/>
        <item x="1063"/>
        <item x="619"/>
        <item x="1030"/>
        <item x="1287"/>
        <item x="705"/>
        <item x="771"/>
        <item x="1"/>
        <item x="776"/>
        <item x="960"/>
        <item x="607"/>
        <item x="1124"/>
        <item x="772"/>
        <item x="220"/>
        <item x="14"/>
        <item x="1122"/>
        <item x="1157"/>
        <item x="704"/>
        <item x="344"/>
        <item x="209"/>
        <item x="1135"/>
        <item x="525"/>
        <item x="944"/>
        <item x="1069"/>
        <item x="1101"/>
        <item x="896"/>
        <item x="1090"/>
        <item x="844"/>
        <item x="738"/>
        <item x="663"/>
        <item x="714"/>
        <item x="1162"/>
        <item x="1044"/>
        <item x="338"/>
        <item x="524"/>
        <item x="618"/>
        <item x="318"/>
        <item x="784"/>
        <item x="963"/>
        <item x="854"/>
        <item x="1289"/>
        <item x="1193"/>
        <item x="656"/>
        <item x="878"/>
        <item x="881"/>
        <item x="120"/>
        <item x="834"/>
        <item x="788"/>
        <item x="372"/>
        <item x="1228"/>
        <item x="3"/>
        <item x="1083"/>
        <item x="1070"/>
        <item x="814"/>
        <item x="526"/>
        <item x="729"/>
        <item x="26"/>
        <item x="132"/>
        <item x="351"/>
        <item x="347"/>
        <item x="499"/>
        <item x="608"/>
        <item x="882"/>
        <item x="1067"/>
        <item x="186"/>
        <item x="276"/>
        <item x="431"/>
        <item x="1133"/>
        <item x="527"/>
        <item x="94"/>
        <item x="1134"/>
        <item x="976"/>
        <item x="432"/>
        <item x="1225"/>
        <item x="474"/>
        <item x="22"/>
        <item x="93"/>
        <item x="491"/>
        <item x="1242"/>
        <item x="1363"/>
        <item x="1270"/>
        <item x="1022"/>
        <item x="1269"/>
        <item x="925"/>
        <item x="1188"/>
        <item x="572"/>
        <item x="114"/>
        <item x="735"/>
        <item x="680"/>
        <item x="393"/>
        <item x="595"/>
        <item x="448"/>
        <item x="1278"/>
        <item x="669"/>
        <item x="1281"/>
        <item x="1052"/>
        <item x="139"/>
        <item x="108"/>
        <item x="293"/>
        <item x="1079"/>
        <item x="38"/>
        <item x="1209"/>
        <item x="1296"/>
        <item x="340"/>
        <item x="334"/>
        <item x="631"/>
        <item x="851"/>
        <item x="213"/>
        <item x="950"/>
        <item x="1155"/>
        <item x="495"/>
        <item x="903"/>
        <item x="1092"/>
        <item x="43"/>
        <item x="57"/>
        <item x="895"/>
        <item x="725"/>
        <item x="584"/>
        <item x="157"/>
        <item x="1150"/>
        <item x="494"/>
        <item x="54"/>
        <item x="1028"/>
        <item x="539"/>
        <item x="155"/>
        <item x="405"/>
        <item x="1149"/>
        <item x="1328"/>
        <item x="749"/>
        <item x="1020"/>
        <item x="743"/>
        <item x="60"/>
        <item x="412"/>
        <item x="468"/>
        <item x="1241"/>
        <item x="1099"/>
        <item x="53"/>
        <item x="660"/>
        <item x="466"/>
        <item x="857"/>
        <item x="759"/>
        <item x="415"/>
        <item x="509"/>
        <item x="37"/>
        <item x="1116"/>
        <item x="864"/>
        <item x="599"/>
        <item x="767"/>
        <item x="197"/>
        <item x="1078"/>
        <item x="76"/>
        <item x="1322"/>
        <item x="1367"/>
        <item x="1165"/>
        <item x="765"/>
        <item x="730"/>
        <item x="218"/>
        <item x="383"/>
        <item x="799"/>
        <item x="805"/>
        <item x="687"/>
        <item x="630"/>
        <item x="382"/>
        <item x="988"/>
        <item x="358"/>
        <item x="1256"/>
        <item x="36"/>
        <item x="1018"/>
        <item x="246"/>
        <item x="741"/>
        <item x="51"/>
        <item x="1194"/>
        <item x="1299"/>
        <item x="512"/>
        <item x="508"/>
        <item x="603"/>
        <item x="756"/>
        <item x="677"/>
        <item x="757"/>
        <item x="1039"/>
        <item x="764"/>
        <item x="71"/>
        <item x="586"/>
        <item x="330"/>
        <item x="67"/>
        <item x="1371"/>
        <item x="943"/>
        <item x="853"/>
      </items>
      <extLst>
        <ext xmlns:x14="http://schemas.microsoft.com/office/spreadsheetml/2009/9/main" uri="{2946ED86-A175-432a-8AC1-64E0C546D7DE}">
          <x14:pivotField fillDownLabels="1"/>
        </ext>
      </extLst>
    </pivotField>
    <pivotField axis="axisRow" compact="0" numFmtId="14" outline="0" showAll="0" defaultSubtotal="0">
      <items count="31">
        <item x="22"/>
        <item x="24"/>
        <item x="2"/>
        <item x="14"/>
        <item x="20"/>
        <item x="26"/>
        <item x="11"/>
        <item x="12"/>
        <item x="5"/>
        <item x="19"/>
        <item x="13"/>
        <item x="27"/>
        <item x="7"/>
        <item x="4"/>
        <item x="15"/>
        <item x="18"/>
        <item x="10"/>
        <item x="30"/>
        <item x="25"/>
        <item x="6"/>
        <item x="23"/>
        <item x="21"/>
        <item x="0"/>
        <item x="8"/>
        <item x="28"/>
        <item x="29"/>
        <item x="9"/>
        <item x="1"/>
        <item x="3"/>
        <item x="17"/>
        <item x="1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extLst>
        <ext xmlns:x14="http://schemas.microsoft.com/office/spreadsheetml/2009/9/main" uri="{2946ED86-A175-432a-8AC1-64E0C546D7DE}">
          <x14:pivotField fillDownLabels="1"/>
        </ext>
      </extLst>
    </pivotField>
    <pivotField compact="0" outline="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extLst>
        <ext xmlns:x14="http://schemas.microsoft.com/office/spreadsheetml/2009/9/main" uri="{2946ED86-A175-432a-8AC1-64E0C546D7DE}">
          <x14:pivotField fillDownLabels="1"/>
        </ext>
      </extLst>
    </pivotField>
    <pivotField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extLst>
        <ext xmlns:x14="http://schemas.microsoft.com/office/spreadsheetml/2009/9/main" uri="{2946ED86-A175-432a-8AC1-64E0C546D7DE}">
          <x14:pivotField fillDownLabels="1"/>
        </ext>
      </extLst>
    </pivotField>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s>
  <rowFields count="3">
    <field x="4"/>
    <field x="2"/>
    <field x="8"/>
  </rowFields>
  <rowItems count="689">
    <i>
      <x/>
      <x/>
      <x v="2"/>
    </i>
    <i r="1">
      <x v="6"/>
      <x v="2"/>
    </i>
    <i r="1">
      <x v="8"/>
      <x v="2"/>
    </i>
    <i r="1">
      <x v="10"/>
      <x v="2"/>
    </i>
    <i r="1">
      <x v="11"/>
      <x v="2"/>
    </i>
    <i r="1">
      <x v="14"/>
      <x v="2"/>
    </i>
    <i r="1">
      <x v="15"/>
      <x v="2"/>
    </i>
    <i r="1">
      <x v="16"/>
      <x v="2"/>
    </i>
    <i r="1">
      <x v="17"/>
      <x v="2"/>
    </i>
    <i r="1">
      <x v="20"/>
      <x v="2"/>
    </i>
    <i r="1">
      <x v="25"/>
      <x v="2"/>
    </i>
    <i r="1">
      <x v="27"/>
      <x v="2"/>
    </i>
    <i r="1">
      <x v="28"/>
      <x v="2"/>
    </i>
    <i r="1">
      <x v="29"/>
      <x v="2"/>
    </i>
    <i r="1">
      <x v="33"/>
      <x v="2"/>
    </i>
    <i r="1">
      <x v="35"/>
      <x v="2"/>
    </i>
    <i r="1">
      <x v="36"/>
      <x v="2"/>
    </i>
    <i r="1">
      <x v="39"/>
      <x v="2"/>
    </i>
    <i r="1">
      <x v="40"/>
      <x v="2"/>
    </i>
    <i r="1">
      <x v="42"/>
      <x v="2"/>
    </i>
    <i r="1">
      <x v="44"/>
      <x v="2"/>
    </i>
    <i r="1">
      <x v="46"/>
      <x v="2"/>
    </i>
    <i r="1">
      <x v="51"/>
      <x v="2"/>
    </i>
    <i>
      <x v="1"/>
      <x/>
      <x v="2"/>
    </i>
    <i r="1">
      <x v="1"/>
      <x v="2"/>
    </i>
    <i r="1">
      <x v="5"/>
      <x v="2"/>
    </i>
    <i r="1">
      <x v="6"/>
      <x v="2"/>
    </i>
    <i r="1">
      <x v="7"/>
      <x v="2"/>
    </i>
    <i r="1">
      <x v="8"/>
      <x v="2"/>
    </i>
    <i r="1">
      <x v="9"/>
      <x v="2"/>
    </i>
    <i r="1">
      <x v="11"/>
      <x v="2"/>
    </i>
    <i r="1">
      <x v="15"/>
      <x v="2"/>
    </i>
    <i r="1">
      <x v="16"/>
      <x v="2"/>
    </i>
    <i r="1">
      <x v="17"/>
      <x v="2"/>
    </i>
    <i r="1">
      <x v="18"/>
      <x v="2"/>
    </i>
    <i r="1">
      <x v="19"/>
      <x v="2"/>
    </i>
    <i r="1">
      <x v="22"/>
      <x v="2"/>
    </i>
    <i r="1">
      <x v="23"/>
      <x v="2"/>
    </i>
    <i r="1">
      <x v="25"/>
      <x v="2"/>
    </i>
    <i r="1">
      <x v="28"/>
      <x v="2"/>
    </i>
    <i r="1">
      <x v="34"/>
      <x v="2"/>
    </i>
    <i r="1">
      <x v="36"/>
      <x v="2"/>
    </i>
    <i r="1">
      <x v="37"/>
      <x v="2"/>
    </i>
    <i r="1">
      <x v="38"/>
      <x v="2"/>
    </i>
    <i r="1">
      <x v="39"/>
      <x v="2"/>
    </i>
    <i r="1">
      <x v="43"/>
      <x v="2"/>
    </i>
    <i r="1">
      <x v="45"/>
      <x v="2"/>
    </i>
    <i r="1">
      <x v="46"/>
      <x v="2"/>
    </i>
    <i r="1">
      <x v="51"/>
      <x v="2"/>
    </i>
    <i>
      <x v="2"/>
      <x v="1"/>
      <x v="2"/>
    </i>
    <i r="1">
      <x v="2"/>
      <x v="2"/>
    </i>
    <i r="1">
      <x v="6"/>
      <x v="2"/>
    </i>
    <i r="1">
      <x v="7"/>
      <x v="2"/>
    </i>
    <i r="1">
      <x v="8"/>
      <x v="2"/>
    </i>
    <i r="1">
      <x v="9"/>
      <x v="2"/>
    </i>
    <i r="1">
      <x v="10"/>
      <x v="2"/>
    </i>
    <i r="1">
      <x v="11"/>
      <x v="2"/>
    </i>
    <i r="1">
      <x v="15"/>
      <x v="2"/>
    </i>
    <i r="1">
      <x v="16"/>
      <x v="2"/>
    </i>
    <i r="1">
      <x v="17"/>
      <x v="2"/>
    </i>
    <i r="1">
      <x v="18"/>
      <x v="2"/>
    </i>
    <i r="1">
      <x v="20"/>
      <x v="2"/>
    </i>
    <i r="1">
      <x v="22"/>
      <x v="2"/>
    </i>
    <i r="1">
      <x v="23"/>
      <x v="2"/>
    </i>
    <i r="1">
      <x v="25"/>
      <x v="2"/>
    </i>
    <i r="1">
      <x v="26"/>
      <x v="2"/>
    </i>
    <i r="1">
      <x v="27"/>
      <x v="2"/>
    </i>
    <i r="1">
      <x v="28"/>
      <x v="2"/>
    </i>
    <i r="1">
      <x v="36"/>
      <x v="2"/>
    </i>
    <i r="1">
      <x v="38"/>
      <x v="2"/>
    </i>
    <i r="1">
      <x v="44"/>
      <x v="2"/>
    </i>
    <i r="1">
      <x v="45"/>
      <x v="2"/>
    </i>
    <i r="1">
      <x v="46"/>
      <x v="2"/>
    </i>
    <i r="1">
      <x v="47"/>
      <x v="2"/>
    </i>
    <i r="1">
      <x v="51"/>
      <x v="2"/>
    </i>
    <i>
      <x v="3"/>
      <x/>
      <x v="1"/>
    </i>
    <i r="1">
      <x v="1"/>
      <x v="1"/>
    </i>
    <i r="1">
      <x v="4"/>
      <x v="1"/>
    </i>
    <i r="1">
      <x v="8"/>
      <x v="1"/>
    </i>
    <i r="1">
      <x v="10"/>
      <x v="1"/>
    </i>
    <i r="1">
      <x v="14"/>
      <x v="1"/>
    </i>
    <i r="1">
      <x v="15"/>
      <x v="1"/>
    </i>
    <i r="1">
      <x v="17"/>
      <x v="1"/>
    </i>
    <i r="1">
      <x v="25"/>
      <x v="1"/>
    </i>
    <i r="1">
      <x v="26"/>
      <x v="1"/>
    </i>
    <i r="1">
      <x v="28"/>
      <x v="1"/>
    </i>
    <i r="1">
      <x v="39"/>
      <x v="1"/>
    </i>
    <i r="1">
      <x v="40"/>
      <x v="1"/>
    </i>
    <i r="1">
      <x v="46"/>
      <x v="1"/>
    </i>
    <i r="1">
      <x v="51"/>
      <x v="1"/>
    </i>
    <i>
      <x v="4"/>
      <x v="4"/>
      <x/>
    </i>
    <i r="1">
      <x v="7"/>
      <x/>
    </i>
    <i r="1">
      <x v="8"/>
      <x/>
    </i>
    <i r="1">
      <x v="10"/>
      <x/>
    </i>
    <i r="1">
      <x v="11"/>
      <x/>
    </i>
    <i r="1">
      <x v="17"/>
      <x/>
    </i>
    <i r="1">
      <x v="22"/>
      <x/>
    </i>
    <i r="1">
      <x v="25"/>
      <x/>
    </i>
    <i r="1">
      <x v="27"/>
      <x/>
    </i>
    <i r="1">
      <x v="34"/>
      <x/>
    </i>
    <i r="1">
      <x v="37"/>
      <x/>
    </i>
    <i r="1">
      <x v="38"/>
      <x/>
    </i>
    <i r="1">
      <x v="50"/>
      <x/>
    </i>
    <i r="1">
      <x v="51"/>
      <x/>
    </i>
    <i>
      <x v="5"/>
      <x v="1"/>
      <x v="2"/>
    </i>
    <i r="1">
      <x v="2"/>
      <x v="2"/>
    </i>
    <i r="1">
      <x v="6"/>
      <x v="2"/>
    </i>
    <i r="1">
      <x v="7"/>
      <x v="2"/>
    </i>
    <i r="1">
      <x v="8"/>
      <x v="2"/>
    </i>
    <i r="1">
      <x v="9"/>
      <x v="2"/>
    </i>
    <i r="1">
      <x v="11"/>
      <x v="2"/>
    </i>
    <i r="1">
      <x v="14"/>
      <x v="2"/>
    </i>
    <i r="1">
      <x v="15"/>
      <x v="2"/>
    </i>
    <i r="1">
      <x v="16"/>
      <x v="2"/>
    </i>
    <i r="1">
      <x v="17"/>
      <x v="2"/>
    </i>
    <i r="1">
      <x v="18"/>
      <x v="2"/>
    </i>
    <i r="1">
      <x v="19"/>
      <x v="2"/>
    </i>
    <i r="1">
      <x v="20"/>
      <x v="2"/>
    </i>
    <i r="1">
      <x v="22"/>
      <x v="2"/>
    </i>
    <i r="1">
      <x v="25"/>
      <x v="2"/>
    </i>
    <i r="1">
      <x v="28"/>
      <x v="2"/>
    </i>
    <i r="1">
      <x v="29"/>
      <x v="2"/>
    </i>
    <i r="1">
      <x v="34"/>
      <x v="2"/>
    </i>
    <i r="1">
      <x v="35"/>
      <x v="2"/>
    </i>
    <i r="1">
      <x v="36"/>
      <x v="2"/>
    </i>
    <i r="1">
      <x v="37"/>
      <x v="2"/>
    </i>
    <i r="1">
      <x v="38"/>
      <x v="2"/>
    </i>
    <i r="1">
      <x v="39"/>
      <x v="2"/>
    </i>
    <i r="1">
      <x v="40"/>
      <x v="2"/>
    </i>
    <i r="1">
      <x v="43"/>
      <x v="2"/>
    </i>
    <i r="1">
      <x v="45"/>
      <x v="2"/>
    </i>
    <i r="1">
      <x v="46"/>
      <x v="2"/>
    </i>
    <i r="1">
      <x v="48"/>
      <x v="2"/>
    </i>
    <i r="1">
      <x v="50"/>
      <x v="2"/>
    </i>
    <i r="1">
      <x v="51"/>
      <x v="2"/>
    </i>
    <i>
      <x v="6"/>
      <x v="2"/>
      <x v="2"/>
    </i>
    <i r="1">
      <x v="4"/>
      <x v="2"/>
    </i>
    <i r="1">
      <x v="7"/>
      <x v="2"/>
    </i>
    <i r="1">
      <x v="8"/>
      <x v="2"/>
    </i>
    <i r="1">
      <x v="9"/>
      <x v="2"/>
    </i>
    <i r="1">
      <x v="10"/>
      <x v="2"/>
    </i>
    <i r="1">
      <x v="11"/>
      <x v="2"/>
    </i>
    <i r="1">
      <x v="14"/>
      <x v="2"/>
    </i>
    <i r="1">
      <x v="15"/>
      <x v="2"/>
    </i>
    <i r="1">
      <x v="16"/>
      <x v="2"/>
    </i>
    <i r="1">
      <x v="17"/>
      <x v="2"/>
    </i>
    <i r="1">
      <x v="18"/>
      <x v="2"/>
    </i>
    <i r="1">
      <x v="20"/>
      <x v="2"/>
    </i>
    <i r="1">
      <x v="22"/>
      <x v="2"/>
    </i>
    <i r="1">
      <x v="25"/>
      <x v="2"/>
    </i>
    <i r="1">
      <x v="28"/>
      <x v="2"/>
    </i>
    <i r="1">
      <x v="31"/>
      <x v="2"/>
    </i>
    <i r="1">
      <x v="34"/>
      <x v="2"/>
    </i>
    <i r="1">
      <x v="35"/>
      <x v="2"/>
    </i>
    <i r="1">
      <x v="36"/>
      <x v="2"/>
    </i>
    <i r="1">
      <x v="37"/>
      <x v="2"/>
    </i>
    <i r="1">
      <x v="38"/>
      <x v="2"/>
    </i>
    <i r="1">
      <x v="39"/>
      <x v="2"/>
    </i>
    <i r="1">
      <x v="44"/>
      <x v="2"/>
    </i>
    <i r="1">
      <x v="45"/>
      <x v="2"/>
    </i>
    <i r="1">
      <x v="46"/>
      <x v="2"/>
    </i>
    <i r="1">
      <x v="48"/>
      <x v="2"/>
    </i>
    <i r="1">
      <x v="51"/>
      <x v="2"/>
    </i>
    <i>
      <x v="7"/>
      <x v="2"/>
      <x v="2"/>
    </i>
    <i r="1">
      <x v="4"/>
      <x v="2"/>
    </i>
    <i r="1">
      <x v="7"/>
      <x v="2"/>
    </i>
    <i r="1">
      <x v="8"/>
      <x v="2"/>
    </i>
    <i r="1">
      <x v="9"/>
      <x v="2"/>
    </i>
    <i r="1">
      <x v="10"/>
      <x v="2"/>
    </i>
    <i r="1">
      <x v="11"/>
      <x v="2"/>
    </i>
    <i r="1">
      <x v="15"/>
      <x v="2"/>
    </i>
    <i r="1">
      <x v="16"/>
      <x v="2"/>
    </i>
    <i r="1">
      <x v="17"/>
      <x v="2"/>
    </i>
    <i r="1">
      <x v="18"/>
      <x v="2"/>
    </i>
    <i r="1">
      <x v="20"/>
      <x v="2"/>
    </i>
    <i r="1">
      <x v="22"/>
      <x v="2"/>
    </i>
    <i r="1">
      <x v="25"/>
      <x v="2"/>
    </i>
    <i r="1">
      <x v="28"/>
      <x v="2"/>
    </i>
    <i r="1">
      <x v="32"/>
      <x v="2"/>
    </i>
    <i r="1">
      <x v="33"/>
      <x v="2"/>
    </i>
    <i r="1">
      <x v="34"/>
      <x v="2"/>
    </i>
    <i r="1">
      <x v="35"/>
      <x v="2"/>
    </i>
    <i r="1">
      <x v="38"/>
      <x v="2"/>
    </i>
    <i r="1">
      <x v="39"/>
      <x v="2"/>
    </i>
    <i r="1">
      <x v="46"/>
      <x v="2"/>
    </i>
    <i r="1">
      <x v="48"/>
      <x v="2"/>
    </i>
    <i r="1">
      <x v="50"/>
      <x v="2"/>
    </i>
    <i r="1">
      <x v="51"/>
      <x v="2"/>
    </i>
    <i>
      <x v="8"/>
      <x/>
      <x v="2"/>
    </i>
    <i r="1">
      <x v="1"/>
      <x v="2"/>
    </i>
    <i r="1">
      <x v="2"/>
      <x v="2"/>
    </i>
    <i r="1">
      <x v="3"/>
      <x v="2"/>
    </i>
    <i r="1">
      <x v="4"/>
      <x v="2"/>
    </i>
    <i r="1">
      <x v="6"/>
      <x v="2"/>
    </i>
    <i r="1">
      <x v="7"/>
      <x v="2"/>
    </i>
    <i r="1">
      <x v="8"/>
      <x v="2"/>
    </i>
    <i r="1">
      <x v="15"/>
      <x v="2"/>
    </i>
    <i r="1">
      <x v="16"/>
      <x v="2"/>
    </i>
    <i r="1">
      <x v="17"/>
      <x v="2"/>
    </i>
    <i r="1">
      <x v="18"/>
      <x v="2"/>
    </i>
    <i r="1">
      <x v="20"/>
      <x v="2"/>
    </i>
    <i r="1">
      <x v="22"/>
      <x v="2"/>
    </i>
    <i r="1">
      <x v="25"/>
      <x v="2"/>
    </i>
    <i r="1">
      <x v="28"/>
      <x v="2"/>
    </i>
    <i r="1">
      <x v="29"/>
      <x v="2"/>
    </i>
    <i r="1">
      <x v="32"/>
      <x v="2"/>
    </i>
    <i r="1">
      <x v="34"/>
      <x v="2"/>
    </i>
    <i r="1">
      <x v="36"/>
      <x v="2"/>
    </i>
    <i r="1">
      <x v="37"/>
      <x v="2"/>
    </i>
    <i r="1">
      <x v="39"/>
      <x v="2"/>
    </i>
    <i r="1">
      <x v="42"/>
      <x v="2"/>
    </i>
    <i r="1">
      <x v="45"/>
      <x v="2"/>
    </i>
    <i r="1">
      <x v="46"/>
      <x v="2"/>
    </i>
    <i r="1">
      <x v="47"/>
      <x v="2"/>
    </i>
    <i r="1">
      <x v="48"/>
      <x v="2"/>
    </i>
    <i r="1">
      <x v="51"/>
      <x v="2"/>
    </i>
    <i>
      <x v="9"/>
      <x v="2"/>
      <x v="2"/>
    </i>
    <i r="1">
      <x v="6"/>
      <x v="2"/>
    </i>
    <i r="1">
      <x v="7"/>
      <x v="2"/>
    </i>
    <i r="1">
      <x v="8"/>
      <x v="2"/>
    </i>
    <i r="1">
      <x v="10"/>
      <x v="2"/>
    </i>
    <i r="1">
      <x v="15"/>
      <x v="2"/>
    </i>
    <i r="1">
      <x v="16"/>
      <x v="2"/>
    </i>
    <i r="1">
      <x v="17"/>
      <x v="2"/>
    </i>
    <i r="1">
      <x v="19"/>
      <x v="2"/>
    </i>
    <i r="1">
      <x v="22"/>
      <x v="2"/>
    </i>
    <i r="1">
      <x v="25"/>
      <x v="2"/>
    </i>
    <i r="1">
      <x v="28"/>
      <x v="2"/>
    </i>
    <i r="1">
      <x v="34"/>
      <x v="2"/>
    </i>
    <i r="1">
      <x v="45"/>
      <x v="2"/>
    </i>
    <i r="1">
      <x v="46"/>
      <x v="2"/>
    </i>
    <i r="1">
      <x v="51"/>
      <x v="2"/>
    </i>
    <i>
      <x v="10"/>
      <x/>
      <x v="1"/>
    </i>
    <i r="1">
      <x v="1"/>
      <x v="1"/>
    </i>
    <i r="1">
      <x v="7"/>
      <x v="1"/>
    </i>
    <i r="1">
      <x v="10"/>
      <x v="1"/>
    </i>
    <i r="1">
      <x v="15"/>
      <x v="1"/>
    </i>
    <i r="1">
      <x v="20"/>
      <x v="1"/>
    </i>
    <i r="1">
      <x v="27"/>
      <x v="1"/>
    </i>
    <i r="1">
      <x v="45"/>
      <x v="1"/>
    </i>
    <i r="1">
      <x v="46"/>
      <x v="1"/>
    </i>
    <i>
      <x v="11"/>
      <x v="1"/>
      <x/>
    </i>
    <i r="1">
      <x v="15"/>
      <x/>
    </i>
    <i r="1">
      <x v="22"/>
      <x/>
    </i>
    <i r="1">
      <x v="23"/>
      <x/>
    </i>
    <i r="1">
      <x v="28"/>
      <x/>
    </i>
    <i r="1">
      <x v="46"/>
      <x/>
    </i>
    <i r="1">
      <x v="48"/>
      <x/>
    </i>
    <i r="1">
      <x v="49"/>
      <x/>
    </i>
    <i r="1">
      <x v="51"/>
      <x/>
    </i>
    <i>
      <x v="12"/>
      <x/>
      <x v="2"/>
    </i>
    <i r="1">
      <x v="1"/>
      <x v="2"/>
    </i>
    <i r="1">
      <x v="4"/>
      <x v="2"/>
    </i>
    <i r="1">
      <x v="6"/>
      <x v="2"/>
    </i>
    <i r="1">
      <x v="7"/>
      <x v="2"/>
    </i>
    <i r="1">
      <x v="8"/>
      <x v="2"/>
    </i>
    <i r="1">
      <x v="11"/>
      <x v="2"/>
    </i>
    <i r="1">
      <x v="14"/>
      <x v="2"/>
    </i>
    <i r="1">
      <x v="17"/>
      <x v="2"/>
    </i>
    <i r="1">
      <x v="18"/>
      <x v="2"/>
    </i>
    <i r="1">
      <x v="19"/>
      <x v="2"/>
    </i>
    <i r="1">
      <x v="20"/>
      <x v="2"/>
    </i>
    <i r="1">
      <x v="25"/>
      <x v="2"/>
    </i>
    <i r="1">
      <x v="28"/>
      <x v="2"/>
    </i>
    <i r="1">
      <x v="32"/>
      <x v="2"/>
    </i>
    <i r="1">
      <x v="33"/>
      <x v="2"/>
    </i>
    <i r="1">
      <x v="34"/>
      <x v="2"/>
    </i>
    <i r="1">
      <x v="36"/>
      <x v="2"/>
    </i>
    <i r="1">
      <x v="37"/>
      <x v="2"/>
    </i>
    <i r="1">
      <x v="39"/>
      <x v="2"/>
    </i>
    <i r="1">
      <x v="41"/>
      <x v="2"/>
    </i>
    <i r="1">
      <x v="42"/>
      <x v="2"/>
    </i>
    <i r="1">
      <x v="45"/>
      <x v="2"/>
    </i>
    <i r="1">
      <x v="46"/>
      <x v="2"/>
    </i>
    <i r="1">
      <x v="47"/>
      <x v="2"/>
    </i>
    <i r="1">
      <x v="51"/>
      <x v="2"/>
    </i>
    <i>
      <x v="13"/>
      <x/>
      <x v="2"/>
    </i>
    <i r="1">
      <x v="1"/>
      <x v="2"/>
    </i>
    <i r="1">
      <x v="3"/>
      <x v="2"/>
    </i>
    <i r="1">
      <x v="4"/>
      <x v="2"/>
    </i>
    <i r="1">
      <x v="6"/>
      <x v="2"/>
    </i>
    <i r="1">
      <x v="8"/>
      <x v="2"/>
    </i>
    <i r="1">
      <x v="10"/>
      <x v="2"/>
    </i>
    <i r="1">
      <x v="11"/>
      <x v="2"/>
    </i>
    <i r="1">
      <x v="12"/>
      <x v="2"/>
    </i>
    <i r="1">
      <x v="14"/>
      <x v="2"/>
    </i>
    <i r="1">
      <x v="15"/>
      <x v="2"/>
    </i>
    <i r="1">
      <x v="16"/>
      <x v="2"/>
    </i>
    <i r="1">
      <x v="17"/>
      <x v="2"/>
    </i>
    <i r="1">
      <x v="20"/>
      <x v="2"/>
    </i>
    <i r="1">
      <x v="22"/>
      <x v="2"/>
    </i>
    <i r="1">
      <x v="24"/>
      <x v="2"/>
    </i>
    <i r="1">
      <x v="25"/>
      <x v="2"/>
    </i>
    <i r="1">
      <x v="27"/>
      <x v="2"/>
    </i>
    <i r="1">
      <x v="28"/>
      <x v="2"/>
    </i>
    <i r="1">
      <x v="29"/>
      <x v="2"/>
    </i>
    <i r="1">
      <x v="31"/>
      <x v="2"/>
    </i>
    <i r="1">
      <x v="32"/>
      <x v="2"/>
    </i>
    <i r="1">
      <x v="33"/>
      <x v="2"/>
    </i>
    <i r="1">
      <x v="34"/>
      <x v="2"/>
    </i>
    <i r="1">
      <x v="35"/>
      <x v="2"/>
    </i>
    <i r="1">
      <x v="36"/>
      <x v="2"/>
    </i>
    <i r="1">
      <x v="39"/>
      <x v="2"/>
    </i>
    <i r="1">
      <x v="40"/>
      <x v="2"/>
    </i>
    <i r="1">
      <x v="41"/>
      <x v="2"/>
    </i>
    <i r="1">
      <x v="46"/>
      <x v="2"/>
    </i>
    <i r="1">
      <x v="50"/>
      <x v="2"/>
    </i>
    <i r="1">
      <x v="51"/>
      <x v="2"/>
    </i>
    <i>
      <x v="14"/>
      <x/>
      <x v="2"/>
    </i>
    <i r="1">
      <x v="6"/>
      <x v="2"/>
    </i>
    <i r="1">
      <x v="8"/>
      <x v="2"/>
    </i>
    <i r="1">
      <x v="11"/>
      <x v="2"/>
    </i>
    <i r="1">
      <x v="14"/>
      <x v="2"/>
    </i>
    <i r="1">
      <x v="15"/>
      <x v="2"/>
    </i>
    <i r="1">
      <x v="16"/>
      <x v="2"/>
    </i>
    <i r="1">
      <x v="20"/>
      <x v="2"/>
    </i>
    <i r="1">
      <x v="22"/>
      <x v="2"/>
    </i>
    <i r="1">
      <x v="25"/>
      <x v="2"/>
    </i>
    <i r="1">
      <x v="26"/>
      <x v="2"/>
    </i>
    <i r="1">
      <x v="27"/>
      <x v="2"/>
    </i>
    <i r="1">
      <x v="28"/>
      <x v="2"/>
    </i>
    <i r="1">
      <x v="29"/>
      <x v="2"/>
    </i>
    <i r="1">
      <x v="34"/>
      <x v="2"/>
    </i>
    <i r="1">
      <x v="35"/>
      <x v="2"/>
    </i>
    <i r="1">
      <x v="36"/>
      <x v="2"/>
    </i>
    <i r="1">
      <x v="40"/>
      <x v="2"/>
    </i>
    <i r="1">
      <x v="43"/>
      <x v="2"/>
    </i>
    <i r="1">
      <x v="45"/>
      <x v="2"/>
    </i>
    <i r="1">
      <x v="46"/>
      <x v="2"/>
    </i>
    <i r="1">
      <x v="48"/>
      <x v="2"/>
    </i>
    <i r="1">
      <x v="51"/>
      <x v="2"/>
    </i>
    <i>
      <x v="15"/>
      <x/>
      <x v="2"/>
    </i>
    <i r="1">
      <x v="1"/>
      <x v="2"/>
    </i>
    <i r="1">
      <x v="2"/>
      <x v="2"/>
    </i>
    <i r="1">
      <x v="3"/>
      <x v="2"/>
    </i>
    <i r="1">
      <x v="4"/>
      <x v="2"/>
    </i>
    <i r="1">
      <x v="6"/>
      <x v="2"/>
    </i>
    <i r="1">
      <x v="7"/>
      <x v="2"/>
    </i>
    <i r="1">
      <x v="8"/>
      <x v="2"/>
    </i>
    <i r="1">
      <x v="11"/>
      <x v="2"/>
    </i>
    <i r="1">
      <x v="12"/>
      <x v="2"/>
    </i>
    <i r="1">
      <x v="16"/>
      <x v="2"/>
    </i>
    <i r="1">
      <x v="18"/>
      <x v="2"/>
    </i>
    <i r="1">
      <x v="19"/>
      <x v="2"/>
    </i>
    <i r="1">
      <x v="20"/>
      <x v="2"/>
    </i>
    <i r="1">
      <x v="22"/>
      <x v="2"/>
    </i>
    <i r="1">
      <x v="25"/>
      <x v="2"/>
    </i>
    <i r="1">
      <x v="26"/>
      <x v="2"/>
    </i>
    <i r="1">
      <x v="28"/>
      <x v="2"/>
    </i>
    <i r="1">
      <x v="29"/>
      <x v="2"/>
    </i>
    <i r="1">
      <x v="31"/>
      <x v="2"/>
    </i>
    <i r="1">
      <x v="32"/>
      <x v="2"/>
    </i>
    <i r="1">
      <x v="33"/>
      <x v="2"/>
    </i>
    <i r="1">
      <x v="34"/>
      <x v="2"/>
    </i>
    <i r="1">
      <x v="36"/>
      <x v="2"/>
    </i>
    <i r="1">
      <x v="39"/>
      <x v="2"/>
    </i>
    <i r="1">
      <x v="43"/>
      <x v="2"/>
    </i>
    <i r="1">
      <x v="45"/>
      <x v="2"/>
    </i>
    <i r="1">
      <x v="46"/>
      <x v="2"/>
    </i>
    <i r="1">
      <x v="49"/>
      <x v="2"/>
    </i>
    <i r="1">
      <x v="50"/>
      <x v="2"/>
    </i>
    <i r="1">
      <x v="51"/>
      <x v="2"/>
    </i>
    <i>
      <x v="16"/>
      <x v="1"/>
      <x v="2"/>
    </i>
    <i r="1">
      <x v="2"/>
      <x v="2"/>
    </i>
    <i r="1">
      <x v="4"/>
      <x v="2"/>
    </i>
    <i r="1">
      <x v="6"/>
      <x v="2"/>
    </i>
    <i r="1">
      <x v="7"/>
      <x v="2"/>
    </i>
    <i r="1">
      <x v="8"/>
      <x v="2"/>
    </i>
    <i r="1">
      <x v="9"/>
      <x v="2"/>
    </i>
    <i r="1">
      <x v="11"/>
      <x v="2"/>
    </i>
    <i r="1">
      <x v="12"/>
      <x v="2"/>
    </i>
    <i r="1">
      <x v="15"/>
      <x v="2"/>
    </i>
    <i r="1">
      <x v="19"/>
      <x v="2"/>
    </i>
    <i r="1">
      <x v="20"/>
      <x v="2"/>
    </i>
    <i r="1">
      <x v="22"/>
      <x v="2"/>
    </i>
    <i r="1">
      <x v="25"/>
      <x v="2"/>
    </i>
    <i r="1">
      <x v="26"/>
      <x v="2"/>
    </i>
    <i r="1">
      <x v="27"/>
      <x v="2"/>
    </i>
    <i r="1">
      <x v="28"/>
      <x v="2"/>
    </i>
    <i r="1">
      <x v="29"/>
      <x v="2"/>
    </i>
    <i r="1">
      <x v="30"/>
      <x v="2"/>
    </i>
    <i r="1">
      <x v="31"/>
      <x v="2"/>
    </i>
    <i r="1">
      <x v="33"/>
      <x v="2"/>
    </i>
    <i r="1">
      <x v="34"/>
      <x v="2"/>
    </i>
    <i r="1">
      <x v="35"/>
      <x v="2"/>
    </i>
    <i r="1">
      <x v="39"/>
      <x v="2"/>
    </i>
    <i r="1">
      <x v="40"/>
      <x v="2"/>
    </i>
    <i r="1">
      <x v="43"/>
      <x v="2"/>
    </i>
    <i r="1">
      <x v="46"/>
      <x v="2"/>
    </i>
    <i r="1">
      <x v="47"/>
      <x v="2"/>
    </i>
    <i r="1">
      <x v="48"/>
      <x v="2"/>
    </i>
    <i r="1">
      <x v="50"/>
      <x v="2"/>
    </i>
    <i r="1">
      <x v="51"/>
      <x v="2"/>
    </i>
    <i>
      <x v="17"/>
      <x v="2"/>
      <x v="1"/>
    </i>
    <i r="1">
      <x v="4"/>
      <x v="1"/>
    </i>
    <i r="1">
      <x v="22"/>
      <x v="1"/>
    </i>
    <i r="1">
      <x v="28"/>
      <x v="1"/>
    </i>
    <i r="1">
      <x v="39"/>
      <x v="1"/>
    </i>
    <i r="1">
      <x v="50"/>
      <x v="1"/>
    </i>
    <i r="1">
      <x v="51"/>
      <x v="1"/>
    </i>
    <i>
      <x v="18"/>
      <x v="2"/>
      <x/>
    </i>
    <i r="1">
      <x v="7"/>
      <x/>
    </i>
    <i r="1">
      <x v="8"/>
      <x/>
    </i>
    <i r="1">
      <x v="12"/>
      <x/>
    </i>
    <i r="1">
      <x v="15"/>
      <x/>
    </i>
    <i r="1">
      <x v="16"/>
      <x/>
    </i>
    <i r="1">
      <x v="25"/>
      <x/>
    </i>
    <i r="1">
      <x v="28"/>
      <x/>
    </i>
    <i r="1">
      <x v="35"/>
      <x/>
    </i>
    <i r="1">
      <x v="36"/>
      <x/>
    </i>
    <i r="1">
      <x v="50"/>
      <x/>
    </i>
    <i r="1">
      <x v="51"/>
      <x/>
    </i>
    <i>
      <x v="19"/>
      <x/>
      <x v="2"/>
    </i>
    <i r="1">
      <x v="2"/>
      <x v="2"/>
    </i>
    <i r="1">
      <x v="6"/>
      <x v="2"/>
    </i>
    <i r="1">
      <x v="8"/>
      <x v="2"/>
    </i>
    <i r="1">
      <x v="9"/>
      <x v="2"/>
    </i>
    <i r="1">
      <x v="10"/>
      <x v="2"/>
    </i>
    <i r="1">
      <x v="11"/>
      <x v="2"/>
    </i>
    <i r="1">
      <x v="14"/>
      <x v="2"/>
    </i>
    <i r="1">
      <x v="15"/>
      <x v="2"/>
    </i>
    <i r="1">
      <x v="16"/>
      <x v="2"/>
    </i>
    <i r="1">
      <x v="17"/>
      <x v="2"/>
    </i>
    <i r="1">
      <x v="20"/>
      <x v="2"/>
    </i>
    <i r="1">
      <x v="21"/>
      <x v="2"/>
    </i>
    <i r="1">
      <x v="22"/>
      <x v="2"/>
    </i>
    <i r="1">
      <x v="25"/>
      <x v="2"/>
    </i>
    <i r="1">
      <x v="28"/>
      <x v="2"/>
    </i>
    <i r="1">
      <x v="32"/>
      <x v="2"/>
    </i>
    <i r="1">
      <x v="33"/>
      <x v="2"/>
    </i>
    <i r="1">
      <x v="34"/>
      <x v="2"/>
    </i>
    <i r="1">
      <x v="36"/>
      <x v="2"/>
    </i>
    <i r="1">
      <x v="37"/>
      <x v="2"/>
    </i>
    <i r="1">
      <x v="38"/>
      <x v="2"/>
    </i>
    <i r="1">
      <x v="39"/>
      <x v="2"/>
    </i>
    <i r="1">
      <x v="41"/>
      <x v="2"/>
    </i>
    <i r="1">
      <x v="46"/>
      <x v="2"/>
    </i>
    <i r="1">
      <x v="47"/>
      <x v="2"/>
    </i>
    <i r="1">
      <x v="48"/>
      <x v="2"/>
    </i>
    <i r="1">
      <x v="50"/>
      <x v="2"/>
    </i>
    <i r="1">
      <x v="51"/>
      <x v="2"/>
    </i>
    <i>
      <x v="20"/>
      <x/>
      <x v="2"/>
    </i>
    <i r="1">
      <x v="1"/>
      <x v="2"/>
    </i>
    <i r="1">
      <x v="2"/>
      <x v="2"/>
    </i>
    <i r="1">
      <x v="6"/>
      <x v="2"/>
    </i>
    <i r="1">
      <x v="7"/>
      <x v="2"/>
    </i>
    <i r="1">
      <x v="8"/>
      <x v="2"/>
    </i>
    <i r="1">
      <x v="10"/>
      <x v="2"/>
    </i>
    <i r="1">
      <x v="12"/>
      <x v="2"/>
    </i>
    <i r="1">
      <x v="14"/>
      <x v="2"/>
    </i>
    <i r="1">
      <x v="16"/>
      <x v="2"/>
    </i>
    <i r="1">
      <x v="17"/>
      <x v="2"/>
    </i>
    <i r="1">
      <x v="22"/>
      <x v="2"/>
    </i>
    <i r="1">
      <x v="23"/>
      <x v="2"/>
    </i>
    <i r="1">
      <x v="25"/>
      <x v="2"/>
    </i>
    <i r="1">
      <x v="28"/>
      <x v="2"/>
    </i>
    <i r="1">
      <x v="31"/>
      <x v="2"/>
    </i>
    <i r="1">
      <x v="32"/>
      <x v="2"/>
    </i>
    <i r="1">
      <x v="33"/>
      <x v="2"/>
    </i>
    <i r="1">
      <x v="34"/>
      <x v="2"/>
    </i>
    <i r="1">
      <x v="35"/>
      <x v="2"/>
    </i>
    <i r="1">
      <x v="36"/>
      <x v="2"/>
    </i>
    <i r="1">
      <x v="38"/>
      <x v="2"/>
    </i>
    <i r="1">
      <x v="40"/>
      <x v="2"/>
    </i>
    <i r="1">
      <x v="41"/>
      <x v="2"/>
    </i>
    <i r="1">
      <x v="43"/>
      <x v="2"/>
    </i>
    <i r="1">
      <x v="45"/>
      <x v="2"/>
    </i>
    <i r="1">
      <x v="46"/>
      <x v="2"/>
    </i>
    <i r="1">
      <x v="48"/>
      <x v="2"/>
    </i>
    <i r="1">
      <x v="50"/>
      <x v="2"/>
    </i>
    <i r="1">
      <x v="51"/>
      <x v="2"/>
    </i>
    <i>
      <x v="21"/>
      <x/>
      <x v="2"/>
    </i>
    <i r="1">
      <x v="2"/>
      <x v="2"/>
    </i>
    <i r="1">
      <x v="6"/>
      <x v="2"/>
    </i>
    <i r="1">
      <x v="7"/>
      <x v="2"/>
    </i>
    <i r="1">
      <x v="8"/>
      <x v="2"/>
    </i>
    <i r="1">
      <x v="9"/>
      <x v="2"/>
    </i>
    <i r="1">
      <x v="11"/>
      <x v="2"/>
    </i>
    <i r="1">
      <x v="14"/>
      <x v="2"/>
    </i>
    <i r="1">
      <x v="16"/>
      <x v="2"/>
    </i>
    <i r="1">
      <x v="18"/>
      <x v="2"/>
    </i>
    <i r="1">
      <x v="20"/>
      <x v="2"/>
    </i>
    <i r="1">
      <x v="22"/>
      <x v="2"/>
    </i>
    <i r="1">
      <x v="24"/>
      <x v="2"/>
    </i>
    <i r="1">
      <x v="25"/>
      <x v="2"/>
    </i>
    <i r="1">
      <x v="27"/>
      <x v="2"/>
    </i>
    <i r="1">
      <x v="28"/>
      <x v="2"/>
    </i>
    <i r="1">
      <x v="31"/>
      <x v="2"/>
    </i>
    <i r="1">
      <x v="34"/>
      <x v="2"/>
    </i>
    <i r="1">
      <x v="38"/>
      <x v="2"/>
    </i>
    <i r="1">
      <x v="40"/>
      <x v="2"/>
    </i>
    <i r="1">
      <x v="42"/>
      <x v="2"/>
    </i>
    <i r="1">
      <x v="46"/>
      <x v="2"/>
    </i>
    <i r="1">
      <x v="48"/>
      <x v="2"/>
    </i>
    <i r="1">
      <x v="49"/>
      <x v="2"/>
    </i>
    <i r="1">
      <x v="50"/>
      <x v="2"/>
    </i>
    <i r="1">
      <x v="51"/>
      <x v="2"/>
    </i>
    <i>
      <x v="22"/>
      <x/>
      <x v="2"/>
    </i>
    <i r="1">
      <x v="1"/>
      <x v="2"/>
    </i>
    <i r="1">
      <x v="2"/>
      <x v="2"/>
    </i>
    <i r="1">
      <x v="4"/>
      <x v="2"/>
    </i>
    <i r="1">
      <x v="7"/>
      <x v="2"/>
    </i>
    <i r="1">
      <x v="8"/>
      <x v="2"/>
    </i>
    <i r="1">
      <x v="10"/>
      <x v="2"/>
    </i>
    <i r="1">
      <x v="12"/>
      <x v="2"/>
    </i>
    <i r="1">
      <x v="15"/>
      <x v="2"/>
    </i>
    <i r="1">
      <x v="16"/>
      <x v="2"/>
    </i>
    <i r="1">
      <x v="19"/>
      <x v="2"/>
    </i>
    <i r="1">
      <x v="20"/>
      <x v="2"/>
    </i>
    <i r="1">
      <x v="22"/>
      <x v="2"/>
    </i>
    <i r="1">
      <x v="25"/>
      <x v="2"/>
    </i>
    <i r="1">
      <x v="27"/>
      <x v="2"/>
    </i>
    <i r="1">
      <x v="28"/>
      <x v="2"/>
    </i>
    <i r="1">
      <x v="32"/>
      <x v="2"/>
    </i>
    <i r="1">
      <x v="34"/>
      <x v="2"/>
    </i>
    <i r="1">
      <x v="37"/>
      <x v="2"/>
    </i>
    <i r="1">
      <x v="39"/>
      <x v="2"/>
    </i>
    <i r="1">
      <x v="40"/>
      <x v="2"/>
    </i>
    <i r="1">
      <x v="41"/>
      <x v="2"/>
    </i>
    <i r="1">
      <x v="43"/>
      <x v="2"/>
    </i>
    <i r="1">
      <x v="45"/>
      <x v="2"/>
    </i>
    <i r="1">
      <x v="46"/>
      <x v="2"/>
    </i>
    <i r="1">
      <x v="48"/>
      <x v="2"/>
    </i>
    <i r="1">
      <x v="50"/>
      <x v="2"/>
    </i>
    <i r="1">
      <x v="51"/>
      <x v="2"/>
    </i>
    <i>
      <x v="23"/>
      <x/>
      <x v="2"/>
    </i>
    <i r="1">
      <x v="4"/>
      <x v="2"/>
    </i>
    <i r="1">
      <x v="6"/>
      <x v="2"/>
    </i>
    <i r="1">
      <x v="8"/>
      <x v="2"/>
    </i>
    <i r="1">
      <x v="11"/>
      <x v="2"/>
    </i>
    <i r="1">
      <x v="12"/>
      <x v="2"/>
    </i>
    <i r="1">
      <x v="16"/>
      <x v="2"/>
    </i>
    <i r="1">
      <x v="17"/>
      <x v="2"/>
    </i>
    <i r="1">
      <x v="19"/>
      <x v="2"/>
    </i>
    <i r="1">
      <x v="20"/>
      <x v="2"/>
    </i>
    <i r="1">
      <x v="24"/>
      <x v="2"/>
    </i>
    <i r="1">
      <x v="25"/>
      <x v="2"/>
    </i>
    <i r="1">
      <x v="26"/>
      <x v="2"/>
    </i>
    <i r="1">
      <x v="28"/>
      <x v="2"/>
    </i>
    <i r="1">
      <x v="29"/>
      <x v="2"/>
    </i>
    <i r="1">
      <x v="30"/>
      <x v="2"/>
    </i>
    <i r="1">
      <x v="32"/>
      <x v="2"/>
    </i>
    <i r="1">
      <x v="34"/>
      <x v="2"/>
    </i>
    <i r="1">
      <x v="35"/>
      <x v="2"/>
    </i>
    <i r="1">
      <x v="36"/>
      <x v="2"/>
    </i>
    <i r="1">
      <x v="37"/>
      <x v="2"/>
    </i>
    <i r="1">
      <x v="38"/>
      <x v="2"/>
    </i>
    <i r="1">
      <x v="39"/>
      <x v="2"/>
    </i>
    <i r="1">
      <x v="42"/>
      <x v="2"/>
    </i>
    <i r="1">
      <x v="45"/>
      <x v="2"/>
    </i>
    <i r="1">
      <x v="46"/>
      <x v="2"/>
    </i>
    <i r="1">
      <x v="51"/>
      <x v="2"/>
    </i>
    <i>
      <x v="24"/>
      <x v="1"/>
      <x v="1"/>
    </i>
    <i r="1">
      <x v="8"/>
      <x v="1"/>
    </i>
    <i r="1">
      <x v="25"/>
      <x v="1"/>
    </i>
    <i r="1">
      <x v="51"/>
      <x v="1"/>
    </i>
    <i>
      <x v="25"/>
      <x v="9"/>
      <x/>
    </i>
    <i r="1">
      <x v="17"/>
      <x/>
    </i>
    <i r="1">
      <x v="20"/>
      <x/>
    </i>
    <i r="1">
      <x v="34"/>
      <x/>
    </i>
    <i r="1">
      <x v="51"/>
      <x/>
    </i>
    <i>
      <x v="26"/>
      <x v="1"/>
      <x v="2"/>
    </i>
    <i r="1">
      <x v="6"/>
      <x v="2"/>
    </i>
    <i r="1">
      <x v="8"/>
      <x v="2"/>
    </i>
    <i r="1">
      <x v="11"/>
      <x v="2"/>
    </i>
    <i r="1">
      <x v="15"/>
      <x v="2"/>
    </i>
    <i r="1">
      <x v="16"/>
      <x v="2"/>
    </i>
    <i r="1">
      <x v="17"/>
      <x v="2"/>
    </i>
    <i r="1">
      <x v="19"/>
      <x v="2"/>
    </i>
    <i r="1">
      <x v="22"/>
      <x v="2"/>
    </i>
    <i r="1">
      <x v="25"/>
      <x v="2"/>
    </i>
    <i r="1">
      <x v="27"/>
      <x v="2"/>
    </i>
    <i r="1">
      <x v="28"/>
      <x v="2"/>
    </i>
    <i r="1">
      <x v="34"/>
      <x v="2"/>
    </i>
    <i r="1">
      <x v="39"/>
      <x v="2"/>
    </i>
    <i r="1">
      <x v="46"/>
      <x v="2"/>
    </i>
    <i r="1">
      <x v="48"/>
      <x v="2"/>
    </i>
    <i r="1">
      <x v="51"/>
      <x v="2"/>
    </i>
    <i>
      <x v="27"/>
      <x/>
      <x v="2"/>
    </i>
    <i r="1">
      <x v="1"/>
      <x v="2"/>
    </i>
    <i r="1">
      <x v="2"/>
      <x v="2"/>
    </i>
    <i r="1">
      <x v="3"/>
      <x v="2"/>
    </i>
    <i r="1">
      <x v="4"/>
      <x v="2"/>
    </i>
    <i r="1">
      <x v="6"/>
      <x v="2"/>
    </i>
    <i r="1">
      <x v="7"/>
      <x v="2"/>
    </i>
    <i r="1">
      <x v="9"/>
      <x v="2"/>
    </i>
    <i r="1">
      <x v="11"/>
      <x v="2"/>
    </i>
    <i r="1">
      <x v="14"/>
      <x v="2"/>
    </i>
    <i r="1">
      <x v="15"/>
      <x v="2"/>
    </i>
    <i r="1">
      <x v="16"/>
      <x v="2"/>
    </i>
    <i r="1">
      <x v="17"/>
      <x v="2"/>
    </i>
    <i r="1">
      <x v="18"/>
      <x v="2"/>
    </i>
    <i r="1">
      <x v="19"/>
      <x v="2"/>
    </i>
    <i r="1">
      <x v="20"/>
      <x v="2"/>
    </i>
    <i r="1">
      <x v="21"/>
      <x v="2"/>
    </i>
    <i r="1">
      <x v="22"/>
      <x v="2"/>
    </i>
    <i r="1">
      <x v="24"/>
      <x v="2"/>
    </i>
    <i r="1">
      <x v="25"/>
      <x v="2"/>
    </i>
    <i r="1">
      <x v="27"/>
      <x v="2"/>
    </i>
    <i r="1">
      <x v="28"/>
      <x v="2"/>
    </i>
    <i r="1">
      <x v="34"/>
      <x v="2"/>
    </i>
    <i r="1">
      <x v="35"/>
      <x v="2"/>
    </i>
    <i r="1">
      <x v="38"/>
      <x v="2"/>
    </i>
    <i r="1">
      <x v="40"/>
      <x v="2"/>
    </i>
    <i r="1">
      <x v="42"/>
      <x v="2"/>
    </i>
    <i r="1">
      <x v="43"/>
      <x v="2"/>
    </i>
    <i r="1">
      <x v="45"/>
      <x v="2"/>
    </i>
    <i r="1">
      <x v="46"/>
      <x v="2"/>
    </i>
    <i r="1">
      <x v="48"/>
      <x v="2"/>
    </i>
    <i r="1">
      <x v="51"/>
      <x v="2"/>
    </i>
    <i>
      <x v="28"/>
      <x/>
      <x v="2"/>
    </i>
    <i r="1">
      <x v="1"/>
      <x v="2"/>
    </i>
    <i r="1">
      <x v="2"/>
      <x v="2"/>
    </i>
    <i r="1">
      <x v="6"/>
      <x v="2"/>
    </i>
    <i r="1">
      <x v="8"/>
      <x v="2"/>
    </i>
    <i r="1">
      <x v="9"/>
      <x v="2"/>
    </i>
    <i r="1">
      <x v="10"/>
      <x v="2"/>
    </i>
    <i r="1">
      <x v="11"/>
      <x v="2"/>
    </i>
    <i r="1">
      <x v="13"/>
      <x v="2"/>
    </i>
    <i r="1">
      <x v="14"/>
      <x v="2"/>
    </i>
    <i r="1">
      <x v="15"/>
      <x v="2"/>
    </i>
    <i r="1">
      <x v="16"/>
      <x v="2"/>
    </i>
    <i r="1">
      <x v="20"/>
      <x v="2"/>
    </i>
    <i r="1">
      <x v="22"/>
      <x v="2"/>
    </i>
    <i r="1">
      <x v="25"/>
      <x v="2"/>
    </i>
    <i r="1">
      <x v="28"/>
      <x v="2"/>
    </i>
    <i r="1">
      <x v="32"/>
      <x v="2"/>
    </i>
    <i r="1">
      <x v="34"/>
      <x v="2"/>
    </i>
    <i r="1">
      <x v="36"/>
      <x v="2"/>
    </i>
    <i r="1">
      <x v="38"/>
      <x v="2"/>
    </i>
    <i r="1">
      <x v="39"/>
      <x v="2"/>
    </i>
    <i r="1">
      <x v="41"/>
      <x v="2"/>
    </i>
    <i r="1">
      <x v="46"/>
      <x v="2"/>
    </i>
    <i r="1">
      <x v="51"/>
      <x v="2"/>
    </i>
    <i>
      <x v="29"/>
      <x/>
      <x v="2"/>
    </i>
    <i r="1">
      <x v="1"/>
      <x v="2"/>
    </i>
    <i r="1">
      <x v="6"/>
      <x v="2"/>
    </i>
    <i r="1">
      <x v="7"/>
      <x v="2"/>
    </i>
    <i r="1">
      <x v="9"/>
      <x v="2"/>
    </i>
    <i r="1">
      <x v="11"/>
      <x v="2"/>
    </i>
    <i r="1">
      <x v="14"/>
      <x v="2"/>
    </i>
    <i r="1">
      <x v="15"/>
      <x v="2"/>
    </i>
    <i r="1">
      <x v="16"/>
      <x v="2"/>
    </i>
    <i r="1">
      <x v="17"/>
      <x v="2"/>
    </i>
    <i r="1">
      <x v="20"/>
      <x v="2"/>
    </i>
    <i r="1">
      <x v="23"/>
      <x v="2"/>
    </i>
    <i r="1">
      <x v="25"/>
      <x v="2"/>
    </i>
    <i r="1">
      <x v="28"/>
      <x v="2"/>
    </i>
    <i r="1">
      <x v="30"/>
      <x v="2"/>
    </i>
    <i r="1">
      <x v="34"/>
      <x v="2"/>
    </i>
    <i r="1">
      <x v="35"/>
      <x v="2"/>
    </i>
    <i r="1">
      <x v="36"/>
      <x v="2"/>
    </i>
    <i r="1">
      <x v="38"/>
      <x v="2"/>
    </i>
    <i r="1">
      <x v="39"/>
      <x v="2"/>
    </i>
    <i r="1">
      <x v="41"/>
      <x v="2"/>
    </i>
    <i r="1">
      <x v="42"/>
      <x v="2"/>
    </i>
    <i r="1">
      <x v="46"/>
      <x v="2"/>
    </i>
    <i r="1">
      <x v="48"/>
      <x v="2"/>
    </i>
    <i r="1">
      <x v="51"/>
      <x v="2"/>
    </i>
    <i>
      <x v="30"/>
      <x/>
      <x v="2"/>
    </i>
    <i r="1">
      <x v="1"/>
      <x v="2"/>
    </i>
    <i r="1">
      <x v="2"/>
      <x v="2"/>
    </i>
    <i r="1">
      <x v="6"/>
      <x v="2"/>
    </i>
    <i r="1">
      <x v="7"/>
      <x v="2"/>
    </i>
    <i r="1">
      <x v="8"/>
      <x v="2"/>
    </i>
    <i r="1">
      <x v="9"/>
      <x v="2"/>
    </i>
    <i r="1">
      <x v="10"/>
      <x v="2"/>
    </i>
    <i r="1">
      <x v="11"/>
      <x v="2"/>
    </i>
    <i r="1">
      <x v="13"/>
      <x v="2"/>
    </i>
    <i r="1">
      <x v="16"/>
      <x v="2"/>
    </i>
    <i r="1">
      <x v="17"/>
      <x v="2"/>
    </i>
    <i r="1">
      <x v="18"/>
      <x v="2"/>
    </i>
    <i r="1">
      <x v="19"/>
      <x v="2"/>
    </i>
    <i r="1">
      <x v="20"/>
      <x v="2"/>
    </i>
    <i r="1">
      <x v="25"/>
      <x v="2"/>
    </i>
    <i r="1">
      <x v="26"/>
      <x v="2"/>
    </i>
    <i r="1">
      <x v="28"/>
      <x v="2"/>
    </i>
    <i r="1">
      <x v="32"/>
      <x v="2"/>
    </i>
    <i r="1">
      <x v="33"/>
      <x v="2"/>
    </i>
    <i r="1">
      <x v="34"/>
      <x v="2"/>
    </i>
    <i r="1">
      <x v="36"/>
      <x v="2"/>
    </i>
    <i r="1">
      <x v="39"/>
      <x v="2"/>
    </i>
    <i r="1">
      <x v="42"/>
      <x v="2"/>
    </i>
    <i r="1">
      <x v="45"/>
      <x v="2"/>
    </i>
    <i r="1">
      <x v="46"/>
      <x v="2"/>
    </i>
    <i r="1">
      <x v="47"/>
      <x v="2"/>
    </i>
    <i r="1">
      <x v="48"/>
      <x v="2"/>
    </i>
    <i r="1">
      <x v="51"/>
      <x v="2"/>
    </i>
    <i t="grand">
      <x/>
    </i>
  </rowItems>
  <colItems count="1">
    <i/>
  </colItems>
  <dataFields count="1">
    <dataField name="Conversions" fld="0" subtotal="count" baseField="8"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hyperlink" Target="mailto:suresh@nexora.live" TargetMode="External"/><Relationship Id="rId13" Type="http://schemas.openxmlformats.org/officeDocument/2006/relationships/hyperlink" Target="mailto:abhishek.k@nexora.live" TargetMode="External"/><Relationship Id="rId18" Type="http://schemas.openxmlformats.org/officeDocument/2006/relationships/hyperlink" Target="mailto:anjali@nexora.live" TargetMode="External"/><Relationship Id="rId26" Type="http://schemas.openxmlformats.org/officeDocument/2006/relationships/hyperlink" Target="mailto:riddhi@nexora.live" TargetMode="External"/><Relationship Id="rId3" Type="http://schemas.openxmlformats.org/officeDocument/2006/relationships/hyperlink" Target="mailto:waman@nexora.live" TargetMode="External"/><Relationship Id="rId21" Type="http://schemas.openxmlformats.org/officeDocument/2006/relationships/hyperlink" Target="mailto:saurabh.s@nexora.live" TargetMode="External"/><Relationship Id="rId7" Type="http://schemas.openxmlformats.org/officeDocument/2006/relationships/hyperlink" Target="mailto:aslam.k@nexora.live" TargetMode="External"/><Relationship Id="rId12" Type="http://schemas.openxmlformats.org/officeDocument/2006/relationships/hyperlink" Target="mailto:siddhesh@nexora.live" TargetMode="External"/><Relationship Id="rId17" Type="http://schemas.openxmlformats.org/officeDocument/2006/relationships/hyperlink" Target="mailto:irfan@nexora.live" TargetMode="External"/><Relationship Id="rId25" Type="http://schemas.openxmlformats.org/officeDocument/2006/relationships/hyperlink" Target="mailto:ritesh@nexora.live" TargetMode="External"/><Relationship Id="rId2" Type="http://schemas.openxmlformats.org/officeDocument/2006/relationships/hyperlink" Target="mailto:prince@nexora.live" TargetMode="External"/><Relationship Id="rId16" Type="http://schemas.openxmlformats.org/officeDocument/2006/relationships/hyperlink" Target="mailto:haresh@nexora.live" TargetMode="External"/><Relationship Id="rId20" Type="http://schemas.openxmlformats.org/officeDocument/2006/relationships/hyperlink" Target="mailto:fahrukh@nexora.live" TargetMode="External"/><Relationship Id="rId1" Type="http://schemas.openxmlformats.org/officeDocument/2006/relationships/hyperlink" Target="mailto:ashutosh@nexora.live" TargetMode="External"/><Relationship Id="rId6" Type="http://schemas.openxmlformats.org/officeDocument/2006/relationships/hyperlink" Target="mailto:sachin.g@nexora.live" TargetMode="External"/><Relationship Id="rId11" Type="http://schemas.openxmlformats.org/officeDocument/2006/relationships/hyperlink" Target="mailto:sangita.m@nexora.live" TargetMode="External"/><Relationship Id="rId24" Type="http://schemas.openxmlformats.org/officeDocument/2006/relationships/hyperlink" Target="mailto:adharv@nexora.live" TargetMode="External"/><Relationship Id="rId5" Type="http://schemas.openxmlformats.org/officeDocument/2006/relationships/hyperlink" Target="mailto:sushil@nexora.live" TargetMode="External"/><Relationship Id="rId15" Type="http://schemas.openxmlformats.org/officeDocument/2006/relationships/hyperlink" Target="mailto:ankita@nexora.live" TargetMode="External"/><Relationship Id="rId23" Type="http://schemas.openxmlformats.org/officeDocument/2006/relationships/hyperlink" Target="mailto:mitali@nexora.live" TargetMode="External"/><Relationship Id="rId28" Type="http://schemas.openxmlformats.org/officeDocument/2006/relationships/comments" Target="../comments1.xml"/><Relationship Id="rId10" Type="http://schemas.openxmlformats.org/officeDocument/2006/relationships/hyperlink" Target="mailto:sandeep@nexora.live" TargetMode="External"/><Relationship Id="rId19" Type="http://schemas.openxmlformats.org/officeDocument/2006/relationships/hyperlink" Target="mailto:kawaljit.k@nexora.live" TargetMode="External"/><Relationship Id="rId4" Type="http://schemas.openxmlformats.org/officeDocument/2006/relationships/hyperlink" Target="mailto:nair@nexora.live" TargetMode="External"/><Relationship Id="rId9" Type="http://schemas.openxmlformats.org/officeDocument/2006/relationships/hyperlink" Target="mailto:aamir@nexora.live" TargetMode="External"/><Relationship Id="rId14" Type="http://schemas.openxmlformats.org/officeDocument/2006/relationships/hyperlink" Target="mailto:deepa.negi@nexora.live" TargetMode="External"/><Relationship Id="rId22" Type="http://schemas.openxmlformats.org/officeDocument/2006/relationships/hyperlink" Target="mailto:shambu@nexora.live" TargetMode="External"/><Relationship Id="rId2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1041A-054C-4B03-B275-E1C9378C8237}">
  <dimension ref="A1:R1383"/>
  <sheetViews>
    <sheetView topLeftCell="B256" workbookViewId="0">
      <selection activeCell="N269" activeCellId="7" sqref="N43 N102 N125 N155 N183 N209 N231 N269 N302 N325 N356 N386 N433 N462 N491 N517 N545 N562 N576 N603 N630 N652 N682 P43 P102 P125 P155 P183 P209 P231 P269 P302 P325 P356 P386 P433 P462 P491 P517 P545 P562 P576 P603 P630 P652 P682"/>
      <pivotSelection pane="bottomRight" showHeader="1" extendable="1" axis="axisRow" dimension="1" start="266" min="250" max="276" activeRow="268" activeCol="13" previousRow="268" previousCol="13" click="1" r:id="rId1">
        <pivotArea dataOnly="0" outline="0" fieldPosition="0">
          <references count="1">
            <reference field="2" count="1">
              <x v="34"/>
            </reference>
          </references>
        </pivotArea>
      </pivotSelection>
    </sheetView>
  </sheetViews>
  <sheetFormatPr defaultRowHeight="15" x14ac:dyDescent="0.25"/>
  <cols>
    <col min="2" max="2" width="20" bestFit="1" customWidth="1"/>
    <col min="3" max="3" width="22.85546875" bestFit="1" customWidth="1"/>
    <col min="4" max="5" width="17" customWidth="1"/>
    <col min="13" max="13" width="26.7109375" bestFit="1" customWidth="1"/>
    <col min="14" max="14" width="24.85546875" bestFit="1" customWidth="1"/>
    <col min="15" max="15" width="12.85546875" bestFit="1" customWidth="1"/>
    <col min="16" max="16" width="12.42578125" bestFit="1" customWidth="1"/>
  </cols>
  <sheetData>
    <row r="1" spans="1:18" x14ac:dyDescent="0.25">
      <c r="A1" s="3" t="s">
        <v>0</v>
      </c>
      <c r="B1" s="3" t="s">
        <v>1383</v>
      </c>
      <c r="C1" s="3" t="s">
        <v>1441</v>
      </c>
      <c r="D1" s="3" t="s">
        <v>1440</v>
      </c>
      <c r="E1" s="3" t="s">
        <v>1787</v>
      </c>
      <c r="F1" s="3" t="s">
        <v>1737</v>
      </c>
      <c r="G1" s="3" t="s">
        <v>1774</v>
      </c>
      <c r="H1" s="3" t="s">
        <v>1778</v>
      </c>
      <c r="I1" s="3" t="s">
        <v>1786</v>
      </c>
    </row>
    <row r="2" spans="1:18" x14ac:dyDescent="0.25">
      <c r="A2" t="s">
        <v>1</v>
      </c>
      <c r="B2" t="s">
        <v>1384</v>
      </c>
      <c r="C2" t="s">
        <v>1388</v>
      </c>
      <c r="D2" s="2">
        <v>46226.742928240739</v>
      </c>
      <c r="E2" s="2">
        <f>INT(D2)</f>
        <v>46226</v>
      </c>
      <c r="F2" t="s">
        <v>1738</v>
      </c>
      <c r="G2">
        <f>_xlfn.XLOOKUP(A2,FTD!A:A,FTD!C:C)</f>
        <v>1000</v>
      </c>
      <c r="H2" cm="1">
        <f t="array" ref="H2">_xlfn.LET(
  _xlpm.s, TRIM(F2),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 t="str">
        <f>_xlfn.XLOOKUP(E2,Calendar!C:C,Calendar!B:B)</f>
        <v>Working Day</v>
      </c>
      <c r="M2" s="79" t="s">
        <v>1787</v>
      </c>
      <c r="N2" s="79" t="s">
        <v>1441</v>
      </c>
      <c r="O2" s="79" t="s">
        <v>1786</v>
      </c>
      <c r="P2" t="s">
        <v>1790</v>
      </c>
      <c r="Q2" t="s">
        <v>1451</v>
      </c>
    </row>
    <row r="3" spans="1:18" x14ac:dyDescent="0.25">
      <c r="A3" t="s">
        <v>2</v>
      </c>
      <c r="B3" t="s">
        <v>1384</v>
      </c>
      <c r="C3" t="s">
        <v>1389</v>
      </c>
      <c r="D3" s="2">
        <v>46231.493437500001</v>
      </c>
      <c r="E3" s="2">
        <f t="shared" ref="E3:E66" si="0">INT(D3)</f>
        <v>46231</v>
      </c>
      <c r="F3" t="s">
        <v>1739</v>
      </c>
      <c r="G3">
        <f>_xlfn.XLOOKUP(A3,FTD!A:A,FTD!C:C)</f>
        <v>2000</v>
      </c>
      <c r="H3" cm="1">
        <f t="array" ref="H3">_xlfn.LET(
  _xlpm.s, TRIM(F3),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 t="str">
        <f>_xlfn.XLOOKUP(E3,Calendar!C:C,Calendar!B:B)</f>
        <v>Working Day</v>
      </c>
      <c r="M3" s="2">
        <v>46204</v>
      </c>
      <c r="N3" t="s">
        <v>1405</v>
      </c>
      <c r="O3" t="s">
        <v>1789</v>
      </c>
      <c r="P3">
        <v>2</v>
      </c>
      <c r="Q3" t="str">
        <f>_xlfn.XLOOKUP(N3,Attendance!F:F,Attendance!J:J)</f>
        <v>Dialer</v>
      </c>
      <c r="R3">
        <f>_xlfn.LET(
  _xlpm.pool, IFERROR(Q3&amp;"", ""),
  _xlpm.conv, IFERROR(--P3, 0),
  _xlpm.mkt,  O4="Working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4" spans="1:18" x14ac:dyDescent="0.25">
      <c r="A4" t="s">
        <v>3</v>
      </c>
      <c r="B4" t="s">
        <v>1384</v>
      </c>
      <c r="C4" t="s">
        <v>1390</v>
      </c>
      <c r="D4" s="2">
        <v>46206.74895833333</v>
      </c>
      <c r="E4" s="2">
        <f t="shared" si="0"/>
        <v>46206</v>
      </c>
      <c r="F4" t="s">
        <v>1738</v>
      </c>
      <c r="G4">
        <f>_xlfn.XLOOKUP(A4,FTD!A:A,FTD!C:C)</f>
        <v>1500</v>
      </c>
      <c r="H4" cm="1">
        <f t="array" ref="H4">_xlfn.LET(
  _xlpm.s, TRIM(F4),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 t="str">
        <f>_xlfn.XLOOKUP(E4,Calendar!C:C,Calendar!B:B)</f>
        <v>Working Day</v>
      </c>
      <c r="M4" s="2">
        <v>46204</v>
      </c>
      <c r="N4" t="s">
        <v>1415</v>
      </c>
      <c r="O4" t="s">
        <v>1789</v>
      </c>
      <c r="P4">
        <v>2</v>
      </c>
      <c r="Q4" t="str">
        <f>_xlfn.XLOOKUP(N4,Attendance!F:F,Attendance!J:J)</f>
        <v>Meta</v>
      </c>
      <c r="R4">
        <f t="shared" ref="R4:R67" si="1">_xlfn.LET(
  _xlpm.pool, IFERROR(Q4&amp;"", ""),
  _xlpm.conv, IFERROR(--P4, 0),
  _xlpm.mkt,  O5="Working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5" spans="1:18" x14ac:dyDescent="0.25">
      <c r="A5" t="s">
        <v>4</v>
      </c>
      <c r="B5" t="s">
        <v>1385</v>
      </c>
      <c r="C5" t="s">
        <v>1391</v>
      </c>
      <c r="D5" s="2">
        <v>46232.404282407406</v>
      </c>
      <c r="E5" s="2">
        <f t="shared" si="0"/>
        <v>46232</v>
      </c>
      <c r="F5" t="s">
        <v>1740</v>
      </c>
      <c r="G5">
        <f>_xlfn.XLOOKUP(A5,FTD!A:A,FTD!C:C)</f>
        <v>4000</v>
      </c>
      <c r="H5" cm="1">
        <f t="array" ref="H5">_xlfn.LET(
  _xlpm.s, TRIM(F5),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 t="str">
        <f>_xlfn.XLOOKUP(E5,Calendar!C:C,Calendar!B:B)</f>
        <v>Working Day</v>
      </c>
      <c r="M5" s="2">
        <v>46204</v>
      </c>
      <c r="N5" t="s">
        <v>1398</v>
      </c>
      <c r="O5" t="s">
        <v>1789</v>
      </c>
      <c r="P5">
        <v>4</v>
      </c>
      <c r="Q5" t="str">
        <f>_xlfn.XLOOKUP(N5,Attendance!F:F,Attendance!J:J)</f>
        <v>1</v>
      </c>
      <c r="R5">
        <f t="shared" si="1"/>
        <v>0</v>
      </c>
    </row>
    <row r="6" spans="1:18" x14ac:dyDescent="0.25">
      <c r="A6" t="s">
        <v>5</v>
      </c>
      <c r="B6" t="s">
        <v>1384</v>
      </c>
      <c r="C6" t="s">
        <v>1392</v>
      </c>
      <c r="D6" s="2">
        <v>46217.001504629625</v>
      </c>
      <c r="E6" s="2">
        <f t="shared" si="0"/>
        <v>46217</v>
      </c>
      <c r="F6" t="s">
        <v>1738</v>
      </c>
      <c r="G6">
        <f>_xlfn.XLOOKUP(A6,FTD!A:A,FTD!C:C)</f>
        <v>1000</v>
      </c>
      <c r="H6" cm="1">
        <f t="array" ref="H6">_xlfn.LET(
  _xlpm.s, TRIM(F6),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 t="str">
        <f>_xlfn.XLOOKUP(E6,Calendar!C:C,Calendar!B:B)</f>
        <v>Working Day</v>
      </c>
      <c r="M6" s="2">
        <v>46204</v>
      </c>
      <c r="N6" t="s">
        <v>1420</v>
      </c>
      <c r="O6" t="s">
        <v>1789</v>
      </c>
      <c r="P6">
        <v>1</v>
      </c>
      <c r="Q6" t="e">
        <f>_xlfn.XLOOKUP(N6,Attendance!F:F,Attendance!J:J)</f>
        <v>#N/A</v>
      </c>
      <c r="R6">
        <f t="shared" si="1"/>
        <v>0</v>
      </c>
    </row>
    <row r="7" spans="1:18" x14ac:dyDescent="0.25">
      <c r="A7" t="s">
        <v>6</v>
      </c>
      <c r="B7" t="s">
        <v>1385</v>
      </c>
      <c r="C7" t="s">
        <v>1393</v>
      </c>
      <c r="D7" s="2">
        <v>46212.725914351853</v>
      </c>
      <c r="E7" s="2">
        <f t="shared" si="0"/>
        <v>46212</v>
      </c>
      <c r="F7" t="s">
        <v>1738</v>
      </c>
      <c r="G7">
        <f>_xlfn.XLOOKUP(A7,FTD!A:A,FTD!C:C)</f>
        <v>1000</v>
      </c>
      <c r="H7" cm="1">
        <f t="array" ref="H7">_xlfn.LET(
  _xlpm.s, TRIM(F7),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 t="str">
        <f>_xlfn.XLOOKUP(E7,Calendar!C:C,Calendar!B:B)</f>
        <v>Working Day</v>
      </c>
      <c r="M7" s="2">
        <v>46204</v>
      </c>
      <c r="N7" t="s">
        <v>1389</v>
      </c>
      <c r="O7" t="s">
        <v>1789</v>
      </c>
      <c r="P7">
        <v>3</v>
      </c>
      <c r="Q7" t="str">
        <f>_xlfn.XLOOKUP(N7,Attendance!F:F,Attendance!J:J)</f>
        <v>Meta</v>
      </c>
      <c r="R7">
        <f t="shared" si="1"/>
        <v>0</v>
      </c>
    </row>
    <row r="8" spans="1:18" x14ac:dyDescent="0.25">
      <c r="A8" t="s">
        <v>7</v>
      </c>
      <c r="B8" t="s">
        <v>1384</v>
      </c>
      <c r="C8" t="s">
        <v>1390</v>
      </c>
      <c r="D8" s="2">
        <v>46223.426423611112</v>
      </c>
      <c r="E8" s="2">
        <f t="shared" si="0"/>
        <v>46223</v>
      </c>
      <c r="F8" t="s">
        <v>1741</v>
      </c>
      <c r="G8">
        <f>_xlfn.XLOOKUP(A8,FTD!A:A,FTD!C:C)</f>
        <v>8400</v>
      </c>
      <c r="H8" cm="1">
        <f t="array" ref="H8">_xlfn.LET(
  _xlpm.s, TRIM(F8),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 t="str">
        <f>_xlfn.XLOOKUP(E8,Calendar!C:C,Calendar!B:B)</f>
        <v>Working Day</v>
      </c>
      <c r="M8" s="2">
        <v>46204</v>
      </c>
      <c r="N8" t="s">
        <v>1414</v>
      </c>
      <c r="O8" t="s">
        <v>1789</v>
      </c>
      <c r="P8">
        <v>1</v>
      </c>
      <c r="Q8" t="str">
        <f>_xlfn.XLOOKUP(N8,Attendance!F:F,Attendance!J:J)</f>
        <v>New OJT</v>
      </c>
      <c r="R8">
        <f t="shared" si="1"/>
        <v>0</v>
      </c>
    </row>
    <row r="9" spans="1:18" x14ac:dyDescent="0.25">
      <c r="A9" t="s">
        <v>8</v>
      </c>
      <c r="B9" t="s">
        <v>1386</v>
      </c>
      <c r="C9" t="s">
        <v>1394</v>
      </c>
      <c r="D9" s="2">
        <v>46216.46325231481</v>
      </c>
      <c r="E9" s="2">
        <f t="shared" si="0"/>
        <v>46216</v>
      </c>
      <c r="F9" t="s">
        <v>1739</v>
      </c>
      <c r="G9">
        <f>_xlfn.XLOOKUP(A9,FTD!A:A,FTD!C:C)</f>
        <v>2000</v>
      </c>
      <c r="H9" cm="1">
        <f t="array" ref="H9">_xlfn.LET(
  _xlpm.s, TRIM(F9),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 t="str">
        <f>_xlfn.XLOOKUP(E9,Calendar!C:C,Calendar!B:B)</f>
        <v>Working Day</v>
      </c>
      <c r="M9" s="2">
        <v>46204</v>
      </c>
      <c r="N9" t="s">
        <v>1417</v>
      </c>
      <c r="O9" t="s">
        <v>1789</v>
      </c>
      <c r="P9">
        <v>1</v>
      </c>
      <c r="Q9" t="str">
        <f>_xlfn.XLOOKUP(N9,Attendance!F:F,Attendance!J:J)</f>
        <v>Meta</v>
      </c>
      <c r="R9">
        <f t="shared" si="1"/>
        <v>0</v>
      </c>
    </row>
    <row r="10" spans="1:18" x14ac:dyDescent="0.25">
      <c r="A10" t="s">
        <v>9</v>
      </c>
      <c r="B10" t="s">
        <v>1384</v>
      </c>
      <c r="C10" t="s">
        <v>1395</v>
      </c>
      <c r="D10" s="2">
        <v>46227.496516203704</v>
      </c>
      <c r="E10" s="2">
        <f t="shared" si="0"/>
        <v>46227</v>
      </c>
      <c r="F10" t="s">
        <v>1742</v>
      </c>
      <c r="G10">
        <f>_xlfn.XLOOKUP(A10,FTD!A:A,FTD!C:C)</f>
        <v>500</v>
      </c>
      <c r="H10" cm="1">
        <f t="array" ref="H10">_xlfn.LET(
  _xlpm.s, TRIM(F10),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 t="str">
        <f>_xlfn.XLOOKUP(E10,Calendar!C:C,Calendar!B:B)</f>
        <v>Working Day</v>
      </c>
      <c r="M10" s="2">
        <v>46204</v>
      </c>
      <c r="N10" t="s">
        <v>1400</v>
      </c>
      <c r="O10" t="s">
        <v>1789</v>
      </c>
      <c r="P10">
        <v>2</v>
      </c>
      <c r="Q10" t="str">
        <f>_xlfn.XLOOKUP(N10,Attendance!F:F,Attendance!J:J)</f>
        <v>Meta</v>
      </c>
      <c r="R10">
        <f t="shared" si="1"/>
        <v>0</v>
      </c>
    </row>
    <row r="11" spans="1:18" x14ac:dyDescent="0.25">
      <c r="A11" t="s">
        <v>10</v>
      </c>
      <c r="B11" t="s">
        <v>1387</v>
      </c>
      <c r="C11" t="s">
        <v>1396</v>
      </c>
      <c r="D11" s="2">
        <v>46230.397511574069</v>
      </c>
      <c r="E11" s="2">
        <f t="shared" si="0"/>
        <v>46230</v>
      </c>
      <c r="F11" t="s">
        <v>1743</v>
      </c>
      <c r="G11">
        <f>_xlfn.XLOOKUP(A11,FTD!A:A,FTD!C:C)</f>
        <v>1000</v>
      </c>
      <c r="H11" cm="1">
        <f t="array" ref="H11">_xlfn.LET(
  _xlpm.s, TRIM(F11),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 t="str">
        <f>_xlfn.XLOOKUP(E11,Calendar!C:C,Calendar!B:B)</f>
        <v>Working Day</v>
      </c>
      <c r="M11" s="2">
        <v>46204</v>
      </c>
      <c r="N11" t="s">
        <v>1397</v>
      </c>
      <c r="O11" t="s">
        <v>1789</v>
      </c>
      <c r="P11">
        <v>2</v>
      </c>
      <c r="Q11" t="str">
        <f>_xlfn.XLOOKUP(N11,Attendance!F:F,Attendance!J:J)</f>
        <v>Meta</v>
      </c>
      <c r="R11">
        <f t="shared" si="1"/>
        <v>0</v>
      </c>
    </row>
    <row r="12" spans="1:18" x14ac:dyDescent="0.25">
      <c r="A12" t="s">
        <v>11</v>
      </c>
      <c r="B12" t="s">
        <v>1387</v>
      </c>
      <c r="C12" t="s">
        <v>1396</v>
      </c>
      <c r="D12" s="2">
        <v>46220.43</v>
      </c>
      <c r="E12" s="2">
        <f t="shared" si="0"/>
        <v>46220</v>
      </c>
      <c r="F12" t="s">
        <v>1738</v>
      </c>
      <c r="G12">
        <f>_xlfn.XLOOKUP(A12,FTD!A:A,FTD!C:C)</f>
        <v>1000</v>
      </c>
      <c r="H12" cm="1">
        <f t="array" ref="H12">_xlfn.LET(
  _xlpm.s, TRIM(F12),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 t="str">
        <f>_xlfn.XLOOKUP(E12,Calendar!C:C,Calendar!B:B)</f>
        <v>Working Day</v>
      </c>
      <c r="M12" s="2">
        <v>46204</v>
      </c>
      <c r="N12" t="s">
        <v>1407</v>
      </c>
      <c r="O12" t="s">
        <v>1789</v>
      </c>
      <c r="P12">
        <v>1</v>
      </c>
      <c r="Q12" t="str">
        <f>_xlfn.XLOOKUP(N12,Attendance!F:F,Attendance!J:J)</f>
        <v>Meta</v>
      </c>
      <c r="R12">
        <f t="shared" si="1"/>
        <v>0</v>
      </c>
    </row>
    <row r="13" spans="1:18" x14ac:dyDescent="0.25">
      <c r="A13" t="s">
        <v>12</v>
      </c>
      <c r="B13" t="s">
        <v>1387</v>
      </c>
      <c r="C13" t="s">
        <v>1397</v>
      </c>
      <c r="D13" s="2">
        <v>46227.536053240736</v>
      </c>
      <c r="E13" s="2">
        <f t="shared" si="0"/>
        <v>46227</v>
      </c>
      <c r="F13" t="s">
        <v>1744</v>
      </c>
      <c r="G13">
        <f>_xlfn.XLOOKUP(A13,FTD!A:A,FTD!C:C)</f>
        <v>1001</v>
      </c>
      <c r="H13" cm="1">
        <f t="array" ref="H13">_xlfn.LET(
  _xlpm.s, TRIM(F13),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 t="str">
        <f>_xlfn.XLOOKUP(E13,Calendar!C:C,Calendar!B:B)</f>
        <v>Working Day</v>
      </c>
      <c r="M13" s="2">
        <v>46204</v>
      </c>
      <c r="N13" t="s">
        <v>1412</v>
      </c>
      <c r="O13" t="s">
        <v>1789</v>
      </c>
      <c r="P13">
        <v>2</v>
      </c>
      <c r="Q13" t="str">
        <f>_xlfn.XLOOKUP(N13,Attendance!F:F,Attendance!J:J)</f>
        <v>1</v>
      </c>
      <c r="R13">
        <f t="shared" si="1"/>
        <v>0</v>
      </c>
    </row>
    <row r="14" spans="1:18" x14ac:dyDescent="0.25">
      <c r="A14" t="s">
        <v>13</v>
      </c>
      <c r="B14" t="s">
        <v>1387</v>
      </c>
      <c r="C14" t="s">
        <v>1398</v>
      </c>
      <c r="D14" s="2">
        <v>46206.596504629626</v>
      </c>
      <c r="E14" s="2">
        <f t="shared" si="0"/>
        <v>46206</v>
      </c>
      <c r="F14" t="s">
        <v>1738</v>
      </c>
      <c r="G14">
        <f>_xlfn.XLOOKUP(A14,FTD!A:A,FTD!C:C)</f>
        <v>5000</v>
      </c>
      <c r="H14" cm="1">
        <f t="array" ref="H14">_xlfn.LET(
  _xlpm.s, TRIM(F14),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 t="str">
        <f>_xlfn.XLOOKUP(E14,Calendar!C:C,Calendar!B:B)</f>
        <v>Working Day</v>
      </c>
      <c r="M14" s="2">
        <v>46204</v>
      </c>
      <c r="N14" t="s">
        <v>1404</v>
      </c>
      <c r="O14" t="s">
        <v>1789</v>
      </c>
      <c r="P14">
        <v>1</v>
      </c>
      <c r="Q14" t="str">
        <f>_xlfn.XLOOKUP(N14,Attendance!F:F,Attendance!J:J)</f>
        <v>OLD OJT</v>
      </c>
      <c r="R14">
        <f t="shared" si="1"/>
        <v>0</v>
      </c>
    </row>
    <row r="15" spans="1:18" x14ac:dyDescent="0.25">
      <c r="A15" t="s">
        <v>14</v>
      </c>
      <c r="B15" t="s">
        <v>1387</v>
      </c>
      <c r="C15" t="s">
        <v>1393</v>
      </c>
      <c r="D15" s="2">
        <v>46223.633703703701</v>
      </c>
      <c r="E15" s="2">
        <f t="shared" si="0"/>
        <v>46223</v>
      </c>
      <c r="F15" t="s">
        <v>1740</v>
      </c>
      <c r="G15">
        <f>_xlfn.XLOOKUP(A15,FTD!A:A,FTD!C:C)</f>
        <v>2000</v>
      </c>
      <c r="H15" cm="1">
        <f t="array" ref="H15">_xlfn.LET(
  _xlpm.s, TRIM(F15),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5" t="str">
        <f>_xlfn.XLOOKUP(E15,Calendar!C:C,Calendar!B:B)</f>
        <v>Working Day</v>
      </c>
      <c r="M15" s="2">
        <v>46204</v>
      </c>
      <c r="N15" t="s">
        <v>1406</v>
      </c>
      <c r="O15" t="s">
        <v>1789</v>
      </c>
      <c r="P15">
        <v>2</v>
      </c>
      <c r="Q15" t="str">
        <f>_xlfn.XLOOKUP(N15,Attendance!F:F,Attendance!J:J)</f>
        <v>1</v>
      </c>
      <c r="R15">
        <f t="shared" si="1"/>
        <v>0</v>
      </c>
    </row>
    <row r="16" spans="1:18" x14ac:dyDescent="0.25">
      <c r="A16" t="s">
        <v>15</v>
      </c>
      <c r="B16" t="s">
        <v>1387</v>
      </c>
      <c r="C16" t="s">
        <v>1399</v>
      </c>
      <c r="D16" s="2">
        <v>46231.559976851851</v>
      </c>
      <c r="E16" s="2">
        <f t="shared" si="0"/>
        <v>46231</v>
      </c>
      <c r="F16" t="s">
        <v>1456</v>
      </c>
      <c r="G16">
        <f>_xlfn.XLOOKUP(A16,FTD!A:A,FTD!C:C)</f>
        <v>2000</v>
      </c>
      <c r="H16" cm="1">
        <f t="array" ref="H16">_xlfn.LET(
  _xlpm.s, TRIM(F16),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6" t="str">
        <f>_xlfn.XLOOKUP(E16,Calendar!C:C,Calendar!B:B)</f>
        <v>Working Day</v>
      </c>
      <c r="M16" s="2">
        <v>46204</v>
      </c>
      <c r="N16" t="s">
        <v>1434</v>
      </c>
      <c r="O16" t="s">
        <v>1789</v>
      </c>
      <c r="P16">
        <v>1</v>
      </c>
      <c r="Q16" t="str">
        <f>_xlfn.XLOOKUP(N16,Attendance!F:F,Attendance!J:J)</f>
        <v>OJT 2</v>
      </c>
      <c r="R16">
        <f t="shared" si="1"/>
        <v>0</v>
      </c>
    </row>
    <row r="17" spans="1:18" x14ac:dyDescent="0.25">
      <c r="A17" t="s">
        <v>16</v>
      </c>
      <c r="B17" t="s">
        <v>1387</v>
      </c>
      <c r="C17" t="s">
        <v>1400</v>
      </c>
      <c r="D17" s="2">
        <v>46230.538831018515</v>
      </c>
      <c r="E17" s="2">
        <f t="shared" si="0"/>
        <v>46230</v>
      </c>
      <c r="F17" t="s">
        <v>1739</v>
      </c>
      <c r="G17">
        <f>_xlfn.XLOOKUP(A17,FTD!A:A,FTD!C:C)</f>
        <v>5000</v>
      </c>
      <c r="H17" cm="1">
        <f t="array" ref="H17">_xlfn.LET(
  _xlpm.s, TRIM(F17),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7" t="str">
        <f>_xlfn.XLOOKUP(E17,Calendar!C:C,Calendar!B:B)</f>
        <v>Working Day</v>
      </c>
      <c r="M17" s="2">
        <v>46204</v>
      </c>
      <c r="N17" t="s">
        <v>1430</v>
      </c>
      <c r="O17" t="s">
        <v>1789</v>
      </c>
      <c r="P17">
        <v>1</v>
      </c>
      <c r="Q17" t="str">
        <f>_xlfn.XLOOKUP(N17,Attendance!F:F,Attendance!J:J)</f>
        <v>Telegram</v>
      </c>
      <c r="R17">
        <f t="shared" si="1"/>
        <v>0</v>
      </c>
    </row>
    <row r="18" spans="1:18" x14ac:dyDescent="0.25">
      <c r="A18" t="s">
        <v>17</v>
      </c>
      <c r="B18" t="s">
        <v>1387</v>
      </c>
      <c r="C18" t="s">
        <v>1401</v>
      </c>
      <c r="D18" s="2">
        <v>46210.573703703703</v>
      </c>
      <c r="E18" s="2">
        <f t="shared" si="0"/>
        <v>46210</v>
      </c>
      <c r="F18" t="s">
        <v>1739</v>
      </c>
      <c r="G18">
        <f>_xlfn.XLOOKUP(A18,FTD!A:A,FTD!C:C)</f>
        <v>2000</v>
      </c>
      <c r="H18" cm="1">
        <f t="array" ref="H18">_xlfn.LET(
  _xlpm.s, TRIM(F18),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8" t="str">
        <f>_xlfn.XLOOKUP(E18,Calendar!C:C,Calendar!B:B)</f>
        <v>Working Day</v>
      </c>
      <c r="M18" s="2">
        <v>46204</v>
      </c>
      <c r="N18" t="s">
        <v>1425</v>
      </c>
      <c r="O18" t="s">
        <v>1789</v>
      </c>
      <c r="P18">
        <v>1</v>
      </c>
      <c r="Q18" t="str">
        <f>_xlfn.XLOOKUP(N18,Attendance!F:F,Attendance!J:J)</f>
        <v>OJT 1</v>
      </c>
      <c r="R18">
        <f t="shared" si="1"/>
        <v>0</v>
      </c>
    </row>
    <row r="19" spans="1:18" x14ac:dyDescent="0.25">
      <c r="A19" t="s">
        <v>18</v>
      </c>
      <c r="B19" t="s">
        <v>1387</v>
      </c>
      <c r="C19" t="s">
        <v>1402</v>
      </c>
      <c r="D19" s="2">
        <v>46211.765393518515</v>
      </c>
      <c r="E19" s="2">
        <f t="shared" si="0"/>
        <v>46211</v>
      </c>
      <c r="F19" t="s">
        <v>1738</v>
      </c>
      <c r="G19">
        <f>_xlfn.XLOOKUP(A19,FTD!A:A,FTD!C:C)</f>
        <v>1000</v>
      </c>
      <c r="H19" cm="1">
        <f t="array" ref="H19">_xlfn.LET(
  _xlpm.s, TRIM(F19),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 t="str">
        <f>_xlfn.XLOOKUP(E19,Calendar!C:C,Calendar!B:B)</f>
        <v>Working Day</v>
      </c>
      <c r="M19" s="2">
        <v>46204</v>
      </c>
      <c r="N19" t="s">
        <v>1391</v>
      </c>
      <c r="O19" t="s">
        <v>1789</v>
      </c>
      <c r="P19">
        <v>1</v>
      </c>
      <c r="Q19" t="str">
        <f>_xlfn.XLOOKUP(N19,Attendance!F:F,Attendance!J:J)</f>
        <v>Dialer</v>
      </c>
      <c r="R19">
        <f t="shared" si="1"/>
        <v>0</v>
      </c>
    </row>
    <row r="20" spans="1:18" x14ac:dyDescent="0.25">
      <c r="A20" t="s">
        <v>19</v>
      </c>
      <c r="B20" t="s">
        <v>1387</v>
      </c>
      <c r="C20" t="s">
        <v>1403</v>
      </c>
      <c r="D20" s="2">
        <v>46230.566215277773</v>
      </c>
      <c r="E20" s="2">
        <f t="shared" si="0"/>
        <v>46230</v>
      </c>
      <c r="F20" t="s">
        <v>1743</v>
      </c>
      <c r="G20">
        <f>_xlfn.XLOOKUP(A20,FTD!A:A,FTD!C:C)</f>
        <v>5000</v>
      </c>
      <c r="H20" cm="1">
        <f t="array" ref="H20">_xlfn.LET(
  _xlpm.s, TRIM(F20),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 t="str">
        <f>_xlfn.XLOOKUP(E20,Calendar!C:C,Calendar!B:B)</f>
        <v>Working Day</v>
      </c>
      <c r="M20" s="2">
        <v>46204</v>
      </c>
      <c r="N20" t="s">
        <v>1392</v>
      </c>
      <c r="O20" t="s">
        <v>1789</v>
      </c>
      <c r="P20">
        <v>3</v>
      </c>
      <c r="Q20" t="str">
        <f>_xlfn.XLOOKUP(N20,Attendance!F:F,Attendance!J:J)</f>
        <v>Telegram</v>
      </c>
      <c r="R20">
        <f t="shared" si="1"/>
        <v>500</v>
      </c>
    </row>
    <row r="21" spans="1:18" x14ac:dyDescent="0.25">
      <c r="A21" t="s">
        <v>20</v>
      </c>
      <c r="B21" t="s">
        <v>1387</v>
      </c>
      <c r="C21" t="s">
        <v>1403</v>
      </c>
      <c r="D21" s="2">
        <v>46230.708703703705</v>
      </c>
      <c r="E21" s="2">
        <f t="shared" si="0"/>
        <v>46230</v>
      </c>
      <c r="F21" t="s">
        <v>1743</v>
      </c>
      <c r="G21">
        <f>_xlfn.XLOOKUP(A21,FTD!A:A,FTD!C:C)</f>
        <v>1010</v>
      </c>
      <c r="H21" cm="1">
        <f t="array" ref="H21">_xlfn.LET(
  _xlpm.s, TRIM(F21),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 t="str">
        <f>_xlfn.XLOOKUP(E21,Calendar!C:C,Calendar!B:B)</f>
        <v>Working Day</v>
      </c>
      <c r="M21" s="2">
        <v>46204</v>
      </c>
      <c r="N21" t="s">
        <v>1421</v>
      </c>
      <c r="O21" t="s">
        <v>1789</v>
      </c>
      <c r="P21">
        <v>1</v>
      </c>
      <c r="Q21" t="str">
        <f>_xlfn.XLOOKUP(N21,Attendance!F:F,Attendance!J:J)</f>
        <v>OJT 1</v>
      </c>
      <c r="R21">
        <f t="shared" si="1"/>
        <v>0</v>
      </c>
    </row>
    <row r="22" spans="1:18" x14ac:dyDescent="0.25">
      <c r="A22" t="s">
        <v>21</v>
      </c>
      <c r="B22" t="s">
        <v>1387</v>
      </c>
      <c r="C22" t="s">
        <v>1397</v>
      </c>
      <c r="D22" s="2">
        <v>46216.691168981481</v>
      </c>
      <c r="E22" s="2">
        <f t="shared" si="0"/>
        <v>46216</v>
      </c>
      <c r="F22" t="s">
        <v>1739</v>
      </c>
      <c r="G22">
        <f>_xlfn.XLOOKUP(A22,FTD!A:A,FTD!C:C)</f>
        <v>5000</v>
      </c>
      <c r="H22" cm="1">
        <f t="array" ref="H22">_xlfn.LET(
  _xlpm.s, TRIM(F22),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2" t="str">
        <f>_xlfn.XLOOKUP(E22,Calendar!C:C,Calendar!B:B)</f>
        <v>Working Day</v>
      </c>
      <c r="M22" s="2">
        <v>46204</v>
      </c>
      <c r="N22" t="s">
        <v>1394</v>
      </c>
      <c r="O22" t="s">
        <v>1789</v>
      </c>
      <c r="P22">
        <v>2</v>
      </c>
      <c r="Q22" t="str">
        <f>_xlfn.XLOOKUP(N22,Attendance!F:F,Attendance!J:J)</f>
        <v>OJT 1</v>
      </c>
      <c r="R22">
        <f t="shared" si="1"/>
        <v>0</v>
      </c>
    </row>
    <row r="23" spans="1:18" x14ac:dyDescent="0.25">
      <c r="A23" t="s">
        <v>22</v>
      </c>
      <c r="B23" t="s">
        <v>1387</v>
      </c>
      <c r="C23" t="s">
        <v>1404</v>
      </c>
      <c r="D23" s="2">
        <v>46214.452916666662</v>
      </c>
      <c r="E23" s="2">
        <f t="shared" si="0"/>
        <v>46214</v>
      </c>
      <c r="F23" t="s">
        <v>1738</v>
      </c>
      <c r="G23">
        <f>_xlfn.XLOOKUP(A23,FTD!A:A,FTD!C:C)</f>
        <v>1015</v>
      </c>
      <c r="H23" cm="1">
        <f t="array" ref="H23">_xlfn.LET(
  _xlpm.s, TRIM(F23),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 t="str">
        <f>_xlfn.XLOOKUP(E23,Calendar!C:C,Calendar!B:B)</f>
        <v>Saturday</v>
      </c>
      <c r="M23" s="2">
        <v>46204</v>
      </c>
      <c r="N23" t="s">
        <v>1419</v>
      </c>
      <c r="O23" t="s">
        <v>1789</v>
      </c>
      <c r="P23">
        <v>1</v>
      </c>
      <c r="Q23" t="str">
        <f>_xlfn.XLOOKUP(N23,Attendance!F:F,Attendance!J:J)</f>
        <v>OLD OJT</v>
      </c>
      <c r="R23">
        <f t="shared" si="1"/>
        <v>0</v>
      </c>
    </row>
    <row r="24" spans="1:18" x14ac:dyDescent="0.25">
      <c r="A24" t="s">
        <v>23</v>
      </c>
      <c r="B24" t="s">
        <v>1387</v>
      </c>
      <c r="C24" t="s">
        <v>1405</v>
      </c>
      <c r="D24" s="2">
        <v>46232.721307870372</v>
      </c>
      <c r="E24" s="2">
        <f t="shared" si="0"/>
        <v>46232</v>
      </c>
      <c r="F24" t="s">
        <v>1738</v>
      </c>
      <c r="G24">
        <f>_xlfn.XLOOKUP(A24,FTD!A:A,FTD!C:C)</f>
        <v>60000</v>
      </c>
      <c r="H24" cm="1">
        <f t="array" ref="H24">_xlfn.LET(
  _xlpm.s, TRIM(F24),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 t="str">
        <f>_xlfn.XLOOKUP(E24,Calendar!C:C,Calendar!B:B)</f>
        <v>Working Day</v>
      </c>
      <c r="M24" s="2">
        <v>46204</v>
      </c>
      <c r="N24" t="s">
        <v>1399</v>
      </c>
      <c r="O24" t="s">
        <v>1789</v>
      </c>
      <c r="P24">
        <v>4</v>
      </c>
      <c r="Q24" t="str">
        <f>_xlfn.XLOOKUP(N24,Attendance!F:F,Attendance!J:J)</f>
        <v>1</v>
      </c>
      <c r="R24">
        <f t="shared" si="1"/>
        <v>0</v>
      </c>
    </row>
    <row r="25" spans="1:18" x14ac:dyDescent="0.25">
      <c r="A25" t="s">
        <v>24</v>
      </c>
      <c r="B25" t="s">
        <v>1387</v>
      </c>
      <c r="C25" t="s">
        <v>1399</v>
      </c>
      <c r="D25" s="2">
        <v>46220.63962962963</v>
      </c>
      <c r="E25" s="2">
        <f t="shared" si="0"/>
        <v>46220</v>
      </c>
      <c r="F25" t="s">
        <v>1738</v>
      </c>
      <c r="G25">
        <f>_xlfn.XLOOKUP(A25,FTD!A:A,FTD!C:C)</f>
        <v>1000</v>
      </c>
      <c r="H25" cm="1">
        <f t="array" ref="H25">_xlfn.LET(
  _xlpm.s, TRIM(F25),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5" t="str">
        <f>_xlfn.XLOOKUP(E25,Calendar!C:C,Calendar!B:B)</f>
        <v>Working Day</v>
      </c>
      <c r="M25" s="2">
        <v>46204</v>
      </c>
      <c r="N25" t="s">
        <v>1408</v>
      </c>
      <c r="O25" t="s">
        <v>1789</v>
      </c>
      <c r="P25">
        <v>8</v>
      </c>
      <c r="Q25" t="str">
        <f>_xlfn.XLOOKUP(N25,Attendance!F:F,Attendance!J:J)</f>
        <v>1</v>
      </c>
      <c r="R25">
        <f t="shared" si="1"/>
        <v>300</v>
      </c>
    </row>
    <row r="26" spans="1:18" x14ac:dyDescent="0.25">
      <c r="A26" t="s">
        <v>25</v>
      </c>
      <c r="B26" t="s">
        <v>1387</v>
      </c>
      <c r="C26" t="s">
        <v>1402</v>
      </c>
      <c r="D26" s="2">
        <v>46230.529224537036</v>
      </c>
      <c r="E26" s="2">
        <f t="shared" si="0"/>
        <v>46230</v>
      </c>
      <c r="F26" t="s">
        <v>1738</v>
      </c>
      <c r="G26">
        <f>_xlfn.XLOOKUP(A26,FTD!A:A,FTD!C:C)</f>
        <v>1000</v>
      </c>
      <c r="H26" cm="1">
        <f t="array" ref="H26">_xlfn.LET(
  _xlpm.s, TRIM(F26),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 t="str">
        <f>_xlfn.XLOOKUP(E26,Calendar!C:C,Calendar!B:B)</f>
        <v>Working Day</v>
      </c>
      <c r="M26" s="2">
        <v>46205</v>
      </c>
      <c r="N26" t="s">
        <v>1405</v>
      </c>
      <c r="O26" t="s">
        <v>1789</v>
      </c>
      <c r="P26">
        <v>1</v>
      </c>
      <c r="Q26" t="str">
        <f>_xlfn.XLOOKUP(N26,Attendance!F:F,Attendance!J:J)</f>
        <v>Dialer</v>
      </c>
      <c r="R26">
        <f t="shared" si="1"/>
        <v>0</v>
      </c>
    </row>
    <row r="27" spans="1:18" x14ac:dyDescent="0.25">
      <c r="A27" t="s">
        <v>26</v>
      </c>
      <c r="B27" t="s">
        <v>1387</v>
      </c>
      <c r="C27" t="s">
        <v>1406</v>
      </c>
      <c r="D27" s="2">
        <v>46207.001284722217</v>
      </c>
      <c r="E27" s="2">
        <f t="shared" si="0"/>
        <v>46207</v>
      </c>
      <c r="F27" t="s">
        <v>1738</v>
      </c>
      <c r="G27">
        <f>_xlfn.XLOOKUP(A27,FTD!A:A,FTD!C:C)</f>
        <v>2000</v>
      </c>
      <c r="H27" cm="1">
        <f t="array" ref="H27">_xlfn.LET(
  _xlpm.s, TRIM(F27),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 t="str">
        <f>_xlfn.XLOOKUP(E27,Calendar!C:C,Calendar!B:B)</f>
        <v>Saturday</v>
      </c>
      <c r="M27" s="2">
        <v>46205</v>
      </c>
      <c r="N27" t="s">
        <v>1403</v>
      </c>
      <c r="O27" t="s">
        <v>1789</v>
      </c>
      <c r="P27">
        <v>2</v>
      </c>
      <c r="Q27" t="str">
        <f>_xlfn.XLOOKUP(N27,Attendance!F:F,Attendance!J:J)</f>
        <v>Meta</v>
      </c>
      <c r="R27">
        <f t="shared" si="1"/>
        <v>0</v>
      </c>
    </row>
    <row r="28" spans="1:18" x14ac:dyDescent="0.25">
      <c r="A28" t="s">
        <v>27</v>
      </c>
      <c r="B28" t="s">
        <v>1387</v>
      </c>
      <c r="C28" t="s">
        <v>1403</v>
      </c>
      <c r="D28" s="2">
        <v>46232.451724537037</v>
      </c>
      <c r="E28" s="2">
        <f t="shared" si="0"/>
        <v>46232</v>
      </c>
      <c r="F28" t="s">
        <v>1743</v>
      </c>
      <c r="G28">
        <f>_xlfn.XLOOKUP(A28,FTD!A:A,FTD!C:C)</f>
        <v>1000</v>
      </c>
      <c r="H28" cm="1">
        <f t="array" ref="H28">_xlfn.LET(
  _xlpm.s, TRIM(F28),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 t="str">
        <f>_xlfn.XLOOKUP(E28,Calendar!C:C,Calendar!B:B)</f>
        <v>Working Day</v>
      </c>
      <c r="M28" s="2">
        <v>46205</v>
      </c>
      <c r="N28" t="s">
        <v>1439</v>
      </c>
      <c r="O28" t="s">
        <v>1789</v>
      </c>
      <c r="P28">
        <v>1</v>
      </c>
      <c r="Q28" t="e">
        <f>_xlfn.XLOOKUP(N28,Attendance!F:F,Attendance!J:J)</f>
        <v>#N/A</v>
      </c>
      <c r="R28">
        <f t="shared" si="1"/>
        <v>0</v>
      </c>
    </row>
    <row r="29" spans="1:18" x14ac:dyDescent="0.25">
      <c r="A29" t="s">
        <v>28</v>
      </c>
      <c r="B29" t="s">
        <v>1387</v>
      </c>
      <c r="C29" t="s">
        <v>1407</v>
      </c>
      <c r="D29" s="2">
        <v>46226.673252314809</v>
      </c>
      <c r="E29" s="2">
        <f t="shared" si="0"/>
        <v>46226</v>
      </c>
      <c r="F29" t="s">
        <v>1739</v>
      </c>
      <c r="G29">
        <f>_xlfn.XLOOKUP(A29,FTD!A:A,FTD!C:C)</f>
        <v>1000</v>
      </c>
      <c r="H29" cm="1">
        <f t="array" ref="H29">_xlfn.LET(
  _xlpm.s, TRIM(F29),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9" t="str">
        <f>_xlfn.XLOOKUP(E29,Calendar!C:C,Calendar!B:B)</f>
        <v>Working Day</v>
      </c>
      <c r="M29" s="2">
        <v>46205</v>
      </c>
      <c r="N29" t="s">
        <v>1415</v>
      </c>
      <c r="O29" t="s">
        <v>1789</v>
      </c>
      <c r="P29">
        <v>2</v>
      </c>
      <c r="Q29" t="str">
        <f>_xlfn.XLOOKUP(N29,Attendance!F:F,Attendance!J:J)</f>
        <v>Meta</v>
      </c>
      <c r="R29">
        <f t="shared" si="1"/>
        <v>0</v>
      </c>
    </row>
    <row r="30" spans="1:18" x14ac:dyDescent="0.25">
      <c r="A30" t="s">
        <v>29</v>
      </c>
      <c r="B30" t="s">
        <v>1387</v>
      </c>
      <c r="C30" t="s">
        <v>1399</v>
      </c>
      <c r="D30" s="2">
        <v>46227.579143518517</v>
      </c>
      <c r="E30" s="2">
        <f t="shared" si="0"/>
        <v>46227</v>
      </c>
      <c r="F30" t="s">
        <v>1738</v>
      </c>
      <c r="G30">
        <f>_xlfn.XLOOKUP(A30,FTD!A:A,FTD!C:C)</f>
        <v>10000</v>
      </c>
      <c r="H30" cm="1">
        <f t="array" ref="H30">_xlfn.LET(
  _xlpm.s, TRIM(F30),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 t="str">
        <f>_xlfn.XLOOKUP(E30,Calendar!C:C,Calendar!B:B)</f>
        <v>Working Day</v>
      </c>
      <c r="M30" s="2">
        <v>46205</v>
      </c>
      <c r="N30" t="s">
        <v>1433</v>
      </c>
      <c r="O30" t="s">
        <v>1789</v>
      </c>
      <c r="P30">
        <v>2</v>
      </c>
      <c r="Q30" t="str">
        <f>_xlfn.XLOOKUP(N30,Attendance!F:F,Attendance!J:J)</f>
        <v>Meta</v>
      </c>
      <c r="R30">
        <f t="shared" si="1"/>
        <v>0</v>
      </c>
    </row>
    <row r="31" spans="1:18" x14ac:dyDescent="0.25">
      <c r="A31" t="s">
        <v>30</v>
      </c>
      <c r="B31" t="s">
        <v>1387</v>
      </c>
      <c r="C31" t="s">
        <v>1406</v>
      </c>
      <c r="D31" s="2">
        <v>46210.389062499999</v>
      </c>
      <c r="E31" s="2">
        <f t="shared" si="0"/>
        <v>46210</v>
      </c>
      <c r="F31" t="s">
        <v>1738</v>
      </c>
      <c r="G31">
        <f>_xlfn.XLOOKUP(A31,FTD!A:A,FTD!C:C)</f>
        <v>20000</v>
      </c>
      <c r="H31" cm="1">
        <f t="array" ref="H31">_xlfn.LET(
  _xlpm.s, TRIM(F31),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 t="str">
        <f>_xlfn.XLOOKUP(E31,Calendar!C:C,Calendar!B:B)</f>
        <v>Working Day</v>
      </c>
      <c r="M31" s="2">
        <v>46205</v>
      </c>
      <c r="N31" t="s">
        <v>1398</v>
      </c>
      <c r="O31" t="s">
        <v>1789</v>
      </c>
      <c r="P31">
        <v>1</v>
      </c>
      <c r="Q31" t="str">
        <f>_xlfn.XLOOKUP(N31,Attendance!F:F,Attendance!J:J)</f>
        <v>1</v>
      </c>
      <c r="R31">
        <f t="shared" si="1"/>
        <v>0</v>
      </c>
    </row>
    <row r="32" spans="1:18" x14ac:dyDescent="0.25">
      <c r="A32" t="s">
        <v>31</v>
      </c>
      <c r="B32" t="s">
        <v>1387</v>
      </c>
      <c r="C32" t="s">
        <v>1400</v>
      </c>
      <c r="D32" s="2">
        <v>46226.503912037035</v>
      </c>
      <c r="E32" s="2">
        <f t="shared" si="0"/>
        <v>46226</v>
      </c>
      <c r="F32" t="s">
        <v>1743</v>
      </c>
      <c r="G32">
        <f>_xlfn.XLOOKUP(A32,FTD!A:A,FTD!C:C)</f>
        <v>1000</v>
      </c>
      <c r="H32" cm="1">
        <f t="array" ref="H32">_xlfn.LET(
  _xlpm.s, TRIM(F32),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 t="str">
        <f>_xlfn.XLOOKUP(E32,Calendar!C:C,Calendar!B:B)</f>
        <v>Working Day</v>
      </c>
      <c r="M32" s="2">
        <v>46205</v>
      </c>
      <c r="N32" t="s">
        <v>1413</v>
      </c>
      <c r="O32" t="s">
        <v>1789</v>
      </c>
      <c r="P32">
        <v>1</v>
      </c>
      <c r="Q32" t="str">
        <f>_xlfn.XLOOKUP(N32,Attendance!F:F,Attendance!J:J)</f>
        <v>Dialer</v>
      </c>
      <c r="R32">
        <f t="shared" si="1"/>
        <v>0</v>
      </c>
    </row>
    <row r="33" spans="1:18" x14ac:dyDescent="0.25">
      <c r="A33" t="s">
        <v>32</v>
      </c>
      <c r="B33" t="s">
        <v>1387</v>
      </c>
      <c r="C33" t="s">
        <v>1399</v>
      </c>
      <c r="D33" s="2">
        <v>46218.942939814813</v>
      </c>
      <c r="E33" s="2">
        <f t="shared" si="0"/>
        <v>46218</v>
      </c>
      <c r="F33" t="s">
        <v>1738</v>
      </c>
      <c r="G33">
        <f>_xlfn.XLOOKUP(A33,FTD!A:A,FTD!C:C)</f>
        <v>1000</v>
      </c>
      <c r="H33" cm="1">
        <f t="array" ref="H33">_xlfn.LET(
  _xlpm.s, TRIM(F33),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3" t="str">
        <f>_xlfn.XLOOKUP(E33,Calendar!C:C,Calendar!B:B)</f>
        <v>Working Day</v>
      </c>
      <c r="M33" s="2">
        <v>46205</v>
      </c>
      <c r="N33" t="s">
        <v>1389</v>
      </c>
      <c r="O33" t="s">
        <v>1789</v>
      </c>
      <c r="P33">
        <v>3</v>
      </c>
      <c r="Q33" t="str">
        <f>_xlfn.XLOOKUP(N33,Attendance!F:F,Attendance!J:J)</f>
        <v>Meta</v>
      </c>
      <c r="R33">
        <f t="shared" si="1"/>
        <v>0</v>
      </c>
    </row>
    <row r="34" spans="1:18" x14ac:dyDescent="0.25">
      <c r="A34" t="s">
        <v>33</v>
      </c>
      <c r="B34" t="s">
        <v>1387</v>
      </c>
      <c r="C34" t="s">
        <v>1399</v>
      </c>
      <c r="D34" s="2">
        <v>46210.702268518515</v>
      </c>
      <c r="E34" s="2">
        <f t="shared" si="0"/>
        <v>46210</v>
      </c>
      <c r="F34" t="s">
        <v>1738</v>
      </c>
      <c r="G34">
        <f>_xlfn.XLOOKUP(A34,FTD!A:A,FTD!C:C)</f>
        <v>4000</v>
      </c>
      <c r="H34" cm="1">
        <f t="array" ref="H34">_xlfn.LET(
  _xlpm.s, TRIM(F34),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 t="str">
        <f>_xlfn.XLOOKUP(E34,Calendar!C:C,Calendar!B:B)</f>
        <v>Working Day</v>
      </c>
      <c r="M34" s="2">
        <v>46205</v>
      </c>
      <c r="N34" t="s">
        <v>1417</v>
      </c>
      <c r="O34" t="s">
        <v>1789</v>
      </c>
      <c r="P34">
        <v>3</v>
      </c>
      <c r="Q34" t="str">
        <f>_xlfn.XLOOKUP(N34,Attendance!F:F,Attendance!J:J)</f>
        <v>Meta</v>
      </c>
      <c r="R34">
        <f t="shared" si="1"/>
        <v>0</v>
      </c>
    </row>
    <row r="35" spans="1:18" x14ac:dyDescent="0.25">
      <c r="A35" t="s">
        <v>34</v>
      </c>
      <c r="B35" t="s">
        <v>1387</v>
      </c>
      <c r="C35" t="s">
        <v>1408</v>
      </c>
      <c r="D35" s="2">
        <v>46212.769687499997</v>
      </c>
      <c r="E35" s="2">
        <f t="shared" si="0"/>
        <v>46212</v>
      </c>
      <c r="F35" t="s">
        <v>1738</v>
      </c>
      <c r="G35">
        <f>_xlfn.XLOOKUP(A35,FTD!A:A,FTD!C:C)</f>
        <v>1000</v>
      </c>
      <c r="H35" cm="1">
        <f t="array" ref="H35">_xlfn.LET(
  _xlpm.s, TRIM(F35),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 t="str">
        <f>_xlfn.XLOOKUP(E35,Calendar!C:C,Calendar!B:B)</f>
        <v>Working Day</v>
      </c>
      <c r="M35" s="2">
        <v>46205</v>
      </c>
      <c r="N35" t="s">
        <v>1400</v>
      </c>
      <c r="O35" t="s">
        <v>1789</v>
      </c>
      <c r="P35">
        <v>2</v>
      </c>
      <c r="Q35" t="str">
        <f>_xlfn.XLOOKUP(N35,Attendance!F:F,Attendance!J:J)</f>
        <v>Meta</v>
      </c>
      <c r="R35">
        <f t="shared" si="1"/>
        <v>0</v>
      </c>
    </row>
    <row r="36" spans="1:18" x14ac:dyDescent="0.25">
      <c r="A36" t="s">
        <v>35</v>
      </c>
      <c r="B36" t="s">
        <v>1387</v>
      </c>
      <c r="C36" t="s">
        <v>1408</v>
      </c>
      <c r="D36" s="2">
        <v>46211.723611111112</v>
      </c>
      <c r="E36" s="2">
        <f t="shared" si="0"/>
        <v>46211</v>
      </c>
      <c r="F36" t="s">
        <v>1739</v>
      </c>
      <c r="G36">
        <f>_xlfn.XLOOKUP(A36,FTD!A:A,FTD!C:C)</f>
        <v>1000</v>
      </c>
      <c r="H36" cm="1">
        <f t="array" ref="H36">_xlfn.LET(
  _xlpm.s, TRIM(F36),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6" t="str">
        <f>_xlfn.XLOOKUP(E36,Calendar!C:C,Calendar!B:B)</f>
        <v>Working Day</v>
      </c>
      <c r="M36" s="2">
        <v>46205</v>
      </c>
      <c r="N36" t="s">
        <v>1397</v>
      </c>
      <c r="O36" t="s">
        <v>1789</v>
      </c>
      <c r="P36">
        <v>1</v>
      </c>
      <c r="Q36" t="str">
        <f>_xlfn.XLOOKUP(N36,Attendance!F:F,Attendance!J:J)</f>
        <v>Meta</v>
      </c>
      <c r="R36">
        <f t="shared" si="1"/>
        <v>0</v>
      </c>
    </row>
    <row r="37" spans="1:18" x14ac:dyDescent="0.25">
      <c r="A37" t="s">
        <v>36</v>
      </c>
      <c r="B37" t="s">
        <v>1387</v>
      </c>
      <c r="C37" t="s">
        <v>1397</v>
      </c>
      <c r="D37" s="2">
        <v>46223.967002314814</v>
      </c>
      <c r="E37" s="2">
        <f t="shared" si="0"/>
        <v>46223</v>
      </c>
      <c r="F37" t="s">
        <v>1743</v>
      </c>
      <c r="G37">
        <f>_xlfn.XLOOKUP(A37,FTD!A:A,FTD!C:C)</f>
        <v>1000</v>
      </c>
      <c r="H37" cm="1">
        <f t="array" ref="H37">_xlfn.LET(
  _xlpm.s, TRIM(F37),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7" t="str">
        <f>_xlfn.XLOOKUP(E37,Calendar!C:C,Calendar!B:B)</f>
        <v>Working Day</v>
      </c>
      <c r="M37" s="2">
        <v>46205</v>
      </c>
      <c r="N37" t="s">
        <v>1401</v>
      </c>
      <c r="O37" t="s">
        <v>1789</v>
      </c>
      <c r="P37">
        <v>2</v>
      </c>
      <c r="Q37" t="str">
        <f>_xlfn.XLOOKUP(N37,Attendance!F:F,Attendance!J:J)</f>
        <v>OJT 2</v>
      </c>
      <c r="R37">
        <f t="shared" si="1"/>
        <v>0</v>
      </c>
    </row>
    <row r="38" spans="1:18" x14ac:dyDescent="0.25">
      <c r="A38" t="s">
        <v>37</v>
      </c>
      <c r="B38" t="s">
        <v>1387</v>
      </c>
      <c r="C38" t="s">
        <v>1409</v>
      </c>
      <c r="D38" s="2">
        <v>46234.611284722218</v>
      </c>
      <c r="E38" s="2">
        <f t="shared" si="0"/>
        <v>46234</v>
      </c>
      <c r="F38" t="s">
        <v>1739</v>
      </c>
      <c r="G38">
        <f>_xlfn.XLOOKUP(A38,FTD!A:A,FTD!C:C)</f>
        <v>1000</v>
      </c>
      <c r="H38" cm="1">
        <f t="array" ref="H38">_xlfn.LET(
  _xlpm.s, TRIM(F38),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8" t="str">
        <f>_xlfn.XLOOKUP(E38,Calendar!C:C,Calendar!B:B)</f>
        <v>Working Day</v>
      </c>
      <c r="M38" s="2">
        <v>46205</v>
      </c>
      <c r="N38" t="s">
        <v>1395</v>
      </c>
      <c r="O38" t="s">
        <v>1789</v>
      </c>
      <c r="P38">
        <v>1</v>
      </c>
      <c r="Q38" t="str">
        <f>_xlfn.XLOOKUP(N38,Attendance!F:F,Attendance!J:J)</f>
        <v>OJT 1</v>
      </c>
      <c r="R38">
        <f t="shared" si="1"/>
        <v>0</v>
      </c>
    </row>
    <row r="39" spans="1:18" x14ac:dyDescent="0.25">
      <c r="A39" t="s">
        <v>38</v>
      </c>
      <c r="B39" t="s">
        <v>1387</v>
      </c>
      <c r="C39" t="s">
        <v>1402</v>
      </c>
      <c r="D39" s="2">
        <v>46234.415729166663</v>
      </c>
      <c r="E39" s="2">
        <f t="shared" si="0"/>
        <v>46234</v>
      </c>
      <c r="F39" t="s">
        <v>1738</v>
      </c>
      <c r="G39">
        <f>_xlfn.XLOOKUP(A39,FTD!A:A,FTD!C:C)</f>
        <v>1900</v>
      </c>
      <c r="H39" cm="1">
        <f t="array" ref="H39">_xlfn.LET(
  _xlpm.s, TRIM(F39),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 t="str">
        <f>_xlfn.XLOOKUP(E39,Calendar!C:C,Calendar!B:B)</f>
        <v>Working Day</v>
      </c>
      <c r="M39" s="2">
        <v>46205</v>
      </c>
      <c r="N39" t="s">
        <v>1396</v>
      </c>
      <c r="O39" t="s">
        <v>1789</v>
      </c>
      <c r="P39">
        <v>1</v>
      </c>
      <c r="Q39" t="str">
        <f>_xlfn.XLOOKUP(N39,Attendance!F:F,Attendance!J:J)</f>
        <v>Telegram</v>
      </c>
      <c r="R39">
        <f t="shared" si="1"/>
        <v>0</v>
      </c>
    </row>
    <row r="40" spans="1:18" x14ac:dyDescent="0.25">
      <c r="A40" t="s">
        <v>39</v>
      </c>
      <c r="B40" t="s">
        <v>1387</v>
      </c>
      <c r="C40" t="s">
        <v>1402</v>
      </c>
      <c r="D40" s="2">
        <v>46233.476446759254</v>
      </c>
      <c r="E40" s="2">
        <f t="shared" si="0"/>
        <v>46233</v>
      </c>
      <c r="F40" t="s">
        <v>1738</v>
      </c>
      <c r="G40">
        <f>_xlfn.XLOOKUP(A40,FTD!A:A,FTD!C:C)</f>
        <v>51000</v>
      </c>
      <c r="H40" cm="1">
        <f t="array" ref="H40">_xlfn.LET(
  _xlpm.s, TRIM(F40),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 t="str">
        <f>_xlfn.XLOOKUP(E40,Calendar!C:C,Calendar!B:B)</f>
        <v>Working Day</v>
      </c>
      <c r="M40" s="2">
        <v>46205</v>
      </c>
      <c r="N40" t="s">
        <v>1435</v>
      </c>
      <c r="O40" t="s">
        <v>1789</v>
      </c>
      <c r="P40">
        <v>1</v>
      </c>
      <c r="Q40" t="str">
        <f>_xlfn.XLOOKUP(N40,Attendance!F:F,Attendance!J:J)</f>
        <v>OLD OJT</v>
      </c>
      <c r="R40">
        <f t="shared" si="1"/>
        <v>0</v>
      </c>
    </row>
    <row r="41" spans="1:18" x14ac:dyDescent="0.25">
      <c r="A41" t="s">
        <v>40</v>
      </c>
      <c r="B41" t="s">
        <v>1387</v>
      </c>
      <c r="C41" t="s">
        <v>1410</v>
      </c>
      <c r="D41" s="2">
        <v>46219.384583333333</v>
      </c>
      <c r="E41" s="2">
        <f t="shared" si="0"/>
        <v>46219</v>
      </c>
      <c r="F41" t="s">
        <v>1738</v>
      </c>
      <c r="G41">
        <f>_xlfn.XLOOKUP(A41,FTD!A:A,FTD!C:C)</f>
        <v>6000</v>
      </c>
      <c r="H41" cm="1">
        <f t="array" ref="H41">_xlfn.LET(
  _xlpm.s, TRIM(F41),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 t="str">
        <f>_xlfn.XLOOKUP(E41,Calendar!C:C,Calendar!B:B)</f>
        <v>Working Day</v>
      </c>
      <c r="M41" s="2">
        <v>46205</v>
      </c>
      <c r="N41" t="s">
        <v>1412</v>
      </c>
      <c r="O41" t="s">
        <v>1789</v>
      </c>
      <c r="P41">
        <v>4</v>
      </c>
      <c r="Q41" t="str">
        <f>_xlfn.XLOOKUP(N41,Attendance!F:F,Attendance!J:J)</f>
        <v>1</v>
      </c>
      <c r="R41">
        <f t="shared" si="1"/>
        <v>0</v>
      </c>
    </row>
    <row r="42" spans="1:18" x14ac:dyDescent="0.25">
      <c r="A42" t="s">
        <v>41</v>
      </c>
      <c r="B42" t="s">
        <v>1387</v>
      </c>
      <c r="C42" t="s">
        <v>1400</v>
      </c>
      <c r="D42" s="2">
        <v>46223.691296296296</v>
      </c>
      <c r="E42" s="2">
        <f t="shared" si="0"/>
        <v>46223</v>
      </c>
      <c r="F42" t="s">
        <v>1743</v>
      </c>
      <c r="G42">
        <f>_xlfn.XLOOKUP(A42,FTD!A:A,FTD!C:C)</f>
        <v>1001</v>
      </c>
      <c r="H42" cm="1">
        <f t="array" ref="H42">_xlfn.LET(
  _xlpm.s, TRIM(F42),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 t="str">
        <f>_xlfn.XLOOKUP(E42,Calendar!C:C,Calendar!B:B)</f>
        <v>Working Day</v>
      </c>
      <c r="M42" s="2">
        <v>46205</v>
      </c>
      <c r="N42" t="s">
        <v>1406</v>
      </c>
      <c r="O42" t="s">
        <v>1789</v>
      </c>
      <c r="P42">
        <v>2</v>
      </c>
      <c r="Q42" t="str">
        <f>_xlfn.XLOOKUP(N42,Attendance!F:F,Attendance!J:J)</f>
        <v>1</v>
      </c>
      <c r="R42">
        <f t="shared" si="1"/>
        <v>0</v>
      </c>
    </row>
    <row r="43" spans="1:18" x14ac:dyDescent="0.25">
      <c r="A43" t="s">
        <v>42</v>
      </c>
      <c r="B43" t="s">
        <v>1387</v>
      </c>
      <c r="C43" t="s">
        <v>1411</v>
      </c>
      <c r="D43" s="2">
        <v>46223.632627314815</v>
      </c>
      <c r="E43" s="2">
        <f t="shared" si="0"/>
        <v>46223</v>
      </c>
      <c r="F43" t="s">
        <v>1743</v>
      </c>
      <c r="G43">
        <f>_xlfn.XLOOKUP(A43,FTD!A:A,FTD!C:C)</f>
        <v>1000</v>
      </c>
      <c r="H43" cm="1">
        <f t="array" ref="H43">_xlfn.LET(
  _xlpm.s, TRIM(F43),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 t="str">
        <f>_xlfn.XLOOKUP(E43,Calendar!C:C,Calendar!B:B)</f>
        <v>Working Day</v>
      </c>
      <c r="M43" s="2">
        <v>46205</v>
      </c>
      <c r="N43" t="s">
        <v>1402</v>
      </c>
      <c r="O43" t="s">
        <v>1789</v>
      </c>
      <c r="P43">
        <v>1</v>
      </c>
      <c r="Q43" t="str">
        <f>_xlfn.XLOOKUP(N43,Attendance!F:F,Attendance!J:J)</f>
        <v>1</v>
      </c>
      <c r="R43">
        <f t="shared" si="1"/>
        <v>0</v>
      </c>
    </row>
    <row r="44" spans="1:18" x14ac:dyDescent="0.25">
      <c r="A44" t="s">
        <v>43</v>
      </c>
      <c r="B44" t="s">
        <v>1387</v>
      </c>
      <c r="C44" t="s">
        <v>1399</v>
      </c>
      <c r="D44" s="2">
        <v>46230.413599537038</v>
      </c>
      <c r="E44" s="2">
        <f t="shared" si="0"/>
        <v>46230</v>
      </c>
      <c r="F44" t="s">
        <v>1738</v>
      </c>
      <c r="G44">
        <f>_xlfn.XLOOKUP(A44,FTD!A:A,FTD!C:C)</f>
        <v>15000</v>
      </c>
      <c r="H44" cm="1">
        <f t="array" ref="H44">_xlfn.LET(
  _xlpm.s, TRIM(F44),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 t="str">
        <f>_xlfn.XLOOKUP(E44,Calendar!C:C,Calendar!B:B)</f>
        <v>Working Day</v>
      </c>
      <c r="M44" s="2">
        <v>46205</v>
      </c>
      <c r="N44" t="s">
        <v>1391</v>
      </c>
      <c r="O44" t="s">
        <v>1789</v>
      </c>
      <c r="P44">
        <v>1</v>
      </c>
      <c r="Q44" t="str">
        <f>_xlfn.XLOOKUP(N44,Attendance!F:F,Attendance!J:J)</f>
        <v>Dialer</v>
      </c>
      <c r="R44">
        <f t="shared" si="1"/>
        <v>0</v>
      </c>
    </row>
    <row r="45" spans="1:18" x14ac:dyDescent="0.25">
      <c r="A45" t="s">
        <v>44</v>
      </c>
      <c r="B45" t="s">
        <v>1387</v>
      </c>
      <c r="C45" t="s">
        <v>1399</v>
      </c>
      <c r="D45" s="2">
        <v>46233.567175925928</v>
      </c>
      <c r="E45" s="2">
        <f t="shared" si="0"/>
        <v>46233</v>
      </c>
      <c r="F45" t="s">
        <v>1738</v>
      </c>
      <c r="G45">
        <f>_xlfn.XLOOKUP(A45,FTD!A:A,FTD!C:C)</f>
        <v>1000</v>
      </c>
      <c r="H45" cm="1">
        <f t="array" ref="H45">_xlfn.LET(
  _xlpm.s, TRIM(F45),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 t="str">
        <f>_xlfn.XLOOKUP(E45,Calendar!C:C,Calendar!B:B)</f>
        <v>Working Day</v>
      </c>
      <c r="M45" s="2">
        <v>46205</v>
      </c>
      <c r="N45" t="s">
        <v>1393</v>
      </c>
      <c r="O45" t="s">
        <v>1789</v>
      </c>
      <c r="P45">
        <v>1</v>
      </c>
      <c r="Q45" t="str">
        <f>_xlfn.XLOOKUP(N45,Attendance!F:F,Attendance!J:J)</f>
        <v>Dialer</v>
      </c>
      <c r="R45">
        <f t="shared" si="1"/>
        <v>0</v>
      </c>
    </row>
    <row r="46" spans="1:18" x14ac:dyDescent="0.25">
      <c r="A46" t="s">
        <v>45</v>
      </c>
      <c r="B46" t="s">
        <v>1387</v>
      </c>
      <c r="C46" t="s">
        <v>1402</v>
      </c>
      <c r="D46" s="2">
        <v>46213.65353009259</v>
      </c>
      <c r="E46" s="2">
        <f t="shared" si="0"/>
        <v>46213</v>
      </c>
      <c r="F46" t="s">
        <v>1738</v>
      </c>
      <c r="G46">
        <f>_xlfn.XLOOKUP(A46,FTD!A:A,FTD!C:C)</f>
        <v>8000</v>
      </c>
      <c r="H46" cm="1">
        <f t="array" ref="H46">_xlfn.LET(
  _xlpm.s, TRIM(F46),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6" t="str">
        <f>_xlfn.XLOOKUP(E46,Calendar!C:C,Calendar!B:B)</f>
        <v>Working Day</v>
      </c>
      <c r="M46" s="2">
        <v>46205</v>
      </c>
      <c r="N46" t="s">
        <v>1390</v>
      </c>
      <c r="O46" t="s">
        <v>1789</v>
      </c>
      <c r="P46">
        <v>2</v>
      </c>
      <c r="Q46" t="str">
        <f>_xlfn.XLOOKUP(N46,Attendance!F:F,Attendance!J:J)</f>
        <v>Meta</v>
      </c>
      <c r="R46">
        <f t="shared" si="1"/>
        <v>0</v>
      </c>
    </row>
    <row r="47" spans="1:18" x14ac:dyDescent="0.25">
      <c r="A47" t="s">
        <v>46</v>
      </c>
      <c r="B47" t="s">
        <v>1387</v>
      </c>
      <c r="C47" t="s">
        <v>1402</v>
      </c>
      <c r="D47" s="2">
        <v>46211.43482638889</v>
      </c>
      <c r="E47" s="2">
        <f t="shared" si="0"/>
        <v>46211</v>
      </c>
      <c r="F47" t="s">
        <v>1738</v>
      </c>
      <c r="G47">
        <f>_xlfn.XLOOKUP(A47,FTD!A:A,FTD!C:C)</f>
        <v>3500</v>
      </c>
      <c r="H47" cm="1">
        <f t="array" ref="H47">_xlfn.LET(
  _xlpm.s, TRIM(F47),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7" t="str">
        <f>_xlfn.XLOOKUP(E47,Calendar!C:C,Calendar!B:B)</f>
        <v>Working Day</v>
      </c>
      <c r="M47" s="2">
        <v>46205</v>
      </c>
      <c r="N47" t="s">
        <v>1392</v>
      </c>
      <c r="O47" t="s">
        <v>1789</v>
      </c>
      <c r="P47">
        <v>3</v>
      </c>
      <c r="Q47" t="str">
        <f>_xlfn.XLOOKUP(N47,Attendance!F:F,Attendance!J:J)</f>
        <v>Telegram</v>
      </c>
      <c r="R47">
        <f t="shared" si="1"/>
        <v>500</v>
      </c>
    </row>
    <row r="48" spans="1:18" x14ac:dyDescent="0.25">
      <c r="A48" t="s">
        <v>47</v>
      </c>
      <c r="B48" t="s">
        <v>1387</v>
      </c>
      <c r="C48" t="s">
        <v>1412</v>
      </c>
      <c r="D48" s="2">
        <v>46208.68917824074</v>
      </c>
      <c r="E48" s="2">
        <f t="shared" si="0"/>
        <v>46208</v>
      </c>
      <c r="F48" t="s">
        <v>1738</v>
      </c>
      <c r="G48">
        <f>_xlfn.XLOOKUP(A48,FTD!A:A,FTD!C:C)</f>
        <v>3000</v>
      </c>
      <c r="H48" cm="1">
        <f t="array" ref="H48">_xlfn.LET(
  _xlpm.s, TRIM(F48),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 t="str">
        <f>_xlfn.XLOOKUP(E48,Calendar!C:C,Calendar!B:B)</f>
        <v>Sunday</v>
      </c>
      <c r="M48" s="2">
        <v>46205</v>
      </c>
      <c r="N48" t="s">
        <v>1410</v>
      </c>
      <c r="O48" t="s">
        <v>1789</v>
      </c>
      <c r="P48">
        <v>1</v>
      </c>
      <c r="Q48" t="str">
        <f>_xlfn.XLOOKUP(N48,Attendance!F:F,Attendance!J:J)</f>
        <v>New OJT</v>
      </c>
      <c r="R48">
        <f t="shared" si="1"/>
        <v>0</v>
      </c>
    </row>
    <row r="49" spans="1:18" x14ac:dyDescent="0.25">
      <c r="A49" t="s">
        <v>48</v>
      </c>
      <c r="B49" t="s">
        <v>1387</v>
      </c>
      <c r="C49" t="s">
        <v>1413</v>
      </c>
      <c r="D49" s="2">
        <v>46210.607002314813</v>
      </c>
      <c r="E49" s="2">
        <f t="shared" si="0"/>
        <v>46210</v>
      </c>
      <c r="F49" t="s">
        <v>1738</v>
      </c>
      <c r="G49">
        <f>_xlfn.XLOOKUP(A49,FTD!A:A,FTD!C:C)</f>
        <v>1000</v>
      </c>
      <c r="H49" cm="1">
        <f t="array" ref="H49">_xlfn.LET(
  _xlpm.s, TRIM(F49),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 t="str">
        <f>_xlfn.XLOOKUP(E49,Calendar!C:C,Calendar!B:B)</f>
        <v>Working Day</v>
      </c>
      <c r="M49" s="2">
        <v>46205</v>
      </c>
      <c r="N49" t="s">
        <v>1409</v>
      </c>
      <c r="O49" t="s">
        <v>1789</v>
      </c>
      <c r="P49">
        <v>1</v>
      </c>
      <c r="Q49" t="str">
        <f>_xlfn.XLOOKUP(N49,Attendance!F:F,Attendance!J:J)</f>
        <v>Dialer</v>
      </c>
      <c r="R49">
        <f t="shared" si="1"/>
        <v>0</v>
      </c>
    </row>
    <row r="50" spans="1:18" x14ac:dyDescent="0.25">
      <c r="A50" t="s">
        <v>49</v>
      </c>
      <c r="B50" t="s">
        <v>1387</v>
      </c>
      <c r="C50" t="s">
        <v>1413</v>
      </c>
      <c r="D50" s="2">
        <v>46206.439062500001</v>
      </c>
      <c r="E50" s="2">
        <f t="shared" si="0"/>
        <v>46206</v>
      </c>
      <c r="F50" t="s">
        <v>1738</v>
      </c>
      <c r="G50">
        <f>_xlfn.XLOOKUP(A50,FTD!A:A,FTD!C:C)</f>
        <v>1000</v>
      </c>
      <c r="H50" cm="1">
        <f t="array" ref="H50">_xlfn.LET(
  _xlpm.s, TRIM(F50),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0" t="str">
        <f>_xlfn.XLOOKUP(E50,Calendar!C:C,Calendar!B:B)</f>
        <v>Working Day</v>
      </c>
      <c r="M50" s="2">
        <v>46205</v>
      </c>
      <c r="N50" t="s">
        <v>1399</v>
      </c>
      <c r="O50" t="s">
        <v>1789</v>
      </c>
      <c r="P50">
        <v>4</v>
      </c>
      <c r="Q50" t="str">
        <f>_xlfn.XLOOKUP(N50,Attendance!F:F,Attendance!J:J)</f>
        <v>1</v>
      </c>
      <c r="R50">
        <f t="shared" si="1"/>
        <v>0</v>
      </c>
    </row>
    <row r="51" spans="1:18" x14ac:dyDescent="0.25">
      <c r="A51" t="s">
        <v>50</v>
      </c>
      <c r="B51" t="s">
        <v>1387</v>
      </c>
      <c r="C51" t="s">
        <v>1392</v>
      </c>
      <c r="D51" s="2">
        <v>46230.718043981477</v>
      </c>
      <c r="E51" s="2">
        <f t="shared" si="0"/>
        <v>46230</v>
      </c>
      <c r="F51" t="s">
        <v>1745</v>
      </c>
      <c r="G51">
        <f>_xlfn.XLOOKUP(A51,FTD!A:A,FTD!C:C)</f>
        <v>1000</v>
      </c>
      <c r="H51" cm="1">
        <f t="array" ref="H51">_xlfn.LET(
  _xlpm.s, TRIM(F51),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1" t="str">
        <f>_xlfn.XLOOKUP(E51,Calendar!C:C,Calendar!B:B)</f>
        <v>Working Day</v>
      </c>
      <c r="M51" s="2">
        <v>46205</v>
      </c>
      <c r="N51" t="s">
        <v>1408</v>
      </c>
      <c r="O51" t="s">
        <v>1789</v>
      </c>
      <c r="P51">
        <v>3</v>
      </c>
      <c r="Q51" t="str">
        <f>_xlfn.XLOOKUP(N51,Attendance!F:F,Attendance!J:J)</f>
        <v>1</v>
      </c>
      <c r="R51">
        <f t="shared" si="1"/>
        <v>0</v>
      </c>
    </row>
    <row r="52" spans="1:18" x14ac:dyDescent="0.25">
      <c r="A52" t="s">
        <v>51</v>
      </c>
      <c r="B52" t="s">
        <v>1387</v>
      </c>
      <c r="C52" t="s">
        <v>1400</v>
      </c>
      <c r="D52" s="2">
        <v>46219.482708333329</v>
      </c>
      <c r="E52" s="2">
        <f t="shared" si="0"/>
        <v>46219</v>
      </c>
      <c r="F52" t="s">
        <v>1739</v>
      </c>
      <c r="G52">
        <f>_xlfn.XLOOKUP(A52,FTD!A:A,FTD!C:C)</f>
        <v>1000</v>
      </c>
      <c r="H52" cm="1">
        <f t="array" ref="H52">_xlfn.LET(
  _xlpm.s, TRIM(F52),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2" t="str">
        <f>_xlfn.XLOOKUP(E52,Calendar!C:C,Calendar!B:B)</f>
        <v>Working Day</v>
      </c>
      <c r="M52" s="2">
        <v>46206</v>
      </c>
      <c r="N52" t="s">
        <v>1403</v>
      </c>
      <c r="O52" t="s">
        <v>1789</v>
      </c>
      <c r="P52">
        <v>2</v>
      </c>
      <c r="Q52" t="str">
        <f>_xlfn.XLOOKUP(N52,Attendance!F:F,Attendance!J:J)</f>
        <v>Meta</v>
      </c>
      <c r="R52">
        <f t="shared" si="1"/>
        <v>0</v>
      </c>
    </row>
    <row r="53" spans="1:18" x14ac:dyDescent="0.25">
      <c r="A53" t="s">
        <v>52</v>
      </c>
      <c r="B53" t="s">
        <v>1387</v>
      </c>
      <c r="C53" t="s">
        <v>1408</v>
      </c>
      <c r="D53" s="2">
        <v>46234.666817129626</v>
      </c>
      <c r="E53" s="2">
        <f t="shared" si="0"/>
        <v>46234</v>
      </c>
      <c r="F53" t="s">
        <v>1738</v>
      </c>
      <c r="G53">
        <f>_xlfn.XLOOKUP(A53,FTD!A:A,FTD!C:C)</f>
        <v>4900</v>
      </c>
      <c r="H53" cm="1">
        <f t="array" ref="H53">_xlfn.LET(
  _xlpm.s, TRIM(F53),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 t="str">
        <f>_xlfn.XLOOKUP(E53,Calendar!C:C,Calendar!B:B)</f>
        <v>Working Day</v>
      </c>
      <c r="M53" s="2">
        <v>46206</v>
      </c>
      <c r="N53" t="s">
        <v>1436</v>
      </c>
      <c r="O53" t="s">
        <v>1789</v>
      </c>
      <c r="P53">
        <v>1</v>
      </c>
      <c r="Q53" t="str">
        <f>_xlfn.XLOOKUP(N53,Attendance!F:F,Attendance!J:J)</f>
        <v>Telegram</v>
      </c>
      <c r="R53">
        <f t="shared" si="1"/>
        <v>0</v>
      </c>
    </row>
    <row r="54" spans="1:18" x14ac:dyDescent="0.25">
      <c r="A54" t="s">
        <v>53</v>
      </c>
      <c r="B54" t="s">
        <v>1387</v>
      </c>
      <c r="C54" t="s">
        <v>1408</v>
      </c>
      <c r="D54" s="2">
        <v>46216.893518518518</v>
      </c>
      <c r="E54" s="2">
        <f t="shared" si="0"/>
        <v>46216</v>
      </c>
      <c r="F54" t="s">
        <v>1738</v>
      </c>
      <c r="G54">
        <f>_xlfn.XLOOKUP(A54,FTD!A:A,FTD!C:C)</f>
        <v>1000</v>
      </c>
      <c r="H54" cm="1">
        <f t="array" ref="H54">_xlfn.LET(
  _xlpm.s, TRIM(F54),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 t="str">
        <f>_xlfn.XLOOKUP(E54,Calendar!C:C,Calendar!B:B)</f>
        <v>Working Day</v>
      </c>
      <c r="M54" s="2">
        <v>46206</v>
      </c>
      <c r="N54" t="s">
        <v>1415</v>
      </c>
      <c r="O54" t="s">
        <v>1789</v>
      </c>
      <c r="P54">
        <v>2</v>
      </c>
      <c r="Q54" t="str">
        <f>_xlfn.XLOOKUP(N54,Attendance!F:F,Attendance!J:J)</f>
        <v>Meta</v>
      </c>
      <c r="R54">
        <f t="shared" si="1"/>
        <v>0</v>
      </c>
    </row>
    <row r="55" spans="1:18" x14ac:dyDescent="0.25">
      <c r="A55" t="s">
        <v>54</v>
      </c>
      <c r="B55" t="s">
        <v>1387</v>
      </c>
      <c r="C55" t="s">
        <v>1392</v>
      </c>
      <c r="D55" s="2">
        <v>46233.931817129625</v>
      </c>
      <c r="E55" s="2">
        <f t="shared" si="0"/>
        <v>46233</v>
      </c>
      <c r="F55" t="s">
        <v>1739</v>
      </c>
      <c r="G55">
        <f>_xlfn.XLOOKUP(A55,FTD!A:A,FTD!C:C)</f>
        <v>1000</v>
      </c>
      <c r="H55" cm="1">
        <f t="array" ref="H55">_xlfn.LET(
  _xlpm.s, TRIM(F55),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5" t="str">
        <f>_xlfn.XLOOKUP(E55,Calendar!C:C,Calendar!B:B)</f>
        <v>Working Day</v>
      </c>
      <c r="M55" s="2">
        <v>46206</v>
      </c>
      <c r="N55" t="s">
        <v>1433</v>
      </c>
      <c r="O55" t="s">
        <v>1789</v>
      </c>
      <c r="P55">
        <v>2</v>
      </c>
      <c r="Q55" t="str">
        <f>_xlfn.XLOOKUP(N55,Attendance!F:F,Attendance!J:J)</f>
        <v>Meta</v>
      </c>
      <c r="R55">
        <f t="shared" si="1"/>
        <v>0</v>
      </c>
    </row>
    <row r="56" spans="1:18" x14ac:dyDescent="0.25">
      <c r="A56" t="s">
        <v>55</v>
      </c>
      <c r="B56" t="s">
        <v>1387</v>
      </c>
      <c r="C56" t="s">
        <v>1407</v>
      </c>
      <c r="D56" s="2">
        <v>46233.651608796295</v>
      </c>
      <c r="E56" s="2">
        <f t="shared" si="0"/>
        <v>46233</v>
      </c>
      <c r="F56" t="s">
        <v>1743</v>
      </c>
      <c r="G56">
        <f>_xlfn.XLOOKUP(A56,FTD!A:A,FTD!C:C)</f>
        <v>1050</v>
      </c>
      <c r="H56" cm="1">
        <f t="array" ref="H56">_xlfn.LET(
  _xlpm.s, TRIM(F56),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6" t="str">
        <f>_xlfn.XLOOKUP(E56,Calendar!C:C,Calendar!B:B)</f>
        <v>Working Day</v>
      </c>
      <c r="M56" s="2">
        <v>46206</v>
      </c>
      <c r="N56" t="s">
        <v>1398</v>
      </c>
      <c r="O56" t="s">
        <v>1789</v>
      </c>
      <c r="P56">
        <v>3</v>
      </c>
      <c r="Q56" t="str">
        <f>_xlfn.XLOOKUP(N56,Attendance!F:F,Attendance!J:J)</f>
        <v>1</v>
      </c>
      <c r="R56">
        <f t="shared" si="1"/>
        <v>0</v>
      </c>
    </row>
    <row r="57" spans="1:18" x14ac:dyDescent="0.25">
      <c r="A57" t="s">
        <v>56</v>
      </c>
      <c r="B57" t="s">
        <v>1387</v>
      </c>
      <c r="C57" t="s">
        <v>1405</v>
      </c>
      <c r="D57" s="2">
        <v>46207.44427083333</v>
      </c>
      <c r="E57" s="2">
        <f t="shared" si="0"/>
        <v>46207</v>
      </c>
      <c r="F57" t="s">
        <v>1746</v>
      </c>
      <c r="G57">
        <f>_xlfn.XLOOKUP(A57,FTD!A:A,FTD!C:C)</f>
        <v>1000</v>
      </c>
      <c r="H57" cm="1">
        <f t="array" ref="H57">_xlfn.LET(
  _xlpm.s, TRIM(F57),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7" t="str">
        <f>_xlfn.XLOOKUP(E57,Calendar!C:C,Calendar!B:B)</f>
        <v>Saturday</v>
      </c>
      <c r="M57" s="2">
        <v>46206</v>
      </c>
      <c r="N57" t="s">
        <v>1413</v>
      </c>
      <c r="O57" t="s">
        <v>1789</v>
      </c>
      <c r="P57">
        <v>3</v>
      </c>
      <c r="Q57" t="str">
        <f>_xlfn.XLOOKUP(N57,Attendance!F:F,Attendance!J:J)</f>
        <v>Dialer</v>
      </c>
      <c r="R57">
        <f t="shared" si="1"/>
        <v>500</v>
      </c>
    </row>
    <row r="58" spans="1:18" x14ac:dyDescent="0.25">
      <c r="A58" t="s">
        <v>57</v>
      </c>
      <c r="B58" t="s">
        <v>1387</v>
      </c>
      <c r="C58" t="s">
        <v>1392</v>
      </c>
      <c r="D58" s="2">
        <v>46212.588645833333</v>
      </c>
      <c r="E58" s="2">
        <f t="shared" si="0"/>
        <v>46212</v>
      </c>
      <c r="F58" t="s">
        <v>1738</v>
      </c>
      <c r="G58">
        <f>_xlfn.XLOOKUP(A58,FTD!A:A,FTD!C:C)</f>
        <v>5000</v>
      </c>
      <c r="H58" cm="1">
        <f t="array" ref="H58">_xlfn.LET(
  _xlpm.s, TRIM(F58),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8" t="str">
        <f>_xlfn.XLOOKUP(E58,Calendar!C:C,Calendar!B:B)</f>
        <v>Working Day</v>
      </c>
      <c r="M58" s="2">
        <v>46206</v>
      </c>
      <c r="N58" t="s">
        <v>1420</v>
      </c>
      <c r="O58" t="s">
        <v>1789</v>
      </c>
      <c r="P58">
        <v>1</v>
      </c>
      <c r="Q58" t="e">
        <f>_xlfn.XLOOKUP(N58,Attendance!F:F,Attendance!J:J)</f>
        <v>#N/A</v>
      </c>
      <c r="R58">
        <f t="shared" si="1"/>
        <v>0</v>
      </c>
    </row>
    <row r="59" spans="1:18" x14ac:dyDescent="0.25">
      <c r="A59" t="s">
        <v>58</v>
      </c>
      <c r="B59" t="s">
        <v>1387</v>
      </c>
      <c r="C59" t="s">
        <v>1402</v>
      </c>
      <c r="D59" s="2">
        <v>46233.576307870368</v>
      </c>
      <c r="E59" s="2">
        <f t="shared" si="0"/>
        <v>46233</v>
      </c>
      <c r="F59" t="s">
        <v>1738</v>
      </c>
      <c r="G59">
        <f>_xlfn.XLOOKUP(A59,FTD!A:A,FTD!C:C)</f>
        <v>2000</v>
      </c>
      <c r="H59" cm="1">
        <f t="array" ref="H59">_xlfn.LET(
  _xlpm.s, TRIM(F59),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 t="str">
        <f>_xlfn.XLOOKUP(E59,Calendar!C:C,Calendar!B:B)</f>
        <v>Working Day</v>
      </c>
      <c r="M59" s="2">
        <v>46206</v>
      </c>
      <c r="N59" t="s">
        <v>1389</v>
      </c>
      <c r="O59" t="s">
        <v>1789</v>
      </c>
      <c r="P59">
        <v>1</v>
      </c>
      <c r="Q59" t="str">
        <f>_xlfn.XLOOKUP(N59,Attendance!F:F,Attendance!J:J)</f>
        <v>Meta</v>
      </c>
      <c r="R59">
        <f t="shared" si="1"/>
        <v>0</v>
      </c>
    </row>
    <row r="60" spans="1:18" x14ac:dyDescent="0.25">
      <c r="A60" t="s">
        <v>59</v>
      </c>
      <c r="B60" t="s">
        <v>1384</v>
      </c>
      <c r="C60" t="s">
        <v>1407</v>
      </c>
      <c r="D60" s="2">
        <v>46206.210625</v>
      </c>
      <c r="E60" s="2">
        <f t="shared" si="0"/>
        <v>46206</v>
      </c>
      <c r="F60" t="s">
        <v>1741</v>
      </c>
      <c r="G60">
        <f>_xlfn.XLOOKUP(A60,FTD!A:A,FTD!C:C)</f>
        <v>1500</v>
      </c>
      <c r="H60" cm="1">
        <f t="array" ref="H60">_xlfn.LET(
  _xlpm.s, TRIM(F60),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0" t="str">
        <f>_xlfn.XLOOKUP(E60,Calendar!C:C,Calendar!B:B)</f>
        <v>Working Day</v>
      </c>
      <c r="M60" s="2">
        <v>46206</v>
      </c>
      <c r="N60" t="s">
        <v>1417</v>
      </c>
      <c r="O60" t="s">
        <v>1789</v>
      </c>
      <c r="P60">
        <v>3</v>
      </c>
      <c r="Q60" t="str">
        <f>_xlfn.XLOOKUP(N60,Attendance!F:F,Attendance!J:J)</f>
        <v>Meta</v>
      </c>
      <c r="R60">
        <f t="shared" si="1"/>
        <v>0</v>
      </c>
    </row>
    <row r="61" spans="1:18" x14ac:dyDescent="0.25">
      <c r="A61" t="s">
        <v>60</v>
      </c>
      <c r="B61" t="s">
        <v>1384</v>
      </c>
      <c r="C61" t="s">
        <v>1414</v>
      </c>
      <c r="D61" s="2">
        <v>46225.582743055551</v>
      </c>
      <c r="E61" s="2">
        <f t="shared" si="0"/>
        <v>46225</v>
      </c>
      <c r="F61" t="s">
        <v>1747</v>
      </c>
      <c r="G61">
        <f>_xlfn.XLOOKUP(A61,FTD!A:A,FTD!C:C)</f>
        <v>605</v>
      </c>
      <c r="H61" cm="1">
        <f t="array" ref="H61">_xlfn.LET(
  _xlpm.s, TRIM(F61),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1" t="str">
        <f>_xlfn.XLOOKUP(E61,Calendar!C:C,Calendar!B:B)</f>
        <v>Working Day</v>
      </c>
      <c r="M61" s="2">
        <v>46206</v>
      </c>
      <c r="N61" t="s">
        <v>1400</v>
      </c>
      <c r="O61" t="s">
        <v>1789</v>
      </c>
      <c r="P61">
        <v>4</v>
      </c>
      <c r="Q61" t="str">
        <f>_xlfn.XLOOKUP(N61,Attendance!F:F,Attendance!J:J)</f>
        <v>Meta</v>
      </c>
      <c r="R61">
        <f t="shared" si="1"/>
        <v>400</v>
      </c>
    </row>
    <row r="62" spans="1:18" x14ac:dyDescent="0.25">
      <c r="A62" t="s">
        <v>61</v>
      </c>
      <c r="B62" t="s">
        <v>1384</v>
      </c>
      <c r="C62" t="s">
        <v>1399</v>
      </c>
      <c r="D62" s="2">
        <v>46233.81386574074</v>
      </c>
      <c r="E62" s="2">
        <f t="shared" si="0"/>
        <v>46233</v>
      </c>
      <c r="F62" t="s">
        <v>1738</v>
      </c>
      <c r="G62">
        <f>_xlfn.XLOOKUP(A62,FTD!A:A,FTD!C:C)</f>
        <v>11000</v>
      </c>
      <c r="H62" cm="1">
        <f t="array" ref="H62">_xlfn.LET(
  _xlpm.s, TRIM(F62),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 t="str">
        <f>_xlfn.XLOOKUP(E62,Calendar!C:C,Calendar!B:B)</f>
        <v>Working Day</v>
      </c>
      <c r="M62" s="2">
        <v>46206</v>
      </c>
      <c r="N62" t="s">
        <v>1397</v>
      </c>
      <c r="O62" t="s">
        <v>1789</v>
      </c>
      <c r="P62">
        <v>1</v>
      </c>
      <c r="Q62" t="str">
        <f>_xlfn.XLOOKUP(N62,Attendance!F:F,Attendance!J:J)</f>
        <v>Meta</v>
      </c>
      <c r="R62">
        <f t="shared" si="1"/>
        <v>0</v>
      </c>
    </row>
    <row r="63" spans="1:18" x14ac:dyDescent="0.25">
      <c r="A63" t="s">
        <v>62</v>
      </c>
      <c r="B63" t="s">
        <v>1385</v>
      </c>
      <c r="C63" t="s">
        <v>1398</v>
      </c>
      <c r="D63" s="2">
        <v>46226.478599537033</v>
      </c>
      <c r="E63" s="2">
        <f t="shared" si="0"/>
        <v>46226</v>
      </c>
      <c r="F63" t="s">
        <v>1738</v>
      </c>
      <c r="G63">
        <f>_xlfn.XLOOKUP(A63,FTD!A:A,FTD!C:C)</f>
        <v>1000</v>
      </c>
      <c r="H63" cm="1">
        <f t="array" ref="H63">_xlfn.LET(
  _xlpm.s, TRIM(F63),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 t="str">
        <f>_xlfn.XLOOKUP(E63,Calendar!C:C,Calendar!B:B)</f>
        <v>Working Day</v>
      </c>
      <c r="M63" s="2">
        <v>46206</v>
      </c>
      <c r="N63" t="s">
        <v>1401</v>
      </c>
      <c r="O63" t="s">
        <v>1789</v>
      </c>
      <c r="P63">
        <v>2</v>
      </c>
      <c r="Q63" t="str">
        <f>_xlfn.XLOOKUP(N63,Attendance!F:F,Attendance!J:J)</f>
        <v>OJT 2</v>
      </c>
      <c r="R63">
        <f t="shared" si="1"/>
        <v>0</v>
      </c>
    </row>
    <row r="64" spans="1:18" x14ac:dyDescent="0.25">
      <c r="A64" t="s">
        <v>63</v>
      </c>
      <c r="B64" t="s">
        <v>1387</v>
      </c>
      <c r="C64" t="s">
        <v>1406</v>
      </c>
      <c r="D64" s="2">
        <v>46211.591724537036</v>
      </c>
      <c r="E64" s="2">
        <f t="shared" si="0"/>
        <v>46211</v>
      </c>
      <c r="F64" t="s">
        <v>1739</v>
      </c>
      <c r="G64">
        <f>_xlfn.XLOOKUP(A64,FTD!A:A,FTD!C:C)</f>
        <v>1000</v>
      </c>
      <c r="H64" cm="1">
        <f t="array" ref="H64">_xlfn.LET(
  _xlpm.s, TRIM(F64),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4" t="str">
        <f>_xlfn.XLOOKUP(E64,Calendar!C:C,Calendar!B:B)</f>
        <v>Working Day</v>
      </c>
      <c r="M64" s="2">
        <v>46206</v>
      </c>
      <c r="N64" t="s">
        <v>1407</v>
      </c>
      <c r="O64" t="s">
        <v>1789</v>
      </c>
      <c r="P64">
        <v>2</v>
      </c>
      <c r="Q64" t="str">
        <f>_xlfn.XLOOKUP(N64,Attendance!F:F,Attendance!J:J)</f>
        <v>Meta</v>
      </c>
      <c r="R64">
        <f t="shared" si="1"/>
        <v>0</v>
      </c>
    </row>
    <row r="65" spans="1:18" x14ac:dyDescent="0.25">
      <c r="A65" t="s">
        <v>64</v>
      </c>
      <c r="B65" t="s">
        <v>1387</v>
      </c>
      <c r="C65" t="s">
        <v>1405</v>
      </c>
      <c r="D65" s="2">
        <v>46204.488379629627</v>
      </c>
      <c r="E65" s="2">
        <f t="shared" si="0"/>
        <v>46204</v>
      </c>
      <c r="F65" t="s">
        <v>1738</v>
      </c>
      <c r="G65">
        <f>_xlfn.XLOOKUP(A65,FTD!A:A,FTD!C:C)</f>
        <v>1000</v>
      </c>
      <c r="H65" cm="1">
        <f t="array" ref="H65">_xlfn.LET(
  _xlpm.s, TRIM(F65),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5" t="str">
        <f>_xlfn.XLOOKUP(E65,Calendar!C:C,Calendar!B:B)</f>
        <v>Working Day</v>
      </c>
      <c r="M65" s="2">
        <v>46206</v>
      </c>
      <c r="N65" t="s">
        <v>1396</v>
      </c>
      <c r="O65" t="s">
        <v>1789</v>
      </c>
      <c r="P65">
        <v>3</v>
      </c>
      <c r="Q65" t="str">
        <f>_xlfn.XLOOKUP(N65,Attendance!F:F,Attendance!J:J)</f>
        <v>Telegram</v>
      </c>
      <c r="R65">
        <f t="shared" si="1"/>
        <v>500</v>
      </c>
    </row>
    <row r="66" spans="1:18" x14ac:dyDescent="0.25">
      <c r="A66" t="s">
        <v>65</v>
      </c>
      <c r="B66" t="s">
        <v>1387</v>
      </c>
      <c r="C66" t="s">
        <v>1390</v>
      </c>
      <c r="D66" s="2">
        <v>46225.465601851851</v>
      </c>
      <c r="E66" s="2">
        <f t="shared" si="0"/>
        <v>46225</v>
      </c>
      <c r="F66" t="s">
        <v>1744</v>
      </c>
      <c r="G66">
        <f>_xlfn.XLOOKUP(A66,FTD!A:A,FTD!C:C)</f>
        <v>2000</v>
      </c>
      <c r="H66" cm="1">
        <f t="array" ref="H66">_xlfn.LET(
  _xlpm.s, TRIM(F66),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 t="str">
        <f>_xlfn.XLOOKUP(E66,Calendar!C:C,Calendar!B:B)</f>
        <v>Working Day</v>
      </c>
      <c r="M66" s="2">
        <v>46206</v>
      </c>
      <c r="N66" t="s">
        <v>1435</v>
      </c>
      <c r="O66" t="s">
        <v>1789</v>
      </c>
      <c r="P66">
        <v>1</v>
      </c>
      <c r="Q66" t="str">
        <f>_xlfn.XLOOKUP(N66,Attendance!F:F,Attendance!J:J)</f>
        <v>OLD OJT</v>
      </c>
      <c r="R66">
        <f t="shared" si="1"/>
        <v>0</v>
      </c>
    </row>
    <row r="67" spans="1:18" x14ac:dyDescent="0.25">
      <c r="A67" t="s">
        <v>66</v>
      </c>
      <c r="B67" t="s">
        <v>1387</v>
      </c>
      <c r="C67" t="s">
        <v>1415</v>
      </c>
      <c r="D67" s="2">
        <v>46212.568993055553</v>
      </c>
      <c r="E67" s="2">
        <f t="shared" ref="E67:E130" si="2">INT(D67)</f>
        <v>46212</v>
      </c>
      <c r="F67" t="s">
        <v>1743</v>
      </c>
      <c r="G67">
        <f>_xlfn.XLOOKUP(A67,FTD!A:A,FTD!C:C)</f>
        <v>1000</v>
      </c>
      <c r="H67" cm="1">
        <f t="array" ref="H67">_xlfn.LET(
  _xlpm.s, TRIM(F67),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7" t="str">
        <f>_xlfn.XLOOKUP(E67,Calendar!C:C,Calendar!B:B)</f>
        <v>Working Day</v>
      </c>
      <c r="M67" s="2">
        <v>46206</v>
      </c>
      <c r="N67" t="s">
        <v>1412</v>
      </c>
      <c r="O67" t="s">
        <v>1789</v>
      </c>
      <c r="P67">
        <v>2</v>
      </c>
      <c r="Q67" t="str">
        <f>_xlfn.XLOOKUP(N67,Attendance!F:F,Attendance!J:J)</f>
        <v>1</v>
      </c>
      <c r="R67">
        <f t="shared" si="1"/>
        <v>0</v>
      </c>
    </row>
    <row r="68" spans="1:18" x14ac:dyDescent="0.25">
      <c r="A68" t="s">
        <v>67</v>
      </c>
      <c r="B68" t="s">
        <v>1387</v>
      </c>
      <c r="C68" t="s">
        <v>1408</v>
      </c>
      <c r="D68" s="2">
        <v>46230.49560185185</v>
      </c>
      <c r="E68" s="2">
        <f t="shared" si="2"/>
        <v>46230</v>
      </c>
      <c r="F68" t="s">
        <v>1739</v>
      </c>
      <c r="G68">
        <f>_xlfn.XLOOKUP(A68,FTD!A:A,FTD!C:C)</f>
        <v>1000</v>
      </c>
      <c r="H68" cm="1">
        <f t="array" ref="H68">_xlfn.LET(
  _xlpm.s, TRIM(F68),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8" t="str">
        <f>_xlfn.XLOOKUP(E68,Calendar!C:C,Calendar!B:B)</f>
        <v>Working Day</v>
      </c>
      <c r="M68" s="2">
        <v>46206</v>
      </c>
      <c r="N68" t="s">
        <v>1424</v>
      </c>
      <c r="O68" t="s">
        <v>1789</v>
      </c>
      <c r="P68">
        <v>2</v>
      </c>
      <c r="Q68" t="str">
        <f>_xlfn.XLOOKUP(N68,Attendance!F:F,Attendance!J:J)</f>
        <v>New OJT</v>
      </c>
      <c r="R68">
        <f t="shared" ref="R68:R131" si="3">_xlfn.LET(
  _xlpm.pool, IFERROR(Q68&amp;"", ""),
  _xlpm.conv, IFERROR(--P68, 0),
  _xlpm.mkt,  O69="Working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69" spans="1:18" x14ac:dyDescent="0.25">
      <c r="A69" t="s">
        <v>68</v>
      </c>
      <c r="B69" t="s">
        <v>1387</v>
      </c>
      <c r="C69" t="s">
        <v>1416</v>
      </c>
      <c r="D69" s="2">
        <v>46234.845648148148</v>
      </c>
      <c r="E69" s="2">
        <f t="shared" si="2"/>
        <v>46234</v>
      </c>
      <c r="F69" t="s">
        <v>1739</v>
      </c>
      <c r="G69">
        <f>_xlfn.XLOOKUP(A69,FTD!A:A,FTD!C:C)</f>
        <v>2000</v>
      </c>
      <c r="H69" cm="1">
        <f t="array" ref="H69">_xlfn.LET(
  _xlpm.s, TRIM(F69),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9" t="str">
        <f>_xlfn.XLOOKUP(E69,Calendar!C:C,Calendar!B:B)</f>
        <v>Working Day</v>
      </c>
      <c r="M69" s="2">
        <v>46206</v>
      </c>
      <c r="N69" t="s">
        <v>1404</v>
      </c>
      <c r="O69" t="s">
        <v>1789</v>
      </c>
      <c r="P69">
        <v>1</v>
      </c>
      <c r="Q69" t="str">
        <f>_xlfn.XLOOKUP(N69,Attendance!F:F,Attendance!J:J)</f>
        <v>OLD OJT</v>
      </c>
      <c r="R69">
        <f t="shared" si="3"/>
        <v>0</v>
      </c>
    </row>
    <row r="70" spans="1:18" x14ac:dyDescent="0.25">
      <c r="A70" t="s">
        <v>69</v>
      </c>
      <c r="B70" t="s">
        <v>1387</v>
      </c>
      <c r="C70" t="s">
        <v>1410</v>
      </c>
      <c r="D70" s="2">
        <v>46224.970150462963</v>
      </c>
      <c r="E70" s="2">
        <f t="shared" si="2"/>
        <v>46224</v>
      </c>
      <c r="F70" t="s">
        <v>1742</v>
      </c>
      <c r="G70">
        <f>_xlfn.XLOOKUP(A70,FTD!A:A,FTD!C:C)</f>
        <v>1000</v>
      </c>
      <c r="H70" cm="1">
        <f t="array" ref="H70">_xlfn.LET(
  _xlpm.s, TRIM(F70),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0" t="str">
        <f>_xlfn.XLOOKUP(E70,Calendar!C:C,Calendar!B:B)</f>
        <v>Working Day</v>
      </c>
      <c r="M70" s="2">
        <v>46206</v>
      </c>
      <c r="N70" t="s">
        <v>1406</v>
      </c>
      <c r="O70" t="s">
        <v>1789</v>
      </c>
      <c r="P70">
        <v>2</v>
      </c>
      <c r="Q70" t="str">
        <f>_xlfn.XLOOKUP(N70,Attendance!F:F,Attendance!J:J)</f>
        <v>1</v>
      </c>
      <c r="R70">
        <f t="shared" si="3"/>
        <v>0</v>
      </c>
    </row>
    <row r="71" spans="1:18" x14ac:dyDescent="0.25">
      <c r="A71" t="s">
        <v>70</v>
      </c>
      <c r="B71" t="s">
        <v>1387</v>
      </c>
      <c r="C71" t="s">
        <v>1408</v>
      </c>
      <c r="D71" s="2">
        <v>46218.519421296296</v>
      </c>
      <c r="E71" s="2">
        <f t="shared" si="2"/>
        <v>46218</v>
      </c>
      <c r="F71" t="s">
        <v>1738</v>
      </c>
      <c r="G71">
        <f>_xlfn.XLOOKUP(A71,FTD!A:A,FTD!C:C)</f>
        <v>1000</v>
      </c>
      <c r="H71" cm="1">
        <f t="array" ref="H71">_xlfn.LET(
  _xlpm.s, TRIM(F71),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 t="str">
        <f>_xlfn.XLOOKUP(E71,Calendar!C:C,Calendar!B:B)</f>
        <v>Working Day</v>
      </c>
      <c r="M71" s="2">
        <v>46206</v>
      </c>
      <c r="N71" t="s">
        <v>1391</v>
      </c>
      <c r="O71" t="s">
        <v>1789</v>
      </c>
      <c r="P71">
        <v>2</v>
      </c>
      <c r="Q71" t="str">
        <f>_xlfn.XLOOKUP(N71,Attendance!F:F,Attendance!J:J)</f>
        <v>Dialer</v>
      </c>
      <c r="R71">
        <f t="shared" si="3"/>
        <v>0</v>
      </c>
    </row>
    <row r="72" spans="1:18" x14ac:dyDescent="0.25">
      <c r="A72" t="s">
        <v>71</v>
      </c>
      <c r="B72" t="s">
        <v>1384</v>
      </c>
      <c r="C72" t="s">
        <v>1401</v>
      </c>
      <c r="D72" s="2">
        <v>46205.827187499999</v>
      </c>
      <c r="E72" s="2">
        <f t="shared" si="2"/>
        <v>46205</v>
      </c>
      <c r="F72" t="s">
        <v>1738</v>
      </c>
      <c r="G72">
        <f>_xlfn.XLOOKUP(A72,FTD!A:A,FTD!C:C)</f>
        <v>1000</v>
      </c>
      <c r="H72" cm="1">
        <f t="array" ref="H72">_xlfn.LET(
  _xlpm.s, TRIM(F72),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 t="str">
        <f>_xlfn.XLOOKUP(E72,Calendar!C:C,Calendar!B:B)</f>
        <v>Working Day</v>
      </c>
      <c r="M72" s="2">
        <v>46206</v>
      </c>
      <c r="N72" t="s">
        <v>1390</v>
      </c>
      <c r="O72" t="s">
        <v>1789</v>
      </c>
      <c r="P72">
        <v>2</v>
      </c>
      <c r="Q72" t="str">
        <f>_xlfn.XLOOKUP(N72,Attendance!F:F,Attendance!J:J)</f>
        <v>Meta</v>
      </c>
      <c r="R72">
        <f t="shared" si="3"/>
        <v>0</v>
      </c>
    </row>
    <row r="73" spans="1:18" x14ac:dyDescent="0.25">
      <c r="A73" t="s">
        <v>72</v>
      </c>
      <c r="B73" t="s">
        <v>1385</v>
      </c>
      <c r="C73" t="s">
        <v>1408</v>
      </c>
      <c r="D73" s="2">
        <v>46234.816064814811</v>
      </c>
      <c r="E73" s="2">
        <f t="shared" si="2"/>
        <v>46234</v>
      </c>
      <c r="F73" t="s">
        <v>1738</v>
      </c>
      <c r="G73">
        <f>_xlfn.XLOOKUP(A73,FTD!A:A,FTD!C:C)</f>
        <v>500</v>
      </c>
      <c r="H73" cm="1">
        <f t="array" ref="H73">_xlfn.LET(
  _xlpm.s, TRIM(F73),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 t="str">
        <f>_xlfn.XLOOKUP(E73,Calendar!C:C,Calendar!B:B)</f>
        <v>Working Day</v>
      </c>
      <c r="M73" s="2">
        <v>46206</v>
      </c>
      <c r="N73" t="s">
        <v>1419</v>
      </c>
      <c r="O73" t="s">
        <v>1789</v>
      </c>
      <c r="P73">
        <v>1</v>
      </c>
      <c r="Q73" t="str">
        <f>_xlfn.XLOOKUP(N73,Attendance!F:F,Attendance!J:J)</f>
        <v>OLD OJT</v>
      </c>
      <c r="R73">
        <f t="shared" si="3"/>
        <v>0</v>
      </c>
    </row>
    <row r="74" spans="1:18" x14ac:dyDescent="0.25">
      <c r="A74" t="s">
        <v>73</v>
      </c>
      <c r="B74" t="s">
        <v>1387</v>
      </c>
      <c r="C74" t="s">
        <v>1403</v>
      </c>
      <c r="D74" s="2">
        <v>46205.51425925926</v>
      </c>
      <c r="E74" s="2">
        <f t="shared" si="2"/>
        <v>46205</v>
      </c>
      <c r="F74" t="s">
        <v>1743</v>
      </c>
      <c r="G74">
        <f>_xlfn.XLOOKUP(A74,FTD!A:A,FTD!C:C)</f>
        <v>1000</v>
      </c>
      <c r="H74" cm="1">
        <f t="array" ref="H74">_xlfn.LET(
  _xlpm.s, TRIM(F74),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 t="str">
        <f>_xlfn.XLOOKUP(E74,Calendar!C:C,Calendar!B:B)</f>
        <v>Working Day</v>
      </c>
      <c r="M74" s="2">
        <v>46206</v>
      </c>
      <c r="N74" t="s">
        <v>1409</v>
      </c>
      <c r="O74" t="s">
        <v>1789</v>
      </c>
      <c r="P74">
        <v>1</v>
      </c>
      <c r="Q74" t="str">
        <f>_xlfn.XLOOKUP(N74,Attendance!F:F,Attendance!J:J)</f>
        <v>Dialer</v>
      </c>
      <c r="R74">
        <f t="shared" si="3"/>
        <v>0</v>
      </c>
    </row>
    <row r="75" spans="1:18" x14ac:dyDescent="0.25">
      <c r="A75" t="s">
        <v>74</v>
      </c>
      <c r="B75" t="s">
        <v>1387</v>
      </c>
      <c r="C75" t="s">
        <v>1408</v>
      </c>
      <c r="D75" s="2">
        <v>46222.591898148145</v>
      </c>
      <c r="E75" s="2">
        <f t="shared" si="2"/>
        <v>46222</v>
      </c>
      <c r="F75" t="s">
        <v>1738</v>
      </c>
      <c r="G75">
        <f>_xlfn.XLOOKUP(A75,FTD!A:A,FTD!C:C)</f>
        <v>1000</v>
      </c>
      <c r="H75" cm="1">
        <f t="array" ref="H75">_xlfn.LET(
  _xlpm.s, TRIM(F75),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 t="str">
        <f>_xlfn.XLOOKUP(E75,Calendar!C:C,Calendar!B:B)</f>
        <v>Sunday</v>
      </c>
      <c r="M75" s="2">
        <v>46206</v>
      </c>
      <c r="N75" t="s">
        <v>1399</v>
      </c>
      <c r="O75" t="s">
        <v>1789</v>
      </c>
      <c r="P75">
        <v>2</v>
      </c>
      <c r="Q75" t="str">
        <f>_xlfn.XLOOKUP(N75,Attendance!F:F,Attendance!J:J)</f>
        <v>1</v>
      </c>
      <c r="R75">
        <f t="shared" si="3"/>
        <v>0</v>
      </c>
    </row>
    <row r="76" spans="1:18" x14ac:dyDescent="0.25">
      <c r="A76" t="s">
        <v>75</v>
      </c>
      <c r="B76" t="s">
        <v>1387</v>
      </c>
      <c r="C76" t="s">
        <v>1417</v>
      </c>
      <c r="D76" s="2">
        <v>46220.603993055556</v>
      </c>
      <c r="E76" s="2">
        <f t="shared" si="2"/>
        <v>46220</v>
      </c>
      <c r="F76" t="s">
        <v>1743</v>
      </c>
      <c r="G76">
        <f>_xlfn.XLOOKUP(A76,FTD!A:A,FTD!C:C)</f>
        <v>2000</v>
      </c>
      <c r="H76" cm="1">
        <f t="array" ref="H76">_xlfn.LET(
  _xlpm.s, TRIM(F76),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 t="str">
        <f>_xlfn.XLOOKUP(E76,Calendar!C:C,Calendar!B:B)</f>
        <v>Working Day</v>
      </c>
      <c r="M76" s="2">
        <v>46206</v>
      </c>
      <c r="N76" t="s">
        <v>1427</v>
      </c>
      <c r="O76" t="s">
        <v>1789</v>
      </c>
      <c r="P76">
        <v>1</v>
      </c>
      <c r="Q76" t="str">
        <f>_xlfn.XLOOKUP(N76,Attendance!F:F,Attendance!J:J)</f>
        <v>New OJT</v>
      </c>
      <c r="R76">
        <f t="shared" si="3"/>
        <v>0</v>
      </c>
    </row>
    <row r="77" spans="1:18" x14ac:dyDescent="0.25">
      <c r="A77" t="s">
        <v>76</v>
      </c>
      <c r="B77" t="s">
        <v>1387</v>
      </c>
      <c r="C77" t="s">
        <v>1412</v>
      </c>
      <c r="D77" s="2">
        <v>46209.165763888886</v>
      </c>
      <c r="E77" s="2">
        <f t="shared" si="2"/>
        <v>46209</v>
      </c>
      <c r="F77" t="s">
        <v>1738</v>
      </c>
      <c r="G77">
        <f>_xlfn.XLOOKUP(A77,FTD!A:A,FTD!C:C)</f>
        <v>2000</v>
      </c>
      <c r="H77" cm="1">
        <f t="array" ref="H77">_xlfn.LET(
  _xlpm.s, TRIM(F77),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 t="str">
        <f>_xlfn.XLOOKUP(E77,Calendar!C:C,Calendar!B:B)</f>
        <v>Working Day</v>
      </c>
      <c r="M77" s="2">
        <v>46206</v>
      </c>
      <c r="N77" t="s">
        <v>1408</v>
      </c>
      <c r="O77" t="s">
        <v>1789</v>
      </c>
      <c r="P77">
        <v>9</v>
      </c>
      <c r="Q77" t="str">
        <f>_xlfn.XLOOKUP(N77,Attendance!F:F,Attendance!J:J)</f>
        <v>1</v>
      </c>
      <c r="R77">
        <f t="shared" si="3"/>
        <v>700</v>
      </c>
    </row>
    <row r="78" spans="1:18" x14ac:dyDescent="0.25">
      <c r="A78" t="s">
        <v>77</v>
      </c>
      <c r="B78" t="s">
        <v>1387</v>
      </c>
      <c r="C78" t="s">
        <v>1405</v>
      </c>
      <c r="D78" s="2">
        <v>46234.469212962962</v>
      </c>
      <c r="E78" s="2">
        <f t="shared" si="2"/>
        <v>46234</v>
      </c>
      <c r="F78" t="s">
        <v>1739</v>
      </c>
      <c r="G78">
        <f>_xlfn.XLOOKUP(A78,FTD!A:A,FTD!C:C)</f>
        <v>1000</v>
      </c>
      <c r="H78" cm="1">
        <f t="array" ref="H78">_xlfn.LET(
  _xlpm.s, TRIM(F78),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8" t="str">
        <f>_xlfn.XLOOKUP(E78,Calendar!C:C,Calendar!B:B)</f>
        <v>Working Day</v>
      </c>
      <c r="M78" s="2">
        <v>46207</v>
      </c>
      <c r="N78" t="s">
        <v>1405</v>
      </c>
      <c r="O78" t="s">
        <v>1783</v>
      </c>
      <c r="P78">
        <v>2</v>
      </c>
      <c r="Q78" t="str">
        <f>_xlfn.XLOOKUP(N78,Attendance!F:F,Attendance!J:J)</f>
        <v>Dialer</v>
      </c>
      <c r="R78">
        <f t="shared" si="3"/>
        <v>500</v>
      </c>
    </row>
    <row r="79" spans="1:18" x14ac:dyDescent="0.25">
      <c r="A79" t="s">
        <v>78</v>
      </c>
      <c r="B79" t="s">
        <v>1387</v>
      </c>
      <c r="C79" t="s">
        <v>1390</v>
      </c>
      <c r="D79" s="2">
        <v>46211.769027777773</v>
      </c>
      <c r="E79" s="2">
        <f t="shared" si="2"/>
        <v>46211</v>
      </c>
      <c r="F79" t="s">
        <v>1748</v>
      </c>
      <c r="G79">
        <f>_xlfn.XLOOKUP(A79,FTD!A:A,FTD!C:C)</f>
        <v>1000</v>
      </c>
      <c r="H79" cm="1">
        <f t="array" ref="H79">_xlfn.LET(
  _xlpm.s, TRIM(F79),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9" t="str">
        <f>_xlfn.XLOOKUP(E79,Calendar!C:C,Calendar!B:B)</f>
        <v>Working Day</v>
      </c>
      <c r="M79" s="2">
        <v>46207</v>
      </c>
      <c r="N79" t="s">
        <v>1403</v>
      </c>
      <c r="O79" t="s">
        <v>1783</v>
      </c>
      <c r="P79">
        <v>1</v>
      </c>
      <c r="Q79" t="str">
        <f>_xlfn.XLOOKUP(N79,Attendance!F:F,Attendance!J:J)</f>
        <v>Meta</v>
      </c>
      <c r="R79">
        <f t="shared" si="3"/>
        <v>0</v>
      </c>
    </row>
    <row r="80" spans="1:18" x14ac:dyDescent="0.25">
      <c r="A80" t="s">
        <v>79</v>
      </c>
      <c r="B80" t="s">
        <v>1384</v>
      </c>
      <c r="C80" t="s">
        <v>1418</v>
      </c>
      <c r="D80" s="2">
        <v>46220.823321759257</v>
      </c>
      <c r="E80" s="2">
        <f t="shared" si="2"/>
        <v>46220</v>
      </c>
      <c r="F80" t="s">
        <v>1740</v>
      </c>
      <c r="G80">
        <f>_xlfn.XLOOKUP(A80,FTD!A:A,FTD!C:C)</f>
        <v>1492</v>
      </c>
      <c r="H80" cm="1">
        <f t="array" ref="H80">_xlfn.LET(
  _xlpm.s, TRIM(F80),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0" t="str">
        <f>_xlfn.XLOOKUP(E80,Calendar!C:C,Calendar!B:B)</f>
        <v>Working Day</v>
      </c>
      <c r="M80" s="2">
        <v>46207</v>
      </c>
      <c r="N80" t="s">
        <v>1388</v>
      </c>
      <c r="O80" t="s">
        <v>1783</v>
      </c>
      <c r="P80">
        <v>2</v>
      </c>
      <c r="Q80" t="str">
        <f>_xlfn.XLOOKUP(N80,Attendance!F:F,Attendance!J:J)</f>
        <v>Telegram</v>
      </c>
      <c r="R80">
        <f t="shared" si="3"/>
        <v>500</v>
      </c>
    </row>
    <row r="81" spans="1:18" x14ac:dyDescent="0.25">
      <c r="A81" t="s">
        <v>80</v>
      </c>
      <c r="B81" t="s">
        <v>1384</v>
      </c>
      <c r="C81" t="s">
        <v>1412</v>
      </c>
      <c r="D81" s="2">
        <v>46225.819456018515</v>
      </c>
      <c r="E81" s="2">
        <f t="shared" si="2"/>
        <v>46225</v>
      </c>
      <c r="F81" t="s">
        <v>1738</v>
      </c>
      <c r="G81">
        <f>_xlfn.XLOOKUP(A81,FTD!A:A,FTD!C:C)</f>
        <v>1000</v>
      </c>
      <c r="H81" cm="1">
        <f t="array" ref="H81">_xlfn.LET(
  _xlpm.s, TRIM(F81),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1" t="str">
        <f>_xlfn.XLOOKUP(E81,Calendar!C:C,Calendar!B:B)</f>
        <v>Working Day</v>
      </c>
      <c r="M81" s="2">
        <v>46207</v>
      </c>
      <c r="N81" t="s">
        <v>1398</v>
      </c>
      <c r="O81" t="s">
        <v>1783</v>
      </c>
      <c r="P81">
        <v>1</v>
      </c>
      <c r="Q81" t="str">
        <f>_xlfn.XLOOKUP(N81,Attendance!F:F,Attendance!J:J)</f>
        <v>1</v>
      </c>
      <c r="R81">
        <f t="shared" si="3"/>
        <v>0</v>
      </c>
    </row>
    <row r="82" spans="1:18" x14ac:dyDescent="0.25">
      <c r="A82" t="s">
        <v>82</v>
      </c>
      <c r="B82" t="s">
        <v>1387</v>
      </c>
      <c r="C82" t="s">
        <v>1406</v>
      </c>
      <c r="D82" s="2">
        <v>46211.635983796295</v>
      </c>
      <c r="E82" s="2">
        <f t="shared" si="2"/>
        <v>46211</v>
      </c>
      <c r="F82" t="s">
        <v>1738</v>
      </c>
      <c r="G82">
        <f>_xlfn.XLOOKUP(A82,FTD!A:A,FTD!C:C)</f>
        <v>35000</v>
      </c>
      <c r="H82" cm="1">
        <f t="array" ref="H82">_xlfn.LET(
  _xlpm.s, TRIM(F82),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2" t="str">
        <f>_xlfn.XLOOKUP(E82,Calendar!C:C,Calendar!B:B)</f>
        <v>Working Day</v>
      </c>
      <c r="M82" s="2">
        <v>46207</v>
      </c>
      <c r="N82" t="s">
        <v>1420</v>
      </c>
      <c r="O82" t="s">
        <v>1783</v>
      </c>
      <c r="P82">
        <v>2</v>
      </c>
      <c r="Q82" t="e">
        <f>_xlfn.XLOOKUP(N82,Attendance!F:F,Attendance!J:J)</f>
        <v>#N/A</v>
      </c>
      <c r="R82">
        <f t="shared" si="3"/>
        <v>500</v>
      </c>
    </row>
    <row r="83" spans="1:18" x14ac:dyDescent="0.25">
      <c r="A83" t="s">
        <v>83</v>
      </c>
      <c r="B83" t="s">
        <v>1387</v>
      </c>
      <c r="C83" t="s">
        <v>1412</v>
      </c>
      <c r="D83" s="2">
        <v>46222.560254629629</v>
      </c>
      <c r="E83" s="2">
        <f t="shared" si="2"/>
        <v>46222</v>
      </c>
      <c r="F83" t="s">
        <v>1738</v>
      </c>
      <c r="G83">
        <f>_xlfn.XLOOKUP(A83,FTD!A:A,FTD!C:C)</f>
        <v>2000</v>
      </c>
      <c r="H83" cm="1">
        <f t="array" ref="H83">_xlfn.LET(
  _xlpm.s, TRIM(F83),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 t="str">
        <f>_xlfn.XLOOKUP(E83,Calendar!C:C,Calendar!B:B)</f>
        <v>Sunday</v>
      </c>
      <c r="M83" s="2">
        <v>46207</v>
      </c>
      <c r="N83" t="s">
        <v>1414</v>
      </c>
      <c r="O83" t="s">
        <v>1783</v>
      </c>
      <c r="P83">
        <v>1</v>
      </c>
      <c r="Q83" t="str">
        <f>_xlfn.XLOOKUP(N83,Attendance!F:F,Attendance!J:J)</f>
        <v>New OJT</v>
      </c>
      <c r="R83">
        <f t="shared" si="3"/>
        <v>0</v>
      </c>
    </row>
    <row r="84" spans="1:18" x14ac:dyDescent="0.25">
      <c r="A84" t="s">
        <v>84</v>
      </c>
      <c r="B84" t="s">
        <v>1387</v>
      </c>
      <c r="C84" t="s">
        <v>1408</v>
      </c>
      <c r="D84" s="2">
        <v>46223.494409722218</v>
      </c>
      <c r="E84" s="2">
        <f t="shared" si="2"/>
        <v>46223</v>
      </c>
      <c r="F84" t="s">
        <v>1738</v>
      </c>
      <c r="G84">
        <f>_xlfn.XLOOKUP(A84,FTD!A:A,FTD!C:C)</f>
        <v>1000</v>
      </c>
      <c r="H84" cm="1">
        <f t="array" ref="H84">_xlfn.LET(
  _xlpm.s, TRIM(F84),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 t="str">
        <f>_xlfn.XLOOKUP(E84,Calendar!C:C,Calendar!B:B)</f>
        <v>Working Day</v>
      </c>
      <c r="M84" s="2">
        <v>46207</v>
      </c>
      <c r="N84" t="s">
        <v>1417</v>
      </c>
      <c r="O84" t="s">
        <v>1783</v>
      </c>
      <c r="P84">
        <v>2</v>
      </c>
      <c r="Q84" t="str">
        <f>_xlfn.XLOOKUP(N84,Attendance!F:F,Attendance!J:J)</f>
        <v>Meta</v>
      </c>
      <c r="R84">
        <f t="shared" si="3"/>
        <v>0</v>
      </c>
    </row>
    <row r="85" spans="1:18" x14ac:dyDescent="0.25">
      <c r="A85" t="s">
        <v>85</v>
      </c>
      <c r="B85" t="s">
        <v>1387</v>
      </c>
      <c r="C85" t="s">
        <v>1408</v>
      </c>
      <c r="D85" s="2">
        <v>46223.463807870372</v>
      </c>
      <c r="E85" s="2">
        <f t="shared" si="2"/>
        <v>46223</v>
      </c>
      <c r="F85" t="s">
        <v>1738</v>
      </c>
      <c r="G85">
        <f>_xlfn.XLOOKUP(A85,FTD!A:A,FTD!C:C)</f>
        <v>1000</v>
      </c>
      <c r="H85" cm="1">
        <f t="array" ref="H85">_xlfn.LET(
  _xlpm.s, TRIM(F85),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5" t="str">
        <f>_xlfn.XLOOKUP(E85,Calendar!C:C,Calendar!B:B)</f>
        <v>Working Day</v>
      </c>
      <c r="M85" s="2">
        <v>46207</v>
      </c>
      <c r="N85" t="s">
        <v>1397</v>
      </c>
      <c r="O85" t="s">
        <v>1783</v>
      </c>
      <c r="P85">
        <v>1</v>
      </c>
      <c r="Q85" t="str">
        <f>_xlfn.XLOOKUP(N85,Attendance!F:F,Attendance!J:J)</f>
        <v>Meta</v>
      </c>
      <c r="R85">
        <f t="shared" si="3"/>
        <v>0</v>
      </c>
    </row>
    <row r="86" spans="1:18" x14ac:dyDescent="0.25">
      <c r="A86" t="s">
        <v>86</v>
      </c>
      <c r="B86" t="s">
        <v>1387</v>
      </c>
      <c r="C86" t="s">
        <v>1400</v>
      </c>
      <c r="D86" s="2">
        <v>46230.649780092594</v>
      </c>
      <c r="E86" s="2">
        <f t="shared" si="2"/>
        <v>46230</v>
      </c>
      <c r="F86" t="s">
        <v>1745</v>
      </c>
      <c r="G86">
        <f>_xlfn.XLOOKUP(A86,FTD!A:A,FTD!C:C)</f>
        <v>2000</v>
      </c>
      <c r="H86" cm="1">
        <f t="array" ref="H86">_xlfn.LET(
  _xlpm.s, TRIM(F86),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6" t="str">
        <f>_xlfn.XLOOKUP(E86,Calendar!C:C,Calendar!B:B)</f>
        <v>Working Day</v>
      </c>
      <c r="M86" s="2">
        <v>46207</v>
      </c>
      <c r="N86" t="s">
        <v>1412</v>
      </c>
      <c r="O86" t="s">
        <v>1783</v>
      </c>
      <c r="P86">
        <v>2</v>
      </c>
      <c r="Q86" t="str">
        <f>_xlfn.XLOOKUP(N86,Attendance!F:F,Attendance!J:J)</f>
        <v>1</v>
      </c>
      <c r="R86">
        <f t="shared" si="3"/>
        <v>0</v>
      </c>
    </row>
    <row r="87" spans="1:18" x14ac:dyDescent="0.25">
      <c r="A87" t="s">
        <v>87</v>
      </c>
      <c r="B87" t="s">
        <v>1387</v>
      </c>
      <c r="C87" t="s">
        <v>1417</v>
      </c>
      <c r="D87" s="2">
        <v>46205.803437499999</v>
      </c>
      <c r="E87" s="2">
        <f t="shared" si="2"/>
        <v>46205</v>
      </c>
      <c r="F87" t="s">
        <v>1743</v>
      </c>
      <c r="G87">
        <f>_xlfn.XLOOKUP(A87,FTD!A:A,FTD!C:C)</f>
        <v>1000</v>
      </c>
      <c r="H87" cm="1">
        <f t="array" ref="H87">_xlfn.LET(
  _xlpm.s, TRIM(F87),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 t="str">
        <f>_xlfn.XLOOKUP(E87,Calendar!C:C,Calendar!B:B)</f>
        <v>Working Day</v>
      </c>
      <c r="M87" s="2">
        <v>46207</v>
      </c>
      <c r="N87" t="s">
        <v>1424</v>
      </c>
      <c r="O87" t="s">
        <v>1783</v>
      </c>
      <c r="P87">
        <v>2</v>
      </c>
      <c r="Q87" t="str">
        <f>_xlfn.XLOOKUP(N87,Attendance!F:F,Attendance!J:J)</f>
        <v>New OJT</v>
      </c>
      <c r="R87">
        <f t="shared" si="3"/>
        <v>500</v>
      </c>
    </row>
    <row r="88" spans="1:18" x14ac:dyDescent="0.25">
      <c r="A88" t="s">
        <v>88</v>
      </c>
      <c r="B88" t="s">
        <v>1387</v>
      </c>
      <c r="C88" t="s">
        <v>1398</v>
      </c>
      <c r="D88" s="2">
        <v>46204.424270833333</v>
      </c>
      <c r="E88" s="2">
        <f t="shared" si="2"/>
        <v>46204</v>
      </c>
      <c r="F88" t="s">
        <v>1738</v>
      </c>
      <c r="G88">
        <f>_xlfn.XLOOKUP(A88,FTD!A:A,FTD!C:C)</f>
        <v>3000</v>
      </c>
      <c r="H88" cm="1">
        <f t="array" ref="H88">_xlfn.LET(
  _xlpm.s, TRIM(F88),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 t="str">
        <f>_xlfn.XLOOKUP(E88,Calendar!C:C,Calendar!B:B)</f>
        <v>Working Day</v>
      </c>
      <c r="M88" s="2">
        <v>46207</v>
      </c>
      <c r="N88" t="s">
        <v>1406</v>
      </c>
      <c r="O88" t="s">
        <v>1783</v>
      </c>
      <c r="P88">
        <v>5</v>
      </c>
      <c r="Q88" t="str">
        <f>_xlfn.XLOOKUP(N88,Attendance!F:F,Attendance!J:J)</f>
        <v>1</v>
      </c>
      <c r="R88">
        <f t="shared" si="3"/>
        <v>300</v>
      </c>
    </row>
    <row r="89" spans="1:18" x14ac:dyDescent="0.25">
      <c r="A89" t="s">
        <v>89</v>
      </c>
      <c r="B89" t="s">
        <v>1387</v>
      </c>
      <c r="C89" t="s">
        <v>1399</v>
      </c>
      <c r="D89" s="2">
        <v>46223.757048611107</v>
      </c>
      <c r="E89" s="2">
        <f t="shared" si="2"/>
        <v>46223</v>
      </c>
      <c r="F89" t="s">
        <v>1738</v>
      </c>
      <c r="G89">
        <f>_xlfn.XLOOKUP(A89,FTD!A:A,FTD!C:C)</f>
        <v>1000</v>
      </c>
      <c r="H89" cm="1">
        <f t="array" ref="H89">_xlfn.LET(
  _xlpm.s, TRIM(F89),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 t="str">
        <f>_xlfn.XLOOKUP(E89,Calendar!C:C,Calendar!B:B)</f>
        <v>Working Day</v>
      </c>
      <c r="M89" s="2">
        <v>46207</v>
      </c>
      <c r="N89" t="s">
        <v>1392</v>
      </c>
      <c r="O89" t="s">
        <v>1783</v>
      </c>
      <c r="P89">
        <v>1</v>
      </c>
      <c r="Q89" t="str">
        <f>_xlfn.XLOOKUP(N89,Attendance!F:F,Attendance!J:J)</f>
        <v>Telegram</v>
      </c>
      <c r="R89">
        <f t="shared" si="3"/>
        <v>0</v>
      </c>
    </row>
    <row r="90" spans="1:18" x14ac:dyDescent="0.25">
      <c r="A90" t="s">
        <v>90</v>
      </c>
      <c r="B90" t="s">
        <v>1387</v>
      </c>
      <c r="C90" t="s">
        <v>1408</v>
      </c>
      <c r="D90" s="2">
        <v>46224.642719907402</v>
      </c>
      <c r="E90" s="2">
        <f t="shared" si="2"/>
        <v>46224</v>
      </c>
      <c r="F90" t="s">
        <v>1738</v>
      </c>
      <c r="G90">
        <f>_xlfn.XLOOKUP(A90,FTD!A:A,FTD!C:C)</f>
        <v>1000</v>
      </c>
      <c r="H90" cm="1">
        <f t="array" ref="H90">_xlfn.LET(
  _xlpm.s, TRIM(F90),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0" t="str">
        <f>_xlfn.XLOOKUP(E90,Calendar!C:C,Calendar!B:B)</f>
        <v>Working Day</v>
      </c>
      <c r="M90" s="2">
        <v>46207</v>
      </c>
      <c r="N90" t="s">
        <v>1421</v>
      </c>
      <c r="O90" t="s">
        <v>1783</v>
      </c>
      <c r="P90">
        <v>1</v>
      </c>
      <c r="Q90" t="str">
        <f>_xlfn.XLOOKUP(N90,Attendance!F:F,Attendance!J:J)</f>
        <v>OJT 1</v>
      </c>
      <c r="R90">
        <f t="shared" si="3"/>
        <v>0</v>
      </c>
    </row>
    <row r="91" spans="1:18" x14ac:dyDescent="0.25">
      <c r="A91" t="s">
        <v>91</v>
      </c>
      <c r="B91" t="s">
        <v>1387</v>
      </c>
      <c r="C91" t="s">
        <v>1415</v>
      </c>
      <c r="D91" s="2">
        <v>46230.431793981479</v>
      </c>
      <c r="E91" s="2">
        <f t="shared" si="2"/>
        <v>46230</v>
      </c>
      <c r="F91" t="s">
        <v>1738</v>
      </c>
      <c r="G91">
        <f>_xlfn.XLOOKUP(A91,FTD!A:A,FTD!C:C)</f>
        <v>45000</v>
      </c>
      <c r="H91" cm="1">
        <f t="array" ref="H91">_xlfn.LET(
  _xlpm.s, TRIM(F91),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 t="str">
        <f>_xlfn.XLOOKUP(E91,Calendar!C:C,Calendar!B:B)</f>
        <v>Working Day</v>
      </c>
      <c r="M91" s="2">
        <v>46207</v>
      </c>
      <c r="N91" t="s">
        <v>1399</v>
      </c>
      <c r="O91" t="s">
        <v>1783</v>
      </c>
      <c r="P91">
        <v>2</v>
      </c>
      <c r="Q91" t="str">
        <f>_xlfn.XLOOKUP(N91,Attendance!F:F,Attendance!J:J)</f>
        <v>1</v>
      </c>
      <c r="R91">
        <f t="shared" si="3"/>
        <v>0</v>
      </c>
    </row>
    <row r="92" spans="1:18" x14ac:dyDescent="0.25">
      <c r="A92" t="s">
        <v>92</v>
      </c>
      <c r="B92" t="s">
        <v>1387</v>
      </c>
      <c r="C92" t="s">
        <v>1404</v>
      </c>
      <c r="D92" s="2">
        <v>46230.755486111106</v>
      </c>
      <c r="E92" s="2">
        <f t="shared" si="2"/>
        <v>46230</v>
      </c>
      <c r="F92" t="s">
        <v>1738</v>
      </c>
      <c r="G92">
        <f>_xlfn.XLOOKUP(A92,FTD!A:A,FTD!C:C)</f>
        <v>1000</v>
      </c>
      <c r="H92" cm="1">
        <f t="array" ref="H92">_xlfn.LET(
  _xlpm.s, TRIM(F92),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 t="str">
        <f>_xlfn.XLOOKUP(E92,Calendar!C:C,Calendar!B:B)</f>
        <v>Working Day</v>
      </c>
      <c r="M92" s="2">
        <v>46207</v>
      </c>
      <c r="N92" t="s">
        <v>1408</v>
      </c>
      <c r="O92" t="s">
        <v>1783</v>
      </c>
      <c r="P92">
        <v>1</v>
      </c>
      <c r="Q92" t="str">
        <f>_xlfn.XLOOKUP(N92,Attendance!F:F,Attendance!J:J)</f>
        <v>1</v>
      </c>
      <c r="R92">
        <f t="shared" si="3"/>
        <v>0</v>
      </c>
    </row>
    <row r="93" spans="1:18" x14ac:dyDescent="0.25">
      <c r="A93" t="s">
        <v>93</v>
      </c>
      <c r="B93" t="s">
        <v>1387</v>
      </c>
      <c r="C93" t="s">
        <v>1402</v>
      </c>
      <c r="D93" s="2">
        <v>46205.59920138889</v>
      </c>
      <c r="E93" s="2">
        <f t="shared" si="2"/>
        <v>46205</v>
      </c>
      <c r="F93" t="s">
        <v>1743</v>
      </c>
      <c r="G93">
        <f>_xlfn.XLOOKUP(A93,FTD!A:A,FTD!C:C)</f>
        <v>1000</v>
      </c>
      <c r="H93" cm="1">
        <f t="array" ref="H93">_xlfn.LET(
  _xlpm.s, TRIM(F93),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 t="str">
        <f>_xlfn.XLOOKUP(E93,Calendar!C:C,Calendar!B:B)</f>
        <v>Working Day</v>
      </c>
      <c r="M93" s="2">
        <v>46208</v>
      </c>
      <c r="N93" t="s">
        <v>1388</v>
      </c>
      <c r="O93" t="s">
        <v>1784</v>
      </c>
      <c r="P93">
        <v>1</v>
      </c>
      <c r="Q93" t="str">
        <f>_xlfn.XLOOKUP(N93,Attendance!F:F,Attendance!J:J)</f>
        <v>Telegram</v>
      </c>
      <c r="R93">
        <f t="shared" si="3"/>
        <v>0</v>
      </c>
    </row>
    <row r="94" spans="1:18" x14ac:dyDescent="0.25">
      <c r="A94" t="s">
        <v>94</v>
      </c>
      <c r="B94" t="s">
        <v>1387</v>
      </c>
      <c r="C94" t="s">
        <v>1408</v>
      </c>
      <c r="D94" s="2">
        <v>46205.641979166663</v>
      </c>
      <c r="E94" s="2">
        <f t="shared" si="2"/>
        <v>46205</v>
      </c>
      <c r="F94" t="s">
        <v>1738</v>
      </c>
      <c r="G94">
        <f>_xlfn.XLOOKUP(A94,FTD!A:A,FTD!C:C)</f>
        <v>2000</v>
      </c>
      <c r="H94" cm="1">
        <f t="array" ref="H94">_xlfn.LET(
  _xlpm.s, TRIM(F94),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 t="str">
        <f>_xlfn.XLOOKUP(E94,Calendar!C:C,Calendar!B:B)</f>
        <v>Working Day</v>
      </c>
      <c r="M94" s="2">
        <v>46208</v>
      </c>
      <c r="N94" t="s">
        <v>1433</v>
      </c>
      <c r="O94" t="s">
        <v>1784</v>
      </c>
      <c r="P94">
        <v>1</v>
      </c>
      <c r="Q94" t="str">
        <f>_xlfn.XLOOKUP(N94,Attendance!F:F,Attendance!J:J)</f>
        <v>Meta</v>
      </c>
      <c r="R94">
        <f t="shared" si="3"/>
        <v>0</v>
      </c>
    </row>
    <row r="95" spans="1:18" x14ac:dyDescent="0.25">
      <c r="A95" t="s">
        <v>95</v>
      </c>
      <c r="B95" t="s">
        <v>1387</v>
      </c>
      <c r="C95" t="s">
        <v>1400</v>
      </c>
      <c r="D95" s="2">
        <v>46232.750185185185</v>
      </c>
      <c r="E95" s="2">
        <f t="shared" si="2"/>
        <v>46232</v>
      </c>
      <c r="F95" t="s">
        <v>1739</v>
      </c>
      <c r="G95">
        <f>_xlfn.XLOOKUP(A95,FTD!A:A,FTD!C:C)</f>
        <v>6000</v>
      </c>
      <c r="H95" cm="1">
        <f t="array" ref="H95">_xlfn.LET(
  _xlpm.s, TRIM(F95),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 t="str">
        <f>_xlfn.XLOOKUP(E95,Calendar!C:C,Calendar!B:B)</f>
        <v>Working Day</v>
      </c>
      <c r="M95" s="2">
        <v>46208</v>
      </c>
      <c r="N95" t="s">
        <v>1398</v>
      </c>
      <c r="O95" t="s">
        <v>1784</v>
      </c>
      <c r="P95">
        <v>2</v>
      </c>
      <c r="Q95" t="str">
        <f>_xlfn.XLOOKUP(N95,Attendance!F:F,Attendance!J:J)</f>
        <v>1</v>
      </c>
      <c r="R95">
        <f t="shared" si="3"/>
        <v>0</v>
      </c>
    </row>
    <row r="96" spans="1:18" x14ac:dyDescent="0.25">
      <c r="A96" t="s">
        <v>96</v>
      </c>
      <c r="B96" t="s">
        <v>1387</v>
      </c>
      <c r="C96" t="s">
        <v>1400</v>
      </c>
      <c r="D96" s="2">
        <v>46232.60802083333</v>
      </c>
      <c r="E96" s="2">
        <f t="shared" si="2"/>
        <v>46232</v>
      </c>
      <c r="F96" t="s">
        <v>1739</v>
      </c>
      <c r="G96">
        <f>_xlfn.XLOOKUP(A96,FTD!A:A,FTD!C:C)</f>
        <v>1000</v>
      </c>
      <c r="H96" cm="1">
        <f t="array" ref="H96">_xlfn.LET(
  _xlpm.s, TRIM(F96),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 t="str">
        <f>_xlfn.XLOOKUP(E96,Calendar!C:C,Calendar!B:B)</f>
        <v>Working Day</v>
      </c>
      <c r="M96" s="2">
        <v>46208</v>
      </c>
      <c r="N96" t="s">
        <v>1420</v>
      </c>
      <c r="O96" t="s">
        <v>1784</v>
      </c>
      <c r="P96">
        <v>1</v>
      </c>
      <c r="Q96" t="e">
        <f>_xlfn.XLOOKUP(N96,Attendance!F:F,Attendance!J:J)</f>
        <v>#N/A</v>
      </c>
      <c r="R96">
        <f t="shared" si="3"/>
        <v>0</v>
      </c>
    </row>
    <row r="97" spans="1:18" x14ac:dyDescent="0.25">
      <c r="A97" t="s">
        <v>97</v>
      </c>
      <c r="B97" t="s">
        <v>1387</v>
      </c>
      <c r="C97" t="s">
        <v>1399</v>
      </c>
      <c r="D97" s="2">
        <v>46225.419166666667</v>
      </c>
      <c r="E97" s="2">
        <f t="shared" si="2"/>
        <v>46225</v>
      </c>
      <c r="F97" t="s">
        <v>1741</v>
      </c>
      <c r="G97">
        <f>_xlfn.XLOOKUP(A97,FTD!A:A,FTD!C:C)</f>
        <v>1000</v>
      </c>
      <c r="H97" cm="1">
        <f t="array" ref="H97">_xlfn.LET(
  _xlpm.s, TRIM(F97),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 t="str">
        <f>_xlfn.XLOOKUP(E97,Calendar!C:C,Calendar!B:B)</f>
        <v>Working Day</v>
      </c>
      <c r="M97" s="2">
        <v>46208</v>
      </c>
      <c r="N97" t="s">
        <v>1389</v>
      </c>
      <c r="O97" t="s">
        <v>1784</v>
      </c>
      <c r="P97">
        <v>1</v>
      </c>
      <c r="Q97" t="str">
        <f>_xlfn.XLOOKUP(N97,Attendance!F:F,Attendance!J:J)</f>
        <v>Meta</v>
      </c>
      <c r="R97">
        <f t="shared" si="3"/>
        <v>0</v>
      </c>
    </row>
    <row r="98" spans="1:18" x14ac:dyDescent="0.25">
      <c r="A98" t="s">
        <v>98</v>
      </c>
      <c r="B98" t="s">
        <v>1387</v>
      </c>
      <c r="C98" t="s">
        <v>1419</v>
      </c>
      <c r="D98" s="2">
        <v>46204.830451388887</v>
      </c>
      <c r="E98" s="2">
        <f t="shared" si="2"/>
        <v>46204</v>
      </c>
      <c r="F98" t="s">
        <v>1744</v>
      </c>
      <c r="G98">
        <f>_xlfn.XLOOKUP(A98,FTD!A:A,FTD!C:C)</f>
        <v>1000</v>
      </c>
      <c r="H98" cm="1">
        <f t="array" ref="H98">_xlfn.LET(
  _xlpm.s, TRIM(F98),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 t="str">
        <f>_xlfn.XLOOKUP(E98,Calendar!C:C,Calendar!B:B)</f>
        <v>Working Day</v>
      </c>
      <c r="M98" s="2">
        <v>46208</v>
      </c>
      <c r="N98" t="s">
        <v>1397</v>
      </c>
      <c r="O98" t="s">
        <v>1784</v>
      </c>
      <c r="P98">
        <v>1</v>
      </c>
      <c r="Q98" t="str">
        <f>_xlfn.XLOOKUP(N98,Attendance!F:F,Attendance!J:J)</f>
        <v>Meta</v>
      </c>
      <c r="R98">
        <f t="shared" si="3"/>
        <v>0</v>
      </c>
    </row>
    <row r="99" spans="1:18" x14ac:dyDescent="0.25">
      <c r="A99" t="s">
        <v>99</v>
      </c>
      <c r="B99" t="s">
        <v>1387</v>
      </c>
      <c r="C99" t="s">
        <v>1397</v>
      </c>
      <c r="D99" s="2">
        <v>46227.474594907406</v>
      </c>
      <c r="E99" s="2">
        <f t="shared" si="2"/>
        <v>46227</v>
      </c>
      <c r="F99" t="s">
        <v>1739</v>
      </c>
      <c r="G99">
        <f>_xlfn.XLOOKUP(A99,FTD!A:A,FTD!C:C)</f>
        <v>10000</v>
      </c>
      <c r="H99" cm="1">
        <f t="array" ref="H99">_xlfn.LET(
  _xlpm.s, TRIM(F99),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9" t="str">
        <f>_xlfn.XLOOKUP(E99,Calendar!C:C,Calendar!B:B)</f>
        <v>Working Day</v>
      </c>
      <c r="M99" s="2">
        <v>46208</v>
      </c>
      <c r="N99" t="s">
        <v>1396</v>
      </c>
      <c r="O99" t="s">
        <v>1784</v>
      </c>
      <c r="P99">
        <v>1</v>
      </c>
      <c r="Q99" t="str">
        <f>_xlfn.XLOOKUP(N99,Attendance!F:F,Attendance!J:J)</f>
        <v>Telegram</v>
      </c>
      <c r="R99">
        <f t="shared" si="3"/>
        <v>0</v>
      </c>
    </row>
    <row r="100" spans="1:18" x14ac:dyDescent="0.25">
      <c r="A100" t="s">
        <v>100</v>
      </c>
      <c r="B100" t="s">
        <v>1387</v>
      </c>
      <c r="C100" t="s">
        <v>1412</v>
      </c>
      <c r="D100" s="2">
        <v>46222.456238425926</v>
      </c>
      <c r="E100" s="2">
        <f t="shared" si="2"/>
        <v>46222</v>
      </c>
      <c r="F100" t="s">
        <v>1749</v>
      </c>
      <c r="G100">
        <f>_xlfn.XLOOKUP(A100,FTD!A:A,FTD!C:C)</f>
        <v>4000</v>
      </c>
      <c r="H100" cm="1">
        <f t="array" ref="H100">_xlfn.LET(
  _xlpm.s, TRIM(F100),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0" t="str">
        <f>_xlfn.XLOOKUP(E100,Calendar!C:C,Calendar!B:B)</f>
        <v>Sunday</v>
      </c>
      <c r="M100" s="2">
        <v>46208</v>
      </c>
      <c r="N100" t="s">
        <v>1412</v>
      </c>
      <c r="O100" t="s">
        <v>1784</v>
      </c>
      <c r="P100">
        <v>1</v>
      </c>
      <c r="Q100" t="str">
        <f>_xlfn.XLOOKUP(N100,Attendance!F:F,Attendance!J:J)</f>
        <v>1</v>
      </c>
      <c r="R100">
        <f t="shared" si="3"/>
        <v>0</v>
      </c>
    </row>
    <row r="101" spans="1:18" x14ac:dyDescent="0.25">
      <c r="A101" t="s">
        <v>101</v>
      </c>
      <c r="B101" t="s">
        <v>1387</v>
      </c>
      <c r="C101" t="s">
        <v>1400</v>
      </c>
      <c r="D101" s="2">
        <v>46218.622581018513</v>
      </c>
      <c r="E101" s="2">
        <f t="shared" si="2"/>
        <v>46218</v>
      </c>
      <c r="F101" t="s">
        <v>1743</v>
      </c>
      <c r="G101">
        <f>_xlfn.XLOOKUP(A101,FTD!A:A,FTD!C:C)</f>
        <v>1000</v>
      </c>
      <c r="H101" cm="1">
        <f t="array" ref="H101">_xlfn.LET(
  _xlpm.s, TRIM(F101),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 t="str">
        <f>_xlfn.XLOOKUP(E101,Calendar!C:C,Calendar!B:B)</f>
        <v>Working Day</v>
      </c>
      <c r="M101" s="2">
        <v>46208</v>
      </c>
      <c r="N101" t="s">
        <v>1404</v>
      </c>
      <c r="O101" t="s">
        <v>1784</v>
      </c>
      <c r="P101">
        <v>1</v>
      </c>
      <c r="Q101" t="str">
        <f>_xlfn.XLOOKUP(N101,Attendance!F:F,Attendance!J:J)</f>
        <v>OLD OJT</v>
      </c>
      <c r="R101">
        <f t="shared" si="3"/>
        <v>0</v>
      </c>
    </row>
    <row r="102" spans="1:18" x14ac:dyDescent="0.25">
      <c r="A102" t="s">
        <v>102</v>
      </c>
      <c r="B102" t="s">
        <v>1387</v>
      </c>
      <c r="C102" t="s">
        <v>1402</v>
      </c>
      <c r="D102" s="2">
        <v>46225.552731481483</v>
      </c>
      <c r="E102" s="2">
        <f t="shared" si="2"/>
        <v>46225</v>
      </c>
      <c r="F102" t="s">
        <v>1738</v>
      </c>
      <c r="G102">
        <f>_xlfn.XLOOKUP(A102,FTD!A:A,FTD!C:C)</f>
        <v>1000</v>
      </c>
      <c r="H102" cm="1">
        <f t="array" ref="H102">_xlfn.LET(
  _xlpm.s, TRIM(F102),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2" t="str">
        <f>_xlfn.XLOOKUP(E102,Calendar!C:C,Calendar!B:B)</f>
        <v>Working Day</v>
      </c>
      <c r="M102" s="2">
        <v>46208</v>
      </c>
      <c r="N102" t="s">
        <v>1402</v>
      </c>
      <c r="O102" t="s">
        <v>1784</v>
      </c>
      <c r="P102">
        <v>1</v>
      </c>
      <c r="Q102" t="str">
        <f>_xlfn.XLOOKUP(N102,Attendance!F:F,Attendance!J:J)</f>
        <v>1</v>
      </c>
      <c r="R102">
        <f t="shared" si="3"/>
        <v>0</v>
      </c>
    </row>
    <row r="103" spans="1:18" x14ac:dyDescent="0.25">
      <c r="A103" t="s">
        <v>103</v>
      </c>
      <c r="B103" t="s">
        <v>1387</v>
      </c>
      <c r="C103" t="s">
        <v>1398</v>
      </c>
      <c r="D103" s="2">
        <v>46219.400763888887</v>
      </c>
      <c r="E103" s="2">
        <f t="shared" si="2"/>
        <v>46219</v>
      </c>
      <c r="F103" t="s">
        <v>1738</v>
      </c>
      <c r="G103">
        <f>_xlfn.XLOOKUP(A103,FTD!A:A,FTD!C:C)</f>
        <v>5999</v>
      </c>
      <c r="H103" cm="1">
        <f t="array" ref="H103">_xlfn.LET(
  _xlpm.s, TRIM(F103),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 t="str">
        <f>_xlfn.XLOOKUP(E103,Calendar!C:C,Calendar!B:B)</f>
        <v>Working Day</v>
      </c>
      <c r="M103" s="2">
        <v>46208</v>
      </c>
      <c r="N103" t="s">
        <v>1393</v>
      </c>
      <c r="O103" t="s">
        <v>1784</v>
      </c>
      <c r="P103">
        <v>1</v>
      </c>
      <c r="Q103" t="str">
        <f>_xlfn.XLOOKUP(N103,Attendance!F:F,Attendance!J:J)</f>
        <v>Dialer</v>
      </c>
      <c r="R103">
        <f t="shared" si="3"/>
        <v>0</v>
      </c>
    </row>
    <row r="104" spans="1:18" x14ac:dyDescent="0.25">
      <c r="A104" t="s">
        <v>104</v>
      </c>
      <c r="B104" t="s">
        <v>1387</v>
      </c>
      <c r="C104" t="s">
        <v>1420</v>
      </c>
      <c r="D104" s="2">
        <v>46214.594722222224</v>
      </c>
      <c r="E104" s="2">
        <f t="shared" si="2"/>
        <v>46214</v>
      </c>
      <c r="F104" t="s">
        <v>1743</v>
      </c>
      <c r="G104">
        <f>_xlfn.XLOOKUP(A104,FTD!A:A,FTD!C:C)</f>
        <v>1000</v>
      </c>
      <c r="H104" cm="1">
        <f t="array" ref="H104">_xlfn.LET(
  _xlpm.s, TRIM(F104),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 t="str">
        <f>_xlfn.XLOOKUP(E104,Calendar!C:C,Calendar!B:B)</f>
        <v>Saturday</v>
      </c>
      <c r="M104" s="2">
        <v>46208</v>
      </c>
      <c r="N104" t="s">
        <v>1390</v>
      </c>
      <c r="O104" t="s">
        <v>1784</v>
      </c>
      <c r="P104">
        <v>1</v>
      </c>
      <c r="Q104" t="str">
        <f>_xlfn.XLOOKUP(N104,Attendance!F:F,Attendance!J:J)</f>
        <v>Meta</v>
      </c>
      <c r="R104">
        <f t="shared" si="3"/>
        <v>0</v>
      </c>
    </row>
    <row r="105" spans="1:18" x14ac:dyDescent="0.25">
      <c r="A105" t="s">
        <v>105</v>
      </c>
      <c r="B105" t="s">
        <v>1387</v>
      </c>
      <c r="C105" t="s">
        <v>1408</v>
      </c>
      <c r="D105" s="2">
        <v>46213.922384259255</v>
      </c>
      <c r="E105" s="2">
        <f t="shared" si="2"/>
        <v>46213</v>
      </c>
      <c r="F105" t="s">
        <v>1739</v>
      </c>
      <c r="G105">
        <f>_xlfn.XLOOKUP(A105,FTD!A:A,FTD!C:C)</f>
        <v>1000</v>
      </c>
      <c r="H105" cm="1">
        <f t="array" ref="H105">_xlfn.LET(
  _xlpm.s, TRIM(F105),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5" t="str">
        <f>_xlfn.XLOOKUP(E105,Calendar!C:C,Calendar!B:B)</f>
        <v>Working Day</v>
      </c>
      <c r="M105" s="2">
        <v>46208</v>
      </c>
      <c r="N105" t="s">
        <v>1428</v>
      </c>
      <c r="O105" t="s">
        <v>1784</v>
      </c>
      <c r="P105">
        <v>1</v>
      </c>
      <c r="Q105" t="str">
        <f>_xlfn.XLOOKUP(N105,Attendance!F:F,Attendance!J:J)</f>
        <v>OLD OJT</v>
      </c>
      <c r="R105">
        <f t="shared" si="3"/>
        <v>0</v>
      </c>
    </row>
    <row r="106" spans="1:18" x14ac:dyDescent="0.25">
      <c r="A106" t="s">
        <v>106</v>
      </c>
      <c r="B106" t="s">
        <v>1387</v>
      </c>
      <c r="C106" t="s">
        <v>1412</v>
      </c>
      <c r="D106" s="2">
        <v>46211.798773148148</v>
      </c>
      <c r="E106" s="2">
        <f t="shared" si="2"/>
        <v>46211</v>
      </c>
      <c r="F106" t="s">
        <v>1738</v>
      </c>
      <c r="G106">
        <f>_xlfn.XLOOKUP(A106,FTD!A:A,FTD!C:C)</f>
        <v>1100</v>
      </c>
      <c r="H106" cm="1">
        <f t="array" ref="H106">_xlfn.LET(
  _xlpm.s, TRIM(F106),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 t="str">
        <f>_xlfn.XLOOKUP(E106,Calendar!C:C,Calendar!B:B)</f>
        <v>Working Day</v>
      </c>
      <c r="M106" s="2">
        <v>46208</v>
      </c>
      <c r="N106" t="s">
        <v>1408</v>
      </c>
      <c r="O106" t="s">
        <v>1784</v>
      </c>
      <c r="P106">
        <v>2</v>
      </c>
      <c r="Q106" t="str">
        <f>_xlfn.XLOOKUP(N106,Attendance!F:F,Attendance!J:J)</f>
        <v>1</v>
      </c>
      <c r="R106">
        <f t="shared" si="3"/>
        <v>0</v>
      </c>
    </row>
    <row r="107" spans="1:18" x14ac:dyDescent="0.25">
      <c r="A107" t="s">
        <v>107</v>
      </c>
      <c r="B107" t="s">
        <v>1387</v>
      </c>
      <c r="C107" t="s">
        <v>1421</v>
      </c>
      <c r="D107" s="2">
        <v>46218.905902777777</v>
      </c>
      <c r="E107" s="2">
        <f t="shared" si="2"/>
        <v>46218</v>
      </c>
      <c r="F107" t="s">
        <v>1743</v>
      </c>
      <c r="G107">
        <f>_xlfn.XLOOKUP(A107,FTD!A:A,FTD!C:C)</f>
        <v>1000</v>
      </c>
      <c r="H107" cm="1">
        <f t="array" ref="H107">_xlfn.LET(
  _xlpm.s, TRIM(F107),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7" t="str">
        <f>_xlfn.XLOOKUP(E107,Calendar!C:C,Calendar!B:B)</f>
        <v>Working Day</v>
      </c>
      <c r="M107" s="2">
        <v>46209</v>
      </c>
      <c r="N107" t="s">
        <v>1403</v>
      </c>
      <c r="O107" t="s">
        <v>1789</v>
      </c>
      <c r="P107">
        <v>1</v>
      </c>
      <c r="Q107" t="str">
        <f>_xlfn.XLOOKUP(N107,Attendance!F:F,Attendance!J:J)</f>
        <v>Meta</v>
      </c>
      <c r="R107">
        <f t="shared" si="3"/>
        <v>0</v>
      </c>
    </row>
    <row r="108" spans="1:18" x14ac:dyDescent="0.25">
      <c r="A108" t="s">
        <v>108</v>
      </c>
      <c r="B108" t="s">
        <v>1387</v>
      </c>
      <c r="C108" t="s">
        <v>1406</v>
      </c>
      <c r="D108" s="2">
        <v>46226.484409722223</v>
      </c>
      <c r="E108" s="2">
        <f t="shared" si="2"/>
        <v>46226</v>
      </c>
      <c r="F108" t="s">
        <v>1738</v>
      </c>
      <c r="G108">
        <f>_xlfn.XLOOKUP(A108,FTD!A:A,FTD!C:C)</f>
        <v>2000</v>
      </c>
      <c r="H108" cm="1">
        <f t="array" ref="H108">_xlfn.LET(
  _xlpm.s, TRIM(F108),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 t="str">
        <f>_xlfn.XLOOKUP(E108,Calendar!C:C,Calendar!B:B)</f>
        <v>Working Day</v>
      </c>
      <c r="M108" s="2">
        <v>46209</v>
      </c>
      <c r="N108" t="s">
        <v>1436</v>
      </c>
      <c r="O108" t="s">
        <v>1789</v>
      </c>
      <c r="P108">
        <v>1</v>
      </c>
      <c r="Q108" t="str">
        <f>_xlfn.XLOOKUP(N108,Attendance!F:F,Attendance!J:J)</f>
        <v>Telegram</v>
      </c>
      <c r="R108">
        <f t="shared" si="3"/>
        <v>0</v>
      </c>
    </row>
    <row r="109" spans="1:18" x14ac:dyDescent="0.25">
      <c r="A109" t="s">
        <v>109</v>
      </c>
      <c r="B109" t="s">
        <v>1387</v>
      </c>
      <c r="C109" t="s">
        <v>1405</v>
      </c>
      <c r="D109" s="2">
        <v>46218.546527777777</v>
      </c>
      <c r="E109" s="2">
        <f t="shared" si="2"/>
        <v>46218</v>
      </c>
      <c r="F109" t="s">
        <v>1738</v>
      </c>
      <c r="G109">
        <f>_xlfn.XLOOKUP(A109,FTD!A:A,FTD!C:C)</f>
        <v>1600</v>
      </c>
      <c r="H109" cm="1">
        <f t="array" ref="H109">_xlfn.LET(
  _xlpm.s, TRIM(F109),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 t="str">
        <f>_xlfn.XLOOKUP(E109,Calendar!C:C,Calendar!B:B)</f>
        <v>Working Day</v>
      </c>
      <c r="M109" s="2">
        <v>46209</v>
      </c>
      <c r="N109" t="s">
        <v>1415</v>
      </c>
      <c r="O109" t="s">
        <v>1789</v>
      </c>
      <c r="P109">
        <v>2</v>
      </c>
      <c r="Q109" t="str">
        <f>_xlfn.XLOOKUP(N109,Attendance!F:F,Attendance!J:J)</f>
        <v>Meta</v>
      </c>
      <c r="R109">
        <f t="shared" si="3"/>
        <v>0</v>
      </c>
    </row>
    <row r="110" spans="1:18" x14ac:dyDescent="0.25">
      <c r="A110" t="s">
        <v>110</v>
      </c>
      <c r="B110" t="s">
        <v>1387</v>
      </c>
      <c r="C110" t="s">
        <v>1408</v>
      </c>
      <c r="D110" s="2">
        <v>46233.475335648145</v>
      </c>
      <c r="E110" s="2">
        <f t="shared" si="2"/>
        <v>46233</v>
      </c>
      <c r="F110" t="s">
        <v>1738</v>
      </c>
      <c r="G110">
        <f>_xlfn.XLOOKUP(A110,FTD!A:A,FTD!C:C)</f>
        <v>65000</v>
      </c>
      <c r="H110" cm="1">
        <f t="array" ref="H110">_xlfn.LET(
  _xlpm.s, TRIM(F110),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 t="str">
        <f>_xlfn.XLOOKUP(E110,Calendar!C:C,Calendar!B:B)</f>
        <v>Working Day</v>
      </c>
      <c r="M110" s="2">
        <v>46209</v>
      </c>
      <c r="N110" t="s">
        <v>1433</v>
      </c>
      <c r="O110" t="s">
        <v>1789</v>
      </c>
      <c r="P110">
        <v>5</v>
      </c>
      <c r="Q110" t="str">
        <f>_xlfn.XLOOKUP(N110,Attendance!F:F,Attendance!J:J)</f>
        <v>Meta</v>
      </c>
      <c r="R110">
        <f t="shared" si="3"/>
        <v>400</v>
      </c>
    </row>
    <row r="111" spans="1:18" x14ac:dyDescent="0.25">
      <c r="A111" t="s">
        <v>111</v>
      </c>
      <c r="B111" t="s">
        <v>1387</v>
      </c>
      <c r="C111" t="s">
        <v>1402</v>
      </c>
      <c r="D111" s="2">
        <v>46224.434606481482</v>
      </c>
      <c r="E111" s="2">
        <f t="shared" si="2"/>
        <v>46224</v>
      </c>
      <c r="F111" t="s">
        <v>1738</v>
      </c>
      <c r="G111">
        <f>_xlfn.XLOOKUP(A111,FTD!A:A,FTD!C:C)</f>
        <v>2500</v>
      </c>
      <c r="H111" cm="1">
        <f t="array" ref="H111">_xlfn.LET(
  _xlpm.s, TRIM(F111),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 t="str">
        <f>_xlfn.XLOOKUP(E111,Calendar!C:C,Calendar!B:B)</f>
        <v>Working Day</v>
      </c>
      <c r="M111" s="2">
        <v>46209</v>
      </c>
      <c r="N111" t="s">
        <v>1398</v>
      </c>
      <c r="O111" t="s">
        <v>1789</v>
      </c>
      <c r="P111">
        <v>3</v>
      </c>
      <c r="Q111" t="str">
        <f>_xlfn.XLOOKUP(N111,Attendance!F:F,Attendance!J:J)</f>
        <v>1</v>
      </c>
      <c r="R111">
        <f t="shared" si="3"/>
        <v>0</v>
      </c>
    </row>
    <row r="112" spans="1:18" x14ac:dyDescent="0.25">
      <c r="A112" t="s">
        <v>112</v>
      </c>
      <c r="B112" t="s">
        <v>1387</v>
      </c>
      <c r="C112" t="s">
        <v>1389</v>
      </c>
      <c r="D112" s="2">
        <v>46225.411527777775</v>
      </c>
      <c r="E112" s="2">
        <f t="shared" si="2"/>
        <v>46225</v>
      </c>
      <c r="F112" t="s">
        <v>81</v>
      </c>
      <c r="G112">
        <f>_xlfn.XLOOKUP(A112,FTD!A:A,FTD!C:C)</f>
        <v>2000</v>
      </c>
      <c r="H112" cm="1">
        <f t="array" ref="H112">_xlfn.LET(
  _xlpm.s, TRIM(F112),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2" t="str">
        <f>_xlfn.XLOOKUP(E112,Calendar!C:C,Calendar!B:B)</f>
        <v>Working Day</v>
      </c>
      <c r="M112" s="2">
        <v>46209</v>
      </c>
      <c r="N112" t="s">
        <v>1413</v>
      </c>
      <c r="O112" t="s">
        <v>1789</v>
      </c>
      <c r="P112">
        <v>2</v>
      </c>
      <c r="Q112" t="str">
        <f>_xlfn.XLOOKUP(N112,Attendance!F:F,Attendance!J:J)</f>
        <v>Dialer</v>
      </c>
      <c r="R112">
        <f t="shared" si="3"/>
        <v>0</v>
      </c>
    </row>
    <row r="113" spans="1:18" x14ac:dyDescent="0.25">
      <c r="A113" t="s">
        <v>113</v>
      </c>
      <c r="B113" t="s">
        <v>1387</v>
      </c>
      <c r="C113" t="s">
        <v>1406</v>
      </c>
      <c r="D113" s="2">
        <v>46213.820011574069</v>
      </c>
      <c r="E113" s="2">
        <f t="shared" si="2"/>
        <v>46213</v>
      </c>
      <c r="F113" t="s">
        <v>1739</v>
      </c>
      <c r="G113">
        <f>_xlfn.XLOOKUP(A113,FTD!A:A,FTD!C:C)</f>
        <v>1000</v>
      </c>
      <c r="H113" cm="1">
        <f t="array" ref="H113">_xlfn.LET(
  _xlpm.s, TRIM(F113),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3" t="str">
        <f>_xlfn.XLOOKUP(E113,Calendar!C:C,Calendar!B:B)</f>
        <v>Working Day</v>
      </c>
      <c r="M113" s="2">
        <v>46209</v>
      </c>
      <c r="N113" t="s">
        <v>1389</v>
      </c>
      <c r="O113" t="s">
        <v>1789</v>
      </c>
      <c r="P113">
        <v>1</v>
      </c>
      <c r="Q113" t="str">
        <f>_xlfn.XLOOKUP(N113,Attendance!F:F,Attendance!J:J)</f>
        <v>Meta</v>
      </c>
      <c r="R113">
        <f t="shared" si="3"/>
        <v>0</v>
      </c>
    </row>
    <row r="114" spans="1:18" x14ac:dyDescent="0.25">
      <c r="A114" t="s">
        <v>114</v>
      </c>
      <c r="B114" t="s">
        <v>1387</v>
      </c>
      <c r="C114" t="s">
        <v>1402</v>
      </c>
      <c r="D114" s="2">
        <v>46226.408541666664</v>
      </c>
      <c r="E114" s="2">
        <f t="shared" si="2"/>
        <v>46226</v>
      </c>
      <c r="F114" t="s">
        <v>1738</v>
      </c>
      <c r="G114">
        <f>_xlfn.XLOOKUP(A114,FTD!A:A,FTD!C:C)</f>
        <v>40000</v>
      </c>
      <c r="H114" cm="1">
        <f t="array" ref="H114">_xlfn.LET(
  _xlpm.s, TRIM(F114),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4" t="str">
        <f>_xlfn.XLOOKUP(E114,Calendar!C:C,Calendar!B:B)</f>
        <v>Working Day</v>
      </c>
      <c r="M114" s="2">
        <v>46209</v>
      </c>
      <c r="N114" t="s">
        <v>1414</v>
      </c>
      <c r="O114" t="s">
        <v>1789</v>
      </c>
      <c r="P114">
        <v>1</v>
      </c>
      <c r="Q114" t="str">
        <f>_xlfn.XLOOKUP(N114,Attendance!F:F,Attendance!J:J)</f>
        <v>New OJT</v>
      </c>
      <c r="R114">
        <f t="shared" si="3"/>
        <v>0</v>
      </c>
    </row>
    <row r="115" spans="1:18" x14ac:dyDescent="0.25">
      <c r="A115" t="s">
        <v>115</v>
      </c>
      <c r="B115" t="s">
        <v>1384</v>
      </c>
      <c r="C115" t="s">
        <v>1400</v>
      </c>
      <c r="D115" s="2">
        <v>46209.388657407406</v>
      </c>
      <c r="E115" s="2">
        <f t="shared" si="2"/>
        <v>46209</v>
      </c>
      <c r="F115" t="s">
        <v>1738</v>
      </c>
      <c r="G115">
        <f>_xlfn.XLOOKUP(A115,FTD!A:A,FTD!C:C)</f>
        <v>1000</v>
      </c>
      <c r="H115" cm="1">
        <f t="array" ref="H115">_xlfn.LET(
  _xlpm.s, TRIM(F115),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 t="str">
        <f>_xlfn.XLOOKUP(E115,Calendar!C:C,Calendar!B:B)</f>
        <v>Working Day</v>
      </c>
      <c r="M115" s="2">
        <v>46209</v>
      </c>
      <c r="N115" t="s">
        <v>1417</v>
      </c>
      <c r="O115" t="s">
        <v>1789</v>
      </c>
      <c r="P115">
        <v>1</v>
      </c>
      <c r="Q115" t="str">
        <f>_xlfn.XLOOKUP(N115,Attendance!F:F,Attendance!J:J)</f>
        <v>Meta</v>
      </c>
      <c r="R115">
        <f t="shared" si="3"/>
        <v>0</v>
      </c>
    </row>
    <row r="116" spans="1:18" x14ac:dyDescent="0.25">
      <c r="A116" t="s">
        <v>116</v>
      </c>
      <c r="B116" t="s">
        <v>1384</v>
      </c>
      <c r="C116" t="s">
        <v>1400</v>
      </c>
      <c r="D116" s="2">
        <v>46232.861574074072</v>
      </c>
      <c r="E116" s="2">
        <f t="shared" si="2"/>
        <v>46232</v>
      </c>
      <c r="F116" t="s">
        <v>1741</v>
      </c>
      <c r="G116">
        <f>_xlfn.XLOOKUP(A116,FTD!A:A,FTD!C:C)</f>
        <v>10000</v>
      </c>
      <c r="H116" cm="1">
        <f t="array" ref="H116">_xlfn.LET(
  _xlpm.s, TRIM(F116),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 t="str">
        <f>_xlfn.XLOOKUP(E116,Calendar!C:C,Calendar!B:B)</f>
        <v>Working Day</v>
      </c>
      <c r="M116" s="2">
        <v>46209</v>
      </c>
      <c r="N116" t="s">
        <v>1400</v>
      </c>
      <c r="O116" t="s">
        <v>1789</v>
      </c>
      <c r="P116">
        <v>2</v>
      </c>
      <c r="Q116" t="str">
        <f>_xlfn.XLOOKUP(N116,Attendance!F:F,Attendance!J:J)</f>
        <v>Meta</v>
      </c>
      <c r="R116">
        <f t="shared" si="3"/>
        <v>0</v>
      </c>
    </row>
    <row r="117" spans="1:18" x14ac:dyDescent="0.25">
      <c r="A117" t="s">
        <v>117</v>
      </c>
      <c r="B117" t="s">
        <v>1384</v>
      </c>
      <c r="C117" t="s">
        <v>1392</v>
      </c>
      <c r="D117" s="2">
        <v>46217.487222222218</v>
      </c>
      <c r="E117" s="2">
        <f t="shared" si="2"/>
        <v>46217</v>
      </c>
      <c r="F117" t="s">
        <v>1738</v>
      </c>
      <c r="G117">
        <f>_xlfn.XLOOKUP(A117,FTD!A:A,FTD!C:C)</f>
        <v>1000</v>
      </c>
      <c r="H117" cm="1">
        <f t="array" ref="H117">_xlfn.LET(
  _xlpm.s, TRIM(F117),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 t="str">
        <f>_xlfn.XLOOKUP(E117,Calendar!C:C,Calendar!B:B)</f>
        <v>Working Day</v>
      </c>
      <c r="M117" s="2">
        <v>46209</v>
      </c>
      <c r="N117" t="s">
        <v>1397</v>
      </c>
      <c r="O117" t="s">
        <v>1789</v>
      </c>
      <c r="P117">
        <v>2</v>
      </c>
      <c r="Q117" t="str">
        <f>_xlfn.XLOOKUP(N117,Attendance!F:F,Attendance!J:J)</f>
        <v>Meta</v>
      </c>
      <c r="R117">
        <f t="shared" si="3"/>
        <v>0</v>
      </c>
    </row>
    <row r="118" spans="1:18" x14ac:dyDescent="0.25">
      <c r="A118" t="s">
        <v>118</v>
      </c>
      <c r="B118" t="s">
        <v>1384</v>
      </c>
      <c r="C118" t="s">
        <v>1400</v>
      </c>
      <c r="D118" s="2">
        <v>46231.411747685182</v>
      </c>
      <c r="E118" s="2">
        <f t="shared" si="2"/>
        <v>46231</v>
      </c>
      <c r="F118" t="s">
        <v>1738</v>
      </c>
      <c r="G118">
        <f>_xlfn.XLOOKUP(A118,FTD!A:A,FTD!C:C)</f>
        <v>126</v>
      </c>
      <c r="H118" cm="1">
        <f t="array" ref="H118">_xlfn.LET(
  _xlpm.s, TRIM(F118),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8" t="str">
        <f>_xlfn.XLOOKUP(E118,Calendar!C:C,Calendar!B:B)</f>
        <v>Working Day</v>
      </c>
      <c r="M118" s="2">
        <v>46209</v>
      </c>
      <c r="N118" t="s">
        <v>1401</v>
      </c>
      <c r="O118" t="s">
        <v>1789</v>
      </c>
      <c r="P118">
        <v>2</v>
      </c>
      <c r="Q118" t="str">
        <f>_xlfn.XLOOKUP(N118,Attendance!F:F,Attendance!J:J)</f>
        <v>OJT 2</v>
      </c>
      <c r="R118">
        <f t="shared" si="3"/>
        <v>0</v>
      </c>
    </row>
    <row r="119" spans="1:18" x14ac:dyDescent="0.25">
      <c r="A119" t="s">
        <v>119</v>
      </c>
      <c r="B119" t="s">
        <v>1384</v>
      </c>
      <c r="C119" t="s">
        <v>1399</v>
      </c>
      <c r="D119" s="2">
        <v>46215.204502314809</v>
      </c>
      <c r="E119" s="2">
        <f t="shared" si="2"/>
        <v>46215</v>
      </c>
      <c r="F119" t="s">
        <v>1750</v>
      </c>
      <c r="G119">
        <f>_xlfn.XLOOKUP(A119,FTD!A:A,FTD!C:C)</f>
        <v>2000</v>
      </c>
      <c r="H119" cm="1">
        <f t="array" ref="H119">_xlfn.LET(
  _xlpm.s, TRIM(F119),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9" t="str">
        <f>_xlfn.XLOOKUP(E119,Calendar!C:C,Calendar!B:B)</f>
        <v>Sunday</v>
      </c>
      <c r="M119" s="2">
        <v>46209</v>
      </c>
      <c r="N119" t="s">
        <v>1395</v>
      </c>
      <c r="O119" t="s">
        <v>1789</v>
      </c>
      <c r="P119">
        <v>1</v>
      </c>
      <c r="Q119" t="str">
        <f>_xlfn.XLOOKUP(N119,Attendance!F:F,Attendance!J:J)</f>
        <v>OJT 1</v>
      </c>
      <c r="R119">
        <f t="shared" si="3"/>
        <v>0</v>
      </c>
    </row>
    <row r="120" spans="1:18" x14ac:dyDescent="0.25">
      <c r="A120" t="s">
        <v>120</v>
      </c>
      <c r="B120" t="s">
        <v>1386</v>
      </c>
      <c r="C120" t="s">
        <v>1389</v>
      </c>
      <c r="D120" s="2">
        <v>46230.457372685181</v>
      </c>
      <c r="E120" s="2">
        <f t="shared" si="2"/>
        <v>46230</v>
      </c>
      <c r="F120" t="s">
        <v>1738</v>
      </c>
      <c r="G120">
        <f>_xlfn.XLOOKUP(A120,FTD!A:A,FTD!C:C)</f>
        <v>10000</v>
      </c>
      <c r="H120" cm="1">
        <f t="array" ref="H120">_xlfn.LET(
  _xlpm.s, TRIM(F120),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 t="str">
        <f>_xlfn.XLOOKUP(E120,Calendar!C:C,Calendar!B:B)</f>
        <v>Working Day</v>
      </c>
      <c r="M120" s="2">
        <v>46209</v>
      </c>
      <c r="N120" t="s">
        <v>1407</v>
      </c>
      <c r="O120" t="s">
        <v>1789</v>
      </c>
      <c r="P120">
        <v>1</v>
      </c>
      <c r="Q120" t="str">
        <f>_xlfn.XLOOKUP(N120,Attendance!F:F,Attendance!J:J)</f>
        <v>Meta</v>
      </c>
      <c r="R120">
        <f t="shared" si="3"/>
        <v>0</v>
      </c>
    </row>
    <row r="121" spans="1:18" x14ac:dyDescent="0.25">
      <c r="A121" t="s">
        <v>121</v>
      </c>
      <c r="B121" t="s">
        <v>1384</v>
      </c>
      <c r="C121" t="s">
        <v>1422</v>
      </c>
      <c r="D121" s="2">
        <v>46220.77444444444</v>
      </c>
      <c r="E121" s="2">
        <f t="shared" si="2"/>
        <v>46220</v>
      </c>
      <c r="F121" t="s">
        <v>1738</v>
      </c>
      <c r="G121">
        <f>_xlfn.XLOOKUP(A121,FTD!A:A,FTD!C:C)</f>
        <v>1205</v>
      </c>
      <c r="H121" cm="1">
        <f t="array" ref="H121">_xlfn.LET(
  _xlpm.s, TRIM(F121),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1" t="str">
        <f>_xlfn.XLOOKUP(E121,Calendar!C:C,Calendar!B:B)</f>
        <v>Working Day</v>
      </c>
      <c r="M121" s="2">
        <v>46209</v>
      </c>
      <c r="N121" t="s">
        <v>1396</v>
      </c>
      <c r="O121" t="s">
        <v>1789</v>
      </c>
      <c r="P121">
        <v>1</v>
      </c>
      <c r="Q121" t="str">
        <f>_xlfn.XLOOKUP(N121,Attendance!F:F,Attendance!J:J)</f>
        <v>Telegram</v>
      </c>
      <c r="R121">
        <f t="shared" si="3"/>
        <v>0</v>
      </c>
    </row>
    <row r="122" spans="1:18" x14ac:dyDescent="0.25">
      <c r="A122" t="s">
        <v>122</v>
      </c>
      <c r="B122" t="s">
        <v>1384</v>
      </c>
      <c r="C122" t="s">
        <v>1404</v>
      </c>
      <c r="D122" s="2">
        <v>46231.866180555553</v>
      </c>
      <c r="E122" s="2">
        <f t="shared" si="2"/>
        <v>46231</v>
      </c>
      <c r="F122" t="s">
        <v>1741</v>
      </c>
      <c r="G122">
        <f>_xlfn.XLOOKUP(A122,FTD!A:A,FTD!C:C)</f>
        <v>3000</v>
      </c>
      <c r="H122" cm="1">
        <f t="array" ref="H122">_xlfn.LET(
  _xlpm.s, TRIM(F122),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 t="str">
        <f>_xlfn.XLOOKUP(E122,Calendar!C:C,Calendar!B:B)</f>
        <v>Working Day</v>
      </c>
      <c r="M122" s="2">
        <v>46209</v>
      </c>
      <c r="N122" t="s">
        <v>1412</v>
      </c>
      <c r="O122" t="s">
        <v>1789</v>
      </c>
      <c r="P122">
        <v>6</v>
      </c>
      <c r="Q122" t="str">
        <f>_xlfn.XLOOKUP(N122,Attendance!F:F,Attendance!J:J)</f>
        <v>1</v>
      </c>
      <c r="R122">
        <f t="shared" si="3"/>
        <v>0</v>
      </c>
    </row>
    <row r="123" spans="1:18" x14ac:dyDescent="0.25">
      <c r="A123" t="s">
        <v>123</v>
      </c>
      <c r="B123" t="s">
        <v>1384</v>
      </c>
      <c r="C123" t="s">
        <v>1420</v>
      </c>
      <c r="D123" s="2">
        <v>46226.552581018514</v>
      </c>
      <c r="E123" s="2">
        <f t="shared" si="2"/>
        <v>46226</v>
      </c>
      <c r="F123" t="s">
        <v>1741</v>
      </c>
      <c r="G123">
        <f>_xlfn.XLOOKUP(A123,FTD!A:A,FTD!C:C)</f>
        <v>1000</v>
      </c>
      <c r="H123" cm="1">
        <f t="array" ref="H123">_xlfn.LET(
  _xlpm.s, TRIM(F123),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 t="str">
        <f>_xlfn.XLOOKUP(E123,Calendar!C:C,Calendar!B:B)</f>
        <v>Working Day</v>
      </c>
      <c r="M123" s="2">
        <v>46209</v>
      </c>
      <c r="N123" t="s">
        <v>1406</v>
      </c>
      <c r="O123" t="s">
        <v>1789</v>
      </c>
      <c r="P123">
        <v>3</v>
      </c>
      <c r="Q123" t="str">
        <f>_xlfn.XLOOKUP(N123,Attendance!F:F,Attendance!J:J)</f>
        <v>1</v>
      </c>
      <c r="R123">
        <f t="shared" si="3"/>
        <v>0</v>
      </c>
    </row>
    <row r="124" spans="1:18" x14ac:dyDescent="0.25">
      <c r="A124" t="s">
        <v>124</v>
      </c>
      <c r="B124" t="s">
        <v>1384</v>
      </c>
      <c r="C124" t="s">
        <v>1401</v>
      </c>
      <c r="D124" s="2">
        <v>46219.824872685182</v>
      </c>
      <c r="E124" s="2">
        <f t="shared" si="2"/>
        <v>46219</v>
      </c>
      <c r="F124" t="s">
        <v>1740</v>
      </c>
      <c r="G124">
        <f>_xlfn.XLOOKUP(A124,FTD!A:A,FTD!C:C)</f>
        <v>1000</v>
      </c>
      <c r="H124" cm="1">
        <f t="array" ref="H124">_xlfn.LET(
  _xlpm.s, TRIM(F124),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4" t="str">
        <f>_xlfn.XLOOKUP(E124,Calendar!C:C,Calendar!B:B)</f>
        <v>Working Day</v>
      </c>
      <c r="M124" s="2">
        <v>46209</v>
      </c>
      <c r="N124" t="s">
        <v>1434</v>
      </c>
      <c r="O124" t="s">
        <v>1789</v>
      </c>
      <c r="P124">
        <v>1</v>
      </c>
      <c r="Q124" t="str">
        <f>_xlfn.XLOOKUP(N124,Attendance!F:F,Attendance!J:J)</f>
        <v>OJT 2</v>
      </c>
      <c r="R124">
        <f t="shared" si="3"/>
        <v>0</v>
      </c>
    </row>
    <row r="125" spans="1:18" x14ac:dyDescent="0.25">
      <c r="A125" t="s">
        <v>125</v>
      </c>
      <c r="B125" t="s">
        <v>1385</v>
      </c>
      <c r="C125" t="s">
        <v>1423</v>
      </c>
      <c r="D125" s="2">
        <v>46217.800636574073</v>
      </c>
      <c r="E125" s="2">
        <f t="shared" si="2"/>
        <v>46217</v>
      </c>
      <c r="F125" t="s">
        <v>1738</v>
      </c>
      <c r="G125">
        <f>_xlfn.XLOOKUP(A125,FTD!A:A,FTD!C:C)</f>
        <v>2000</v>
      </c>
      <c r="H125" cm="1">
        <f t="array" ref="H125">_xlfn.LET(
  _xlpm.s, TRIM(F125),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 t="str">
        <f>_xlfn.XLOOKUP(E125,Calendar!C:C,Calendar!B:B)</f>
        <v>Working Day</v>
      </c>
      <c r="M125" s="2">
        <v>46209</v>
      </c>
      <c r="N125" t="s">
        <v>1402</v>
      </c>
      <c r="O125" t="s">
        <v>1789</v>
      </c>
      <c r="P125">
        <v>2</v>
      </c>
      <c r="Q125" t="str">
        <f>_xlfn.XLOOKUP(N125,Attendance!F:F,Attendance!J:J)</f>
        <v>1</v>
      </c>
      <c r="R125">
        <f t="shared" si="3"/>
        <v>0</v>
      </c>
    </row>
    <row r="126" spans="1:18" x14ac:dyDescent="0.25">
      <c r="A126" t="s">
        <v>126</v>
      </c>
      <c r="B126" t="s">
        <v>1385</v>
      </c>
      <c r="C126" t="s">
        <v>1389</v>
      </c>
      <c r="D126" s="2">
        <v>46219.767152777778</v>
      </c>
      <c r="E126" s="2">
        <f t="shared" si="2"/>
        <v>46219</v>
      </c>
      <c r="F126" t="s">
        <v>1744</v>
      </c>
      <c r="G126">
        <f>_xlfn.XLOOKUP(A126,FTD!A:A,FTD!C:C)</f>
        <v>1000</v>
      </c>
      <c r="H126" cm="1">
        <f t="array" ref="H126">_xlfn.LET(
  _xlpm.s, TRIM(F126),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6" t="str">
        <f>_xlfn.XLOOKUP(E126,Calendar!C:C,Calendar!B:B)</f>
        <v>Working Day</v>
      </c>
      <c r="M126" s="2">
        <v>46209</v>
      </c>
      <c r="N126" t="s">
        <v>1425</v>
      </c>
      <c r="O126" t="s">
        <v>1789</v>
      </c>
      <c r="P126">
        <v>1</v>
      </c>
      <c r="Q126" t="str">
        <f>_xlfn.XLOOKUP(N126,Attendance!F:F,Attendance!J:J)</f>
        <v>OJT 1</v>
      </c>
      <c r="R126">
        <f t="shared" si="3"/>
        <v>0</v>
      </c>
    </row>
    <row r="127" spans="1:18" x14ac:dyDescent="0.25">
      <c r="A127" t="s">
        <v>127</v>
      </c>
      <c r="B127" t="s">
        <v>1384</v>
      </c>
      <c r="C127" t="s">
        <v>1424</v>
      </c>
      <c r="D127" s="2">
        <v>46207.872314814813</v>
      </c>
      <c r="E127" s="2">
        <f t="shared" si="2"/>
        <v>46207</v>
      </c>
      <c r="F127" t="s">
        <v>1738</v>
      </c>
      <c r="G127">
        <f>_xlfn.XLOOKUP(A127,FTD!A:A,FTD!C:C)</f>
        <v>1529</v>
      </c>
      <c r="H127" cm="1">
        <f t="array" ref="H127">_xlfn.LET(
  _xlpm.s, TRIM(F127),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 t="str">
        <f>_xlfn.XLOOKUP(E127,Calendar!C:C,Calendar!B:B)</f>
        <v>Saturday</v>
      </c>
      <c r="M127" s="2">
        <v>46209</v>
      </c>
      <c r="N127" t="s">
        <v>1391</v>
      </c>
      <c r="O127" t="s">
        <v>1789</v>
      </c>
      <c r="P127">
        <v>1</v>
      </c>
      <c r="Q127" t="str">
        <f>_xlfn.XLOOKUP(N127,Attendance!F:F,Attendance!J:J)</f>
        <v>Dialer</v>
      </c>
      <c r="R127">
        <f t="shared" si="3"/>
        <v>0</v>
      </c>
    </row>
    <row r="128" spans="1:18" x14ac:dyDescent="0.25">
      <c r="A128" t="s">
        <v>128</v>
      </c>
      <c r="B128" t="s">
        <v>1384</v>
      </c>
      <c r="C128" t="s">
        <v>1420</v>
      </c>
      <c r="D128" s="2">
        <v>46224.567060185182</v>
      </c>
      <c r="E128" s="2">
        <f t="shared" si="2"/>
        <v>46224</v>
      </c>
      <c r="F128" t="s">
        <v>1738</v>
      </c>
      <c r="G128">
        <f>_xlfn.XLOOKUP(A128,FTD!A:A,FTD!C:C)</f>
        <v>10000</v>
      </c>
      <c r="H128" cm="1">
        <f t="array" ref="H128">_xlfn.LET(
  _xlpm.s, TRIM(F128),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 t="str">
        <f>_xlfn.XLOOKUP(E128,Calendar!C:C,Calendar!B:B)</f>
        <v>Working Day</v>
      </c>
      <c r="M128" s="2">
        <v>46209</v>
      </c>
      <c r="N128" t="s">
        <v>1393</v>
      </c>
      <c r="O128" t="s">
        <v>1789</v>
      </c>
      <c r="P128">
        <v>1</v>
      </c>
      <c r="Q128" t="str">
        <f>_xlfn.XLOOKUP(N128,Attendance!F:F,Attendance!J:J)</f>
        <v>Dialer</v>
      </c>
      <c r="R128">
        <f t="shared" si="3"/>
        <v>0</v>
      </c>
    </row>
    <row r="129" spans="1:18" x14ac:dyDescent="0.25">
      <c r="A129" t="s">
        <v>129</v>
      </c>
      <c r="B129" t="s">
        <v>1384</v>
      </c>
      <c r="C129" t="s">
        <v>1400</v>
      </c>
      <c r="D129" s="2">
        <v>46223.419224537036</v>
      </c>
      <c r="E129" s="2">
        <f t="shared" si="2"/>
        <v>46223</v>
      </c>
      <c r="F129" t="s">
        <v>1741</v>
      </c>
      <c r="G129">
        <f>_xlfn.XLOOKUP(A129,FTD!A:A,FTD!C:C)</f>
        <v>14300</v>
      </c>
      <c r="H129" cm="1">
        <f t="array" ref="H129">_xlfn.LET(
  _xlpm.s, TRIM(F129),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 t="str">
        <f>_xlfn.XLOOKUP(E129,Calendar!C:C,Calendar!B:B)</f>
        <v>Working Day</v>
      </c>
      <c r="M129" s="2">
        <v>46209</v>
      </c>
      <c r="N129" t="s">
        <v>1390</v>
      </c>
      <c r="O129" t="s">
        <v>1789</v>
      </c>
      <c r="P129">
        <v>1</v>
      </c>
      <c r="Q129" t="str">
        <f>_xlfn.XLOOKUP(N129,Attendance!F:F,Attendance!J:J)</f>
        <v>Meta</v>
      </c>
      <c r="R129">
        <f t="shared" si="3"/>
        <v>0</v>
      </c>
    </row>
    <row r="130" spans="1:18" x14ac:dyDescent="0.25">
      <c r="A130" t="s">
        <v>130</v>
      </c>
      <c r="B130" t="s">
        <v>1384</v>
      </c>
      <c r="C130" t="s">
        <v>1389</v>
      </c>
      <c r="D130" s="2">
        <v>46206.836817129624</v>
      </c>
      <c r="E130" s="2">
        <f t="shared" si="2"/>
        <v>46206</v>
      </c>
      <c r="F130" t="s">
        <v>1738</v>
      </c>
      <c r="G130">
        <f>_xlfn.XLOOKUP(A130,FTD!A:A,FTD!C:C)</f>
        <v>1000</v>
      </c>
      <c r="H130" cm="1">
        <f t="array" ref="H130">_xlfn.LET(
  _xlpm.s, TRIM(F130),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0" t="str">
        <f>_xlfn.XLOOKUP(E130,Calendar!C:C,Calendar!B:B)</f>
        <v>Working Day</v>
      </c>
      <c r="M130" s="2">
        <v>46209</v>
      </c>
      <c r="N130" t="s">
        <v>1392</v>
      </c>
      <c r="O130" t="s">
        <v>1789</v>
      </c>
      <c r="P130">
        <v>1</v>
      </c>
      <c r="Q130" t="str">
        <f>_xlfn.XLOOKUP(N130,Attendance!F:F,Attendance!J:J)</f>
        <v>Telegram</v>
      </c>
      <c r="R130">
        <f t="shared" si="3"/>
        <v>0</v>
      </c>
    </row>
    <row r="131" spans="1:18" x14ac:dyDescent="0.25">
      <c r="A131" t="s">
        <v>131</v>
      </c>
      <c r="B131" t="s">
        <v>1387</v>
      </c>
      <c r="C131" t="s">
        <v>1412</v>
      </c>
      <c r="D131" s="2">
        <v>46225.774305555555</v>
      </c>
      <c r="E131" s="2">
        <f t="shared" ref="E131:E194" si="4">INT(D131)</f>
        <v>46225</v>
      </c>
      <c r="F131" t="s">
        <v>1738</v>
      </c>
      <c r="G131">
        <f>_xlfn.XLOOKUP(A131,FTD!A:A,FTD!C:C)</f>
        <v>1000</v>
      </c>
      <c r="H131" cm="1">
        <f t="array" ref="H131">_xlfn.LET(
  _xlpm.s, TRIM(F131),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 t="str">
        <f>_xlfn.XLOOKUP(E131,Calendar!C:C,Calendar!B:B)</f>
        <v>Working Day</v>
      </c>
      <c r="M131" s="2">
        <v>46209</v>
      </c>
      <c r="N131" t="s">
        <v>1421</v>
      </c>
      <c r="O131" t="s">
        <v>1789</v>
      </c>
      <c r="P131">
        <v>1</v>
      </c>
      <c r="Q131" t="str">
        <f>_xlfn.XLOOKUP(N131,Attendance!F:F,Attendance!J:J)</f>
        <v>OJT 1</v>
      </c>
      <c r="R131">
        <f t="shared" si="3"/>
        <v>0</v>
      </c>
    </row>
    <row r="132" spans="1:18" x14ac:dyDescent="0.25">
      <c r="A132" t="s">
        <v>132</v>
      </c>
      <c r="B132" t="s">
        <v>1387</v>
      </c>
      <c r="C132" t="s">
        <v>1408</v>
      </c>
      <c r="D132" s="2">
        <v>46224.867037037038</v>
      </c>
      <c r="E132" s="2">
        <f t="shared" si="4"/>
        <v>46224</v>
      </c>
      <c r="F132" t="s">
        <v>1738</v>
      </c>
      <c r="G132">
        <f>_xlfn.XLOOKUP(A132,FTD!A:A,FTD!C:C)</f>
        <v>1000</v>
      </c>
      <c r="H132" cm="1">
        <f t="array" ref="H132">_xlfn.LET(
  _xlpm.s, TRIM(F132),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 t="str">
        <f>_xlfn.XLOOKUP(E132,Calendar!C:C,Calendar!B:B)</f>
        <v>Working Day</v>
      </c>
      <c r="M132" s="2">
        <v>46209</v>
      </c>
      <c r="N132" t="s">
        <v>1410</v>
      </c>
      <c r="O132" t="s">
        <v>1789</v>
      </c>
      <c r="P132">
        <v>1</v>
      </c>
      <c r="Q132" t="str">
        <f>_xlfn.XLOOKUP(N132,Attendance!F:F,Attendance!J:J)</f>
        <v>New OJT</v>
      </c>
      <c r="R132">
        <f t="shared" ref="R132:R195" si="5">_xlfn.LET(
  _xlpm.pool, IFERROR(Q132&amp;"", ""),
  _xlpm.conv, IFERROR(--P132, 0),
  _xlpm.mkt,  O133="Working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133" spans="1:18" x14ac:dyDescent="0.25">
      <c r="A133" t="s">
        <v>133</v>
      </c>
      <c r="B133" t="s">
        <v>1387</v>
      </c>
      <c r="C133" t="s">
        <v>1425</v>
      </c>
      <c r="D133" s="2">
        <v>46204.483541666668</v>
      </c>
      <c r="E133" s="2">
        <f t="shared" si="4"/>
        <v>46204</v>
      </c>
      <c r="F133" t="s">
        <v>1738</v>
      </c>
      <c r="G133">
        <f>_xlfn.XLOOKUP(A133,FTD!A:A,FTD!C:C)</f>
        <v>9000</v>
      </c>
      <c r="H133" cm="1">
        <f t="array" ref="H133">_xlfn.LET(
  _xlpm.s, TRIM(F133),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 t="str">
        <f>_xlfn.XLOOKUP(E133,Calendar!C:C,Calendar!B:B)</f>
        <v>Working Day</v>
      </c>
      <c r="M133" s="2">
        <v>46209</v>
      </c>
      <c r="N133" t="s">
        <v>1409</v>
      </c>
      <c r="O133" t="s">
        <v>1789</v>
      </c>
      <c r="P133">
        <v>2</v>
      </c>
      <c r="Q133" t="str">
        <f>_xlfn.XLOOKUP(N133,Attendance!F:F,Attendance!J:J)</f>
        <v>Dialer</v>
      </c>
      <c r="R133">
        <f t="shared" si="5"/>
        <v>0</v>
      </c>
    </row>
    <row r="134" spans="1:18" x14ac:dyDescent="0.25">
      <c r="A134" t="s">
        <v>134</v>
      </c>
      <c r="B134" t="s">
        <v>1387</v>
      </c>
      <c r="C134" t="s">
        <v>1399</v>
      </c>
      <c r="D134" s="2">
        <v>46232.461666666662</v>
      </c>
      <c r="E134" s="2">
        <f t="shared" si="4"/>
        <v>46232</v>
      </c>
      <c r="F134" t="s">
        <v>1738</v>
      </c>
      <c r="G134">
        <f>_xlfn.XLOOKUP(A134,FTD!A:A,FTD!C:C)</f>
        <v>1000</v>
      </c>
      <c r="H134" cm="1">
        <f t="array" ref="H134">_xlfn.LET(
  _xlpm.s, TRIM(F134),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 t="str">
        <f>_xlfn.XLOOKUP(E134,Calendar!C:C,Calendar!B:B)</f>
        <v>Working Day</v>
      </c>
      <c r="M134" s="2">
        <v>46209</v>
      </c>
      <c r="N134" t="s">
        <v>1399</v>
      </c>
      <c r="O134" t="s">
        <v>1789</v>
      </c>
      <c r="P134">
        <v>2</v>
      </c>
      <c r="Q134" t="str">
        <f>_xlfn.XLOOKUP(N134,Attendance!F:F,Attendance!J:J)</f>
        <v>1</v>
      </c>
      <c r="R134">
        <f t="shared" si="5"/>
        <v>0</v>
      </c>
    </row>
    <row r="135" spans="1:18" x14ac:dyDescent="0.25">
      <c r="A135" t="s">
        <v>135</v>
      </c>
      <c r="B135" t="s">
        <v>1387</v>
      </c>
      <c r="C135" t="s">
        <v>1391</v>
      </c>
      <c r="D135" s="2">
        <v>46206.802199074074</v>
      </c>
      <c r="E135" s="2">
        <f t="shared" si="4"/>
        <v>46206</v>
      </c>
      <c r="F135" t="s">
        <v>1739</v>
      </c>
      <c r="G135">
        <f>_xlfn.XLOOKUP(A135,FTD!A:A,FTD!C:C)</f>
        <v>3500</v>
      </c>
      <c r="H135" cm="1">
        <f t="array" ref="H135">_xlfn.LET(
  _xlpm.s, TRIM(F135),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5" t="str">
        <f>_xlfn.XLOOKUP(E135,Calendar!C:C,Calendar!B:B)</f>
        <v>Working Day</v>
      </c>
      <c r="M135" s="2">
        <v>46209</v>
      </c>
      <c r="N135" t="s">
        <v>1418</v>
      </c>
      <c r="O135" t="s">
        <v>1789</v>
      </c>
      <c r="P135">
        <v>2</v>
      </c>
      <c r="Q135" t="str">
        <f>_xlfn.XLOOKUP(N135,Attendance!F:F,Attendance!J:J)</f>
        <v>OJT 1</v>
      </c>
      <c r="R135">
        <f t="shared" si="5"/>
        <v>0</v>
      </c>
    </row>
    <row r="136" spans="1:18" x14ac:dyDescent="0.25">
      <c r="A136" t="s">
        <v>136</v>
      </c>
      <c r="B136" t="s">
        <v>1387</v>
      </c>
      <c r="C136" t="s">
        <v>1400</v>
      </c>
      <c r="D136" s="2">
        <v>46206.473923611113</v>
      </c>
      <c r="E136" s="2">
        <f t="shared" si="4"/>
        <v>46206</v>
      </c>
      <c r="F136" t="s">
        <v>1751</v>
      </c>
      <c r="G136">
        <f>_xlfn.XLOOKUP(A136,FTD!A:A,FTD!C:C)</f>
        <v>1000</v>
      </c>
      <c r="H136" cm="1">
        <f t="array" ref="H136">_xlfn.LET(
  _xlpm.s, TRIM(F136),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36" t="str">
        <f>_xlfn.XLOOKUP(E136,Calendar!C:C,Calendar!B:B)</f>
        <v>Working Day</v>
      </c>
      <c r="M136" s="2">
        <v>46209</v>
      </c>
      <c r="N136" t="s">
        <v>1428</v>
      </c>
      <c r="O136" t="s">
        <v>1789</v>
      </c>
      <c r="P136">
        <v>2</v>
      </c>
      <c r="Q136" t="str">
        <f>_xlfn.XLOOKUP(N136,Attendance!F:F,Attendance!J:J)</f>
        <v>OLD OJT</v>
      </c>
      <c r="R136">
        <f t="shared" si="5"/>
        <v>0</v>
      </c>
    </row>
    <row r="137" spans="1:18" x14ac:dyDescent="0.25">
      <c r="A137" t="s">
        <v>137</v>
      </c>
      <c r="B137" t="s">
        <v>1387</v>
      </c>
      <c r="C137" t="s">
        <v>1415</v>
      </c>
      <c r="D137" s="2">
        <v>46223.77575231481</v>
      </c>
      <c r="E137" s="2">
        <f t="shared" si="4"/>
        <v>46223</v>
      </c>
      <c r="F137" t="s">
        <v>1743</v>
      </c>
      <c r="G137">
        <f>_xlfn.XLOOKUP(A137,FTD!A:A,FTD!C:C)</f>
        <v>1000</v>
      </c>
      <c r="H137" cm="1">
        <f t="array" ref="H137">_xlfn.LET(
  _xlpm.s, TRIM(F137),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 t="str">
        <f>_xlfn.XLOOKUP(E137,Calendar!C:C,Calendar!B:B)</f>
        <v>Working Day</v>
      </c>
      <c r="M137" s="2">
        <v>46209</v>
      </c>
      <c r="N137" t="s">
        <v>1408</v>
      </c>
      <c r="O137" t="s">
        <v>1789</v>
      </c>
      <c r="P137">
        <v>10</v>
      </c>
      <c r="Q137" t="str">
        <f>_xlfn.XLOOKUP(N137,Attendance!F:F,Attendance!J:J)</f>
        <v>1</v>
      </c>
      <c r="R137">
        <f t="shared" si="5"/>
        <v>300</v>
      </c>
    </row>
    <row r="138" spans="1:18" x14ac:dyDescent="0.25">
      <c r="A138" t="s">
        <v>138</v>
      </c>
      <c r="B138" t="s">
        <v>1387</v>
      </c>
      <c r="C138" t="s">
        <v>1417</v>
      </c>
      <c r="D138" s="2">
        <v>46212.80704861111</v>
      </c>
      <c r="E138" s="2">
        <f t="shared" si="4"/>
        <v>46212</v>
      </c>
      <c r="F138" t="s">
        <v>1743</v>
      </c>
      <c r="G138">
        <f>_xlfn.XLOOKUP(A138,FTD!A:A,FTD!C:C)</f>
        <v>1000</v>
      </c>
      <c r="H138" cm="1">
        <f t="array" ref="H138">_xlfn.LET(
  _xlpm.s, TRIM(F138),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8" t="str">
        <f>_xlfn.XLOOKUP(E138,Calendar!C:C,Calendar!B:B)</f>
        <v>Working Day</v>
      </c>
      <c r="M138" s="2">
        <v>46210</v>
      </c>
      <c r="N138" t="s">
        <v>1436</v>
      </c>
      <c r="O138" t="s">
        <v>1789</v>
      </c>
      <c r="P138">
        <v>1</v>
      </c>
      <c r="Q138" t="str">
        <f>_xlfn.XLOOKUP(N138,Attendance!F:F,Attendance!J:J)</f>
        <v>Telegram</v>
      </c>
      <c r="R138">
        <f t="shared" si="5"/>
        <v>0</v>
      </c>
    </row>
    <row r="139" spans="1:18" x14ac:dyDescent="0.25">
      <c r="A139" t="s">
        <v>139</v>
      </c>
      <c r="B139" t="s">
        <v>1387</v>
      </c>
      <c r="C139" t="s">
        <v>1401</v>
      </c>
      <c r="D139" s="2">
        <v>46212.397789351853</v>
      </c>
      <c r="E139" s="2">
        <f t="shared" si="4"/>
        <v>46212</v>
      </c>
      <c r="F139" t="s">
        <v>1739</v>
      </c>
      <c r="G139">
        <f>_xlfn.XLOOKUP(A139,FTD!A:A,FTD!C:C)</f>
        <v>2000</v>
      </c>
      <c r="H139" cm="1">
        <f t="array" ref="H139">_xlfn.LET(
  _xlpm.s, TRIM(F139),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9" t="str">
        <f>_xlfn.XLOOKUP(E139,Calendar!C:C,Calendar!B:B)</f>
        <v>Working Day</v>
      </c>
      <c r="M139" s="2">
        <v>46210</v>
      </c>
      <c r="N139" t="s">
        <v>1388</v>
      </c>
      <c r="O139" t="s">
        <v>1789</v>
      </c>
      <c r="P139">
        <v>1</v>
      </c>
      <c r="Q139" t="str">
        <f>_xlfn.XLOOKUP(N139,Attendance!F:F,Attendance!J:J)</f>
        <v>Telegram</v>
      </c>
      <c r="R139">
        <f t="shared" si="5"/>
        <v>0</v>
      </c>
    </row>
    <row r="140" spans="1:18" x14ac:dyDescent="0.25">
      <c r="A140" t="s">
        <v>140</v>
      </c>
      <c r="B140" t="s">
        <v>1387</v>
      </c>
      <c r="C140" t="s">
        <v>1412</v>
      </c>
      <c r="D140" s="2">
        <v>46212.611296296294</v>
      </c>
      <c r="E140" s="2">
        <f t="shared" si="4"/>
        <v>46212</v>
      </c>
      <c r="F140" t="s">
        <v>1738</v>
      </c>
      <c r="G140">
        <f>_xlfn.XLOOKUP(A140,FTD!A:A,FTD!C:C)</f>
        <v>4000</v>
      </c>
      <c r="H140" cm="1">
        <f t="array" ref="H140">_xlfn.LET(
  _xlpm.s, TRIM(F140),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0" t="str">
        <f>_xlfn.XLOOKUP(E140,Calendar!C:C,Calendar!B:B)</f>
        <v>Working Day</v>
      </c>
      <c r="M140" s="2">
        <v>46210</v>
      </c>
      <c r="N140" t="s">
        <v>1433</v>
      </c>
      <c r="O140" t="s">
        <v>1789</v>
      </c>
      <c r="P140">
        <v>1</v>
      </c>
      <c r="Q140" t="str">
        <f>_xlfn.XLOOKUP(N140,Attendance!F:F,Attendance!J:J)</f>
        <v>Meta</v>
      </c>
      <c r="R140">
        <f t="shared" si="5"/>
        <v>0</v>
      </c>
    </row>
    <row r="141" spans="1:18" x14ac:dyDescent="0.25">
      <c r="A141" t="s">
        <v>141</v>
      </c>
      <c r="B141" t="s">
        <v>1387</v>
      </c>
      <c r="C141" t="s">
        <v>1391</v>
      </c>
      <c r="D141" s="2">
        <v>46233.435555555552</v>
      </c>
      <c r="E141" s="2">
        <f t="shared" si="4"/>
        <v>46233</v>
      </c>
      <c r="F141" t="s">
        <v>1738</v>
      </c>
      <c r="G141">
        <f>_xlfn.XLOOKUP(A141,FTD!A:A,FTD!C:C)</f>
        <v>17000</v>
      </c>
      <c r="H141" cm="1">
        <f t="array" ref="H141">_xlfn.LET(
  _xlpm.s, TRIM(F141),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1" t="str">
        <f>_xlfn.XLOOKUP(E141,Calendar!C:C,Calendar!B:B)</f>
        <v>Working Day</v>
      </c>
      <c r="M141" s="2">
        <v>46210</v>
      </c>
      <c r="N141" t="s">
        <v>1398</v>
      </c>
      <c r="O141" t="s">
        <v>1789</v>
      </c>
      <c r="P141">
        <v>3</v>
      </c>
      <c r="Q141" t="str">
        <f>_xlfn.XLOOKUP(N141,Attendance!F:F,Attendance!J:J)</f>
        <v>1</v>
      </c>
      <c r="R141">
        <f t="shared" si="5"/>
        <v>0</v>
      </c>
    </row>
    <row r="142" spans="1:18" x14ac:dyDescent="0.25">
      <c r="A142" t="s">
        <v>142</v>
      </c>
      <c r="B142" t="s">
        <v>1387</v>
      </c>
      <c r="C142" t="s">
        <v>1399</v>
      </c>
      <c r="D142" s="2">
        <v>46210.458506944444</v>
      </c>
      <c r="E142" s="2">
        <f t="shared" si="4"/>
        <v>46210</v>
      </c>
      <c r="F142" t="s">
        <v>1738</v>
      </c>
      <c r="G142">
        <f>_xlfn.XLOOKUP(A142,FTD!A:A,FTD!C:C)</f>
        <v>15000</v>
      </c>
      <c r="H142" cm="1">
        <f t="array" ref="H142">_xlfn.LET(
  _xlpm.s, TRIM(F142),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2" t="str">
        <f>_xlfn.XLOOKUP(E142,Calendar!C:C,Calendar!B:B)</f>
        <v>Working Day</v>
      </c>
      <c r="M142" s="2">
        <v>46210</v>
      </c>
      <c r="N142" t="s">
        <v>1413</v>
      </c>
      <c r="O142" t="s">
        <v>1789</v>
      </c>
      <c r="P142">
        <v>1</v>
      </c>
      <c r="Q142" t="str">
        <f>_xlfn.XLOOKUP(N142,Attendance!F:F,Attendance!J:J)</f>
        <v>Dialer</v>
      </c>
      <c r="R142">
        <f t="shared" si="5"/>
        <v>0</v>
      </c>
    </row>
    <row r="143" spans="1:18" x14ac:dyDescent="0.25">
      <c r="A143" t="s">
        <v>143</v>
      </c>
      <c r="B143" t="s">
        <v>1387</v>
      </c>
      <c r="C143" t="s">
        <v>1392</v>
      </c>
      <c r="D143" s="2">
        <v>46210.731388888889</v>
      </c>
      <c r="E143" s="2">
        <f t="shared" si="4"/>
        <v>46210</v>
      </c>
      <c r="F143" t="s">
        <v>1743</v>
      </c>
      <c r="G143">
        <f>_xlfn.XLOOKUP(A143,FTD!A:A,FTD!C:C)</f>
        <v>3000</v>
      </c>
      <c r="H143" cm="1">
        <f t="array" ref="H143">_xlfn.LET(
  _xlpm.s, TRIM(F143),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3" t="str">
        <f>_xlfn.XLOOKUP(E143,Calendar!C:C,Calendar!B:B)</f>
        <v>Working Day</v>
      </c>
      <c r="M143" s="2">
        <v>46210</v>
      </c>
      <c r="N143" t="s">
        <v>1420</v>
      </c>
      <c r="O143" t="s">
        <v>1789</v>
      </c>
      <c r="P143">
        <v>1</v>
      </c>
      <c r="Q143" t="e">
        <f>_xlfn.XLOOKUP(N143,Attendance!F:F,Attendance!J:J)</f>
        <v>#N/A</v>
      </c>
      <c r="R143">
        <f t="shared" si="5"/>
        <v>0</v>
      </c>
    </row>
    <row r="144" spans="1:18" x14ac:dyDescent="0.25">
      <c r="A144" t="s">
        <v>144</v>
      </c>
      <c r="B144" t="s">
        <v>1387</v>
      </c>
      <c r="C144" t="s">
        <v>1399</v>
      </c>
      <c r="D144" s="2">
        <v>46210.017060185186</v>
      </c>
      <c r="E144" s="2">
        <f t="shared" si="4"/>
        <v>46210</v>
      </c>
      <c r="F144" t="s">
        <v>1738</v>
      </c>
      <c r="G144">
        <f>_xlfn.XLOOKUP(A144,FTD!A:A,FTD!C:C)</f>
        <v>2782</v>
      </c>
      <c r="H144" cm="1">
        <f t="array" ref="H144">_xlfn.LET(
  _xlpm.s, TRIM(F144),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4" t="str">
        <f>_xlfn.XLOOKUP(E144,Calendar!C:C,Calendar!B:B)</f>
        <v>Working Day</v>
      </c>
      <c r="M144" s="2">
        <v>46210</v>
      </c>
      <c r="N144" t="s">
        <v>1389</v>
      </c>
      <c r="O144" t="s">
        <v>1789</v>
      </c>
      <c r="P144">
        <v>1</v>
      </c>
      <c r="Q144" t="str">
        <f>_xlfn.XLOOKUP(N144,Attendance!F:F,Attendance!J:J)</f>
        <v>Meta</v>
      </c>
      <c r="R144">
        <f t="shared" si="5"/>
        <v>0</v>
      </c>
    </row>
    <row r="145" spans="1:18" x14ac:dyDescent="0.25">
      <c r="A145" t="s">
        <v>145</v>
      </c>
      <c r="B145" t="s">
        <v>1387</v>
      </c>
      <c r="C145" t="s">
        <v>1398</v>
      </c>
      <c r="D145" s="2">
        <v>46226.703703703701</v>
      </c>
      <c r="E145" s="2">
        <f t="shared" si="4"/>
        <v>46226</v>
      </c>
      <c r="F145" t="s">
        <v>1738</v>
      </c>
      <c r="G145">
        <f>_xlfn.XLOOKUP(A145,FTD!A:A,FTD!C:C)</f>
        <v>50000</v>
      </c>
      <c r="H145" cm="1">
        <f t="array" ref="H145">_xlfn.LET(
  _xlpm.s, TRIM(F145),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5" t="str">
        <f>_xlfn.XLOOKUP(E145,Calendar!C:C,Calendar!B:B)</f>
        <v>Working Day</v>
      </c>
      <c r="M145" s="2">
        <v>46210</v>
      </c>
      <c r="N145" t="s">
        <v>1414</v>
      </c>
      <c r="O145" t="s">
        <v>1789</v>
      </c>
      <c r="P145">
        <v>1</v>
      </c>
      <c r="Q145" t="str">
        <f>_xlfn.XLOOKUP(N145,Attendance!F:F,Attendance!J:J)</f>
        <v>New OJT</v>
      </c>
      <c r="R145">
        <f t="shared" si="5"/>
        <v>0</v>
      </c>
    </row>
    <row r="146" spans="1:18" x14ac:dyDescent="0.25">
      <c r="A146" t="s">
        <v>146</v>
      </c>
      <c r="B146" t="s">
        <v>1387</v>
      </c>
      <c r="C146" t="s">
        <v>1406</v>
      </c>
      <c r="D146" s="2">
        <v>46212.74554398148</v>
      </c>
      <c r="E146" s="2">
        <f t="shared" si="4"/>
        <v>46212</v>
      </c>
      <c r="F146" t="s">
        <v>1739</v>
      </c>
      <c r="G146">
        <f>_xlfn.XLOOKUP(A146,FTD!A:A,FTD!C:C)</f>
        <v>1000</v>
      </c>
      <c r="H146" cm="1">
        <f t="array" ref="H146">_xlfn.LET(
  _xlpm.s, TRIM(F146),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46" t="str">
        <f>_xlfn.XLOOKUP(E146,Calendar!C:C,Calendar!B:B)</f>
        <v>Working Day</v>
      </c>
      <c r="M146" s="2">
        <v>46210</v>
      </c>
      <c r="N146" t="s">
        <v>1417</v>
      </c>
      <c r="O146" t="s">
        <v>1789</v>
      </c>
      <c r="P146">
        <v>2</v>
      </c>
      <c r="Q146" t="str">
        <f>_xlfn.XLOOKUP(N146,Attendance!F:F,Attendance!J:J)</f>
        <v>Meta</v>
      </c>
      <c r="R146">
        <f t="shared" si="5"/>
        <v>0</v>
      </c>
    </row>
    <row r="147" spans="1:18" x14ac:dyDescent="0.25">
      <c r="A147" t="s">
        <v>147</v>
      </c>
      <c r="B147" t="s">
        <v>1387</v>
      </c>
      <c r="C147" t="s">
        <v>1399</v>
      </c>
      <c r="D147" s="2">
        <v>46217.511064814811</v>
      </c>
      <c r="E147" s="2">
        <f t="shared" si="4"/>
        <v>46217</v>
      </c>
      <c r="F147" t="s">
        <v>1738</v>
      </c>
      <c r="G147">
        <f>_xlfn.XLOOKUP(A147,FTD!A:A,FTD!C:C)</f>
        <v>1000</v>
      </c>
      <c r="H147" cm="1">
        <f t="array" ref="H147">_xlfn.LET(
  _xlpm.s, TRIM(F147),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7" t="str">
        <f>_xlfn.XLOOKUP(E147,Calendar!C:C,Calendar!B:B)</f>
        <v>Working Day</v>
      </c>
      <c r="M147" s="2">
        <v>46210</v>
      </c>
      <c r="N147" t="s">
        <v>1400</v>
      </c>
      <c r="O147" t="s">
        <v>1789</v>
      </c>
      <c r="P147">
        <v>1</v>
      </c>
      <c r="Q147" t="str">
        <f>_xlfn.XLOOKUP(N147,Attendance!F:F,Attendance!J:J)</f>
        <v>Meta</v>
      </c>
      <c r="R147">
        <f t="shared" si="5"/>
        <v>0</v>
      </c>
    </row>
    <row r="148" spans="1:18" x14ac:dyDescent="0.25">
      <c r="A148" t="s">
        <v>148</v>
      </c>
      <c r="B148" t="s">
        <v>1387</v>
      </c>
      <c r="C148" t="s">
        <v>1426</v>
      </c>
      <c r="D148" s="2">
        <v>46217.762627314813</v>
      </c>
      <c r="E148" s="2">
        <f t="shared" si="4"/>
        <v>46217</v>
      </c>
      <c r="F148" t="s">
        <v>1738</v>
      </c>
      <c r="G148">
        <f>_xlfn.XLOOKUP(A148,FTD!A:A,FTD!C:C)</f>
        <v>1000</v>
      </c>
      <c r="H148" cm="1">
        <f t="array" ref="H148">_xlfn.LET(
  _xlpm.s, TRIM(F148),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8" t="str">
        <f>_xlfn.XLOOKUP(E148,Calendar!C:C,Calendar!B:B)</f>
        <v>Working Day</v>
      </c>
      <c r="M148" s="2">
        <v>46210</v>
      </c>
      <c r="N148" t="s">
        <v>1397</v>
      </c>
      <c r="O148" t="s">
        <v>1789</v>
      </c>
      <c r="P148">
        <v>2</v>
      </c>
      <c r="Q148" t="str">
        <f>_xlfn.XLOOKUP(N148,Attendance!F:F,Attendance!J:J)</f>
        <v>Meta</v>
      </c>
      <c r="R148">
        <f t="shared" si="5"/>
        <v>0</v>
      </c>
    </row>
    <row r="149" spans="1:18" x14ac:dyDescent="0.25">
      <c r="A149" t="s">
        <v>149</v>
      </c>
      <c r="B149" t="s">
        <v>1384</v>
      </c>
      <c r="C149" t="s">
        <v>1427</v>
      </c>
      <c r="D149" s="2">
        <v>46223.492349537039</v>
      </c>
      <c r="E149" s="2">
        <f t="shared" si="4"/>
        <v>46223</v>
      </c>
      <c r="F149" t="s">
        <v>1738</v>
      </c>
      <c r="G149">
        <f>_xlfn.XLOOKUP(A149,FTD!A:A,FTD!C:C)</f>
        <v>500</v>
      </c>
      <c r="H149" cm="1">
        <f t="array" ref="H149">_xlfn.LET(
  _xlpm.s, TRIM(F149),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49" t="str">
        <f>_xlfn.XLOOKUP(E149,Calendar!C:C,Calendar!B:B)</f>
        <v>Working Day</v>
      </c>
      <c r="M149" s="2">
        <v>46210</v>
      </c>
      <c r="N149" t="s">
        <v>1401</v>
      </c>
      <c r="O149" t="s">
        <v>1789</v>
      </c>
      <c r="P149">
        <v>3</v>
      </c>
      <c r="Q149" t="str">
        <f>_xlfn.XLOOKUP(N149,Attendance!F:F,Attendance!J:J)</f>
        <v>OJT 2</v>
      </c>
      <c r="R149">
        <f t="shared" si="5"/>
        <v>500</v>
      </c>
    </row>
    <row r="150" spans="1:18" x14ac:dyDescent="0.25">
      <c r="A150" t="s">
        <v>150</v>
      </c>
      <c r="B150" t="s">
        <v>1384</v>
      </c>
      <c r="C150" t="s">
        <v>1400</v>
      </c>
      <c r="D150" s="2">
        <v>46205.96539351852</v>
      </c>
      <c r="E150" s="2">
        <f t="shared" si="4"/>
        <v>46205</v>
      </c>
      <c r="F150" t="s">
        <v>1739</v>
      </c>
      <c r="G150">
        <f>_xlfn.XLOOKUP(A150,FTD!A:A,FTD!C:C)</f>
        <v>2000</v>
      </c>
      <c r="H150" cm="1">
        <f t="array" ref="H150">_xlfn.LET(
  _xlpm.s, TRIM(F150),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50" t="str">
        <f>_xlfn.XLOOKUP(E150,Calendar!C:C,Calendar!B:B)</f>
        <v>Working Day</v>
      </c>
      <c r="M150" s="2">
        <v>46210</v>
      </c>
      <c r="N150" t="s">
        <v>1407</v>
      </c>
      <c r="O150" t="s">
        <v>1789</v>
      </c>
      <c r="P150">
        <v>2</v>
      </c>
      <c r="Q150" t="str">
        <f>_xlfn.XLOOKUP(N150,Attendance!F:F,Attendance!J:J)</f>
        <v>Meta</v>
      </c>
      <c r="R150">
        <f t="shared" si="5"/>
        <v>0</v>
      </c>
    </row>
    <row r="151" spans="1:18" x14ac:dyDescent="0.25">
      <c r="A151" t="s">
        <v>151</v>
      </c>
      <c r="B151" t="s">
        <v>1384</v>
      </c>
      <c r="C151" t="s">
        <v>1415</v>
      </c>
      <c r="D151" s="2">
        <v>46230.630636574075</v>
      </c>
      <c r="E151" s="2">
        <f t="shared" si="4"/>
        <v>46230</v>
      </c>
      <c r="F151" t="s">
        <v>1739</v>
      </c>
      <c r="G151">
        <f>_xlfn.XLOOKUP(A151,FTD!A:A,FTD!C:C)</f>
        <v>1000</v>
      </c>
      <c r="H151" cm="1">
        <f t="array" ref="H151">_xlfn.LET(
  _xlpm.s, TRIM(F151),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51" t="str">
        <f>_xlfn.XLOOKUP(E151,Calendar!C:C,Calendar!B:B)</f>
        <v>Working Day</v>
      </c>
      <c r="M151" s="2">
        <v>46210</v>
      </c>
      <c r="N151" t="s">
        <v>1396</v>
      </c>
      <c r="O151" t="s">
        <v>1789</v>
      </c>
      <c r="P151">
        <v>1</v>
      </c>
      <c r="Q151" t="str">
        <f>_xlfn.XLOOKUP(N151,Attendance!F:F,Attendance!J:J)</f>
        <v>Telegram</v>
      </c>
      <c r="R151">
        <f t="shared" si="5"/>
        <v>0</v>
      </c>
    </row>
    <row r="152" spans="1:18" x14ac:dyDescent="0.25">
      <c r="A152" t="s">
        <v>152</v>
      </c>
      <c r="B152" t="s">
        <v>1385</v>
      </c>
      <c r="C152" t="s">
        <v>1403</v>
      </c>
      <c r="D152" s="2">
        <v>46224.812835648147</v>
      </c>
      <c r="E152" s="2">
        <f t="shared" si="4"/>
        <v>46224</v>
      </c>
      <c r="F152" t="s">
        <v>1744</v>
      </c>
      <c r="G152">
        <f>_xlfn.XLOOKUP(A152,FTD!A:A,FTD!C:C)</f>
        <v>1000</v>
      </c>
      <c r="H152" cm="1">
        <f t="array" ref="H152">_xlfn.LET(
  _xlpm.s, TRIM(F152),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52" t="str">
        <f>_xlfn.XLOOKUP(E152,Calendar!C:C,Calendar!B:B)</f>
        <v>Working Day</v>
      </c>
      <c r="M152" s="2">
        <v>46210</v>
      </c>
      <c r="N152" t="s">
        <v>1412</v>
      </c>
      <c r="O152" t="s">
        <v>1789</v>
      </c>
      <c r="P152">
        <v>3</v>
      </c>
      <c r="Q152" t="str">
        <f>_xlfn.XLOOKUP(N152,Attendance!F:F,Attendance!J:J)</f>
        <v>1</v>
      </c>
      <c r="R152">
        <f t="shared" si="5"/>
        <v>0</v>
      </c>
    </row>
    <row r="153" spans="1:18" x14ac:dyDescent="0.25">
      <c r="A153" t="s">
        <v>153</v>
      </c>
      <c r="B153" t="s">
        <v>1387</v>
      </c>
      <c r="C153" t="s">
        <v>1397</v>
      </c>
      <c r="D153" s="2">
        <v>46212.476608796293</v>
      </c>
      <c r="E153" s="2">
        <f t="shared" si="4"/>
        <v>46212</v>
      </c>
      <c r="F153" t="s">
        <v>1752</v>
      </c>
      <c r="G153">
        <f>_xlfn.XLOOKUP(A153,FTD!A:A,FTD!C:C)</f>
        <v>2000</v>
      </c>
      <c r="H153" cm="1">
        <f t="array" ref="H153">_xlfn.LET(
  _xlpm.s, TRIM(F153),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53" t="str">
        <f>_xlfn.XLOOKUP(E153,Calendar!C:C,Calendar!B:B)</f>
        <v>Working Day</v>
      </c>
      <c r="M153" s="2">
        <v>46210</v>
      </c>
      <c r="N153" t="s">
        <v>1406</v>
      </c>
      <c r="O153" t="s">
        <v>1789</v>
      </c>
      <c r="P153">
        <v>4</v>
      </c>
      <c r="Q153" t="str">
        <f>_xlfn.XLOOKUP(N153,Attendance!F:F,Attendance!J:J)</f>
        <v>1</v>
      </c>
      <c r="R153">
        <f t="shared" si="5"/>
        <v>0</v>
      </c>
    </row>
    <row r="154" spans="1:18" x14ac:dyDescent="0.25">
      <c r="A154" t="s">
        <v>154</v>
      </c>
      <c r="B154" t="s">
        <v>1387</v>
      </c>
      <c r="C154" t="s">
        <v>1417</v>
      </c>
      <c r="D154" s="2">
        <v>46209.541539351849</v>
      </c>
      <c r="E154" s="2">
        <f t="shared" si="4"/>
        <v>46209</v>
      </c>
      <c r="F154" t="s">
        <v>1741</v>
      </c>
      <c r="G154">
        <f>_xlfn.XLOOKUP(A154,FTD!A:A,FTD!C:C)</f>
        <v>1000</v>
      </c>
      <c r="H154" cm="1">
        <f t="array" ref="H154">_xlfn.LET(
  _xlpm.s, TRIM(F154),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54" t="str">
        <f>_xlfn.XLOOKUP(E154,Calendar!C:C,Calendar!B:B)</f>
        <v>Working Day</v>
      </c>
      <c r="M154" s="2">
        <v>46210</v>
      </c>
      <c r="N154" t="s">
        <v>1426</v>
      </c>
      <c r="O154" t="s">
        <v>1789</v>
      </c>
      <c r="P154">
        <v>1</v>
      </c>
      <c r="Q154" t="str">
        <f>_xlfn.XLOOKUP(N154,Attendance!F:F,Attendance!J:J)</f>
        <v>OJT 2</v>
      </c>
      <c r="R154">
        <f t="shared" si="5"/>
        <v>0</v>
      </c>
    </row>
    <row r="155" spans="1:18" x14ac:dyDescent="0.25">
      <c r="A155" t="s">
        <v>155</v>
      </c>
      <c r="B155" t="s">
        <v>1387</v>
      </c>
      <c r="C155" t="s">
        <v>1428</v>
      </c>
      <c r="D155" s="2">
        <v>46209.616944444446</v>
      </c>
      <c r="E155" s="2">
        <f t="shared" si="4"/>
        <v>46209</v>
      </c>
      <c r="F155" t="s">
        <v>1738</v>
      </c>
      <c r="G155">
        <f>_xlfn.XLOOKUP(A155,FTD!A:A,FTD!C:C)</f>
        <v>2000</v>
      </c>
      <c r="H155" cm="1">
        <f t="array" ref="H155">_xlfn.LET(
  _xlpm.s, TRIM(F155),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55" t="str">
        <f>_xlfn.XLOOKUP(E155,Calendar!C:C,Calendar!B:B)</f>
        <v>Working Day</v>
      </c>
      <c r="M155" s="2">
        <v>46210</v>
      </c>
      <c r="N155" t="s">
        <v>1402</v>
      </c>
      <c r="O155" t="s">
        <v>1789</v>
      </c>
      <c r="P155">
        <v>3</v>
      </c>
      <c r="Q155" t="str">
        <f>_xlfn.XLOOKUP(N155,Attendance!F:F,Attendance!J:J)</f>
        <v>1</v>
      </c>
      <c r="R155">
        <f t="shared" si="5"/>
        <v>0</v>
      </c>
    </row>
    <row r="156" spans="1:18" x14ac:dyDescent="0.25">
      <c r="A156" t="s">
        <v>156</v>
      </c>
      <c r="B156" t="s">
        <v>1387</v>
      </c>
      <c r="C156" t="s">
        <v>1391</v>
      </c>
      <c r="D156" s="2">
        <v>46216.67728009259</v>
      </c>
      <c r="E156" s="2">
        <f t="shared" si="4"/>
        <v>46216</v>
      </c>
      <c r="F156" t="s">
        <v>1739</v>
      </c>
      <c r="G156">
        <f>_xlfn.XLOOKUP(A156,FTD!A:A,FTD!C:C)</f>
        <v>1000</v>
      </c>
      <c r="H156" cm="1">
        <f t="array" ref="H156">_xlfn.LET(
  _xlpm.s, TRIM(F156),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56" t="str">
        <f>_xlfn.XLOOKUP(E156,Calendar!C:C,Calendar!B:B)</f>
        <v>Working Day</v>
      </c>
      <c r="M156" s="2">
        <v>46210</v>
      </c>
      <c r="N156" t="s">
        <v>1425</v>
      </c>
      <c r="O156" t="s">
        <v>1789</v>
      </c>
      <c r="P156">
        <v>2</v>
      </c>
      <c r="Q156" t="str">
        <f>_xlfn.XLOOKUP(N156,Attendance!F:F,Attendance!J:J)</f>
        <v>OJT 1</v>
      </c>
      <c r="R156">
        <f t="shared" si="5"/>
        <v>0</v>
      </c>
    </row>
    <row r="157" spans="1:18" x14ac:dyDescent="0.25">
      <c r="A157" t="s">
        <v>157</v>
      </c>
      <c r="B157" t="s">
        <v>1387</v>
      </c>
      <c r="C157" t="s">
        <v>1407</v>
      </c>
      <c r="D157" s="2">
        <v>46233.728495370371</v>
      </c>
      <c r="E157" s="2">
        <f t="shared" si="4"/>
        <v>46233</v>
      </c>
      <c r="F157" t="s">
        <v>1739</v>
      </c>
      <c r="G157">
        <f>_xlfn.XLOOKUP(A157,FTD!A:A,FTD!C:C)</f>
        <v>1000</v>
      </c>
      <c r="H157" cm="1">
        <f t="array" ref="H157">_xlfn.LET(
  _xlpm.s, TRIM(F157),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57" t="str">
        <f>_xlfn.XLOOKUP(E157,Calendar!C:C,Calendar!B:B)</f>
        <v>Working Day</v>
      </c>
      <c r="M157" s="2">
        <v>46210</v>
      </c>
      <c r="N157" t="s">
        <v>1391</v>
      </c>
      <c r="O157" t="s">
        <v>1789</v>
      </c>
      <c r="P157">
        <v>1</v>
      </c>
      <c r="Q157" t="str">
        <f>_xlfn.XLOOKUP(N157,Attendance!F:F,Attendance!J:J)</f>
        <v>Dialer</v>
      </c>
      <c r="R157">
        <f t="shared" si="5"/>
        <v>0</v>
      </c>
    </row>
    <row r="158" spans="1:18" x14ac:dyDescent="0.25">
      <c r="A158" t="s">
        <v>158</v>
      </c>
      <c r="B158" t="s">
        <v>1387</v>
      </c>
      <c r="C158" t="s">
        <v>1425</v>
      </c>
      <c r="D158" s="2">
        <v>46211.825104166666</v>
      </c>
      <c r="E158" s="2">
        <f t="shared" si="4"/>
        <v>46211</v>
      </c>
      <c r="F158" t="s">
        <v>1753</v>
      </c>
      <c r="G158">
        <f>_xlfn.XLOOKUP(A158,FTD!A:A,FTD!C:C)</f>
        <v>1000</v>
      </c>
      <c r="H158" cm="1">
        <f t="array" ref="H158">_xlfn.LET(
  _xlpm.s, TRIM(F158),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58" t="str">
        <f>_xlfn.XLOOKUP(E158,Calendar!C:C,Calendar!B:B)</f>
        <v>Working Day</v>
      </c>
      <c r="M158" s="2">
        <v>46210</v>
      </c>
      <c r="N158" t="s">
        <v>1393</v>
      </c>
      <c r="O158" t="s">
        <v>1789</v>
      </c>
      <c r="P158">
        <v>2</v>
      </c>
      <c r="Q158" t="str">
        <f>_xlfn.XLOOKUP(N158,Attendance!F:F,Attendance!J:J)</f>
        <v>Dialer</v>
      </c>
      <c r="R158">
        <f t="shared" si="5"/>
        <v>0</v>
      </c>
    </row>
    <row r="159" spans="1:18" x14ac:dyDescent="0.25">
      <c r="A159" t="s">
        <v>159</v>
      </c>
      <c r="B159" t="s">
        <v>1387</v>
      </c>
      <c r="C159" t="s">
        <v>1429</v>
      </c>
      <c r="D159" s="2">
        <v>46233.612592592588</v>
      </c>
      <c r="E159" s="2">
        <f t="shared" si="4"/>
        <v>46233</v>
      </c>
      <c r="F159" t="s">
        <v>1739</v>
      </c>
      <c r="G159">
        <f>_xlfn.XLOOKUP(A159,FTD!A:A,FTD!C:C)</f>
        <v>1500</v>
      </c>
      <c r="H159" cm="1">
        <f t="array" ref="H159">_xlfn.LET(
  _xlpm.s, TRIM(F159),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59" t="str">
        <f>_xlfn.XLOOKUP(E159,Calendar!C:C,Calendar!B:B)</f>
        <v>Working Day</v>
      </c>
      <c r="M159" s="2">
        <v>46210</v>
      </c>
      <c r="N159" t="s">
        <v>1390</v>
      </c>
      <c r="O159" t="s">
        <v>1789</v>
      </c>
      <c r="P159">
        <v>2</v>
      </c>
      <c r="Q159" t="str">
        <f>_xlfn.XLOOKUP(N159,Attendance!F:F,Attendance!J:J)</f>
        <v>Meta</v>
      </c>
      <c r="R159">
        <f t="shared" si="5"/>
        <v>0</v>
      </c>
    </row>
    <row r="160" spans="1:18" x14ac:dyDescent="0.25">
      <c r="A160" t="s">
        <v>160</v>
      </c>
      <c r="B160" t="s">
        <v>1387</v>
      </c>
      <c r="C160" t="s">
        <v>1392</v>
      </c>
      <c r="D160" s="2">
        <v>46209.49895833333</v>
      </c>
      <c r="E160" s="2">
        <f t="shared" si="4"/>
        <v>46209</v>
      </c>
      <c r="F160" t="s">
        <v>1751</v>
      </c>
      <c r="G160">
        <f>_xlfn.XLOOKUP(A160,FTD!A:A,FTD!C:C)</f>
        <v>1000</v>
      </c>
      <c r="H160" cm="1">
        <f t="array" ref="H160">_xlfn.LET(
  _xlpm.s, TRIM(F160),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60" t="str">
        <f>_xlfn.XLOOKUP(E160,Calendar!C:C,Calendar!B:B)</f>
        <v>Working Day</v>
      </c>
      <c r="M160" s="2">
        <v>46210</v>
      </c>
      <c r="N160" t="s">
        <v>1392</v>
      </c>
      <c r="O160" t="s">
        <v>1789</v>
      </c>
      <c r="P160">
        <v>2</v>
      </c>
      <c r="Q160" t="str">
        <f>_xlfn.XLOOKUP(N160,Attendance!F:F,Attendance!J:J)</f>
        <v>Telegram</v>
      </c>
      <c r="R160">
        <f t="shared" si="5"/>
        <v>0</v>
      </c>
    </row>
    <row r="161" spans="1:18" x14ac:dyDescent="0.25">
      <c r="A161" t="s">
        <v>161</v>
      </c>
      <c r="B161" t="s">
        <v>1387</v>
      </c>
      <c r="C161" t="s">
        <v>1409</v>
      </c>
      <c r="D161" s="2">
        <v>46212.650555555556</v>
      </c>
      <c r="E161" s="2">
        <f t="shared" si="4"/>
        <v>46212</v>
      </c>
      <c r="F161" t="s">
        <v>1738</v>
      </c>
      <c r="G161">
        <f>_xlfn.XLOOKUP(A161,FTD!A:A,FTD!C:C)</f>
        <v>1000</v>
      </c>
      <c r="H161" cm="1">
        <f t="array" ref="H161">_xlfn.LET(
  _xlpm.s, TRIM(F161),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61" t="str">
        <f>_xlfn.XLOOKUP(E161,Calendar!C:C,Calendar!B:B)</f>
        <v>Working Day</v>
      </c>
      <c r="M161" s="2">
        <v>46210</v>
      </c>
      <c r="N161" t="s">
        <v>1419</v>
      </c>
      <c r="O161" t="s">
        <v>1789</v>
      </c>
      <c r="P161">
        <v>1</v>
      </c>
      <c r="Q161" t="str">
        <f>_xlfn.XLOOKUP(N161,Attendance!F:F,Attendance!J:J)</f>
        <v>OLD OJT</v>
      </c>
      <c r="R161">
        <f t="shared" si="5"/>
        <v>0</v>
      </c>
    </row>
    <row r="162" spans="1:18" x14ac:dyDescent="0.25">
      <c r="A162" t="s">
        <v>162</v>
      </c>
      <c r="B162" t="s">
        <v>1387</v>
      </c>
      <c r="C162" t="s">
        <v>1390</v>
      </c>
      <c r="D162" s="2">
        <v>46210.849282407406</v>
      </c>
      <c r="E162" s="2">
        <f t="shared" si="4"/>
        <v>46210</v>
      </c>
      <c r="F162" t="s">
        <v>1739</v>
      </c>
      <c r="G162">
        <f>_xlfn.XLOOKUP(A162,FTD!A:A,FTD!C:C)</f>
        <v>1700</v>
      </c>
      <c r="H162" cm="1">
        <f t="array" ref="H162">_xlfn.LET(
  _xlpm.s, TRIM(F162),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62" t="str">
        <f>_xlfn.XLOOKUP(E162,Calendar!C:C,Calendar!B:B)</f>
        <v>Working Day</v>
      </c>
      <c r="M162" s="2">
        <v>46210</v>
      </c>
      <c r="N162" t="s">
        <v>1409</v>
      </c>
      <c r="O162" t="s">
        <v>1789</v>
      </c>
      <c r="P162">
        <v>3</v>
      </c>
      <c r="Q162" t="str">
        <f>_xlfn.XLOOKUP(N162,Attendance!F:F,Attendance!J:J)</f>
        <v>Dialer</v>
      </c>
      <c r="R162">
        <f t="shared" si="5"/>
        <v>500</v>
      </c>
    </row>
    <row r="163" spans="1:18" x14ac:dyDescent="0.25">
      <c r="A163" t="s">
        <v>163</v>
      </c>
      <c r="B163" t="s">
        <v>1384</v>
      </c>
      <c r="C163" t="s">
        <v>1417</v>
      </c>
      <c r="D163" s="2">
        <v>46207.690034722218</v>
      </c>
      <c r="E163" s="2">
        <f t="shared" si="4"/>
        <v>46207</v>
      </c>
      <c r="F163" t="s">
        <v>1738</v>
      </c>
      <c r="G163">
        <f>_xlfn.XLOOKUP(A163,FTD!A:A,FTD!C:C)</f>
        <v>1000</v>
      </c>
      <c r="H163" cm="1">
        <f t="array" ref="H163">_xlfn.LET(
  _xlpm.s, TRIM(F163),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63" t="str">
        <f>_xlfn.XLOOKUP(E163,Calendar!C:C,Calendar!B:B)</f>
        <v>Saturday</v>
      </c>
      <c r="M163" s="2">
        <v>46210</v>
      </c>
      <c r="N163" t="s">
        <v>1399</v>
      </c>
      <c r="O163" t="s">
        <v>1789</v>
      </c>
      <c r="P163">
        <v>8</v>
      </c>
      <c r="Q163" t="str">
        <f>_xlfn.XLOOKUP(N163,Attendance!F:F,Attendance!J:J)</f>
        <v>1</v>
      </c>
      <c r="R163">
        <f t="shared" si="5"/>
        <v>300</v>
      </c>
    </row>
    <row r="164" spans="1:18" x14ac:dyDescent="0.25">
      <c r="A164" t="s">
        <v>164</v>
      </c>
      <c r="B164" t="s">
        <v>1384</v>
      </c>
      <c r="C164" t="s">
        <v>1410</v>
      </c>
      <c r="D164" s="2">
        <v>46226.442881944444</v>
      </c>
      <c r="E164" s="2">
        <f t="shared" si="4"/>
        <v>46226</v>
      </c>
      <c r="F164" t="s">
        <v>1742</v>
      </c>
      <c r="G164">
        <f>_xlfn.XLOOKUP(A164,FTD!A:A,FTD!C:C)</f>
        <v>771</v>
      </c>
      <c r="H164" cm="1">
        <f t="array" ref="H164">_xlfn.LET(
  _xlpm.s, TRIM(F164),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64" t="str">
        <f>_xlfn.XLOOKUP(E164,Calendar!C:C,Calendar!B:B)</f>
        <v>Working Day</v>
      </c>
      <c r="M164" s="2">
        <v>46210</v>
      </c>
      <c r="N164" t="s">
        <v>1418</v>
      </c>
      <c r="O164" t="s">
        <v>1789</v>
      </c>
      <c r="P164">
        <v>2</v>
      </c>
      <c r="Q164" t="str">
        <f>_xlfn.XLOOKUP(N164,Attendance!F:F,Attendance!J:J)</f>
        <v>OJT 1</v>
      </c>
      <c r="R164">
        <f t="shared" si="5"/>
        <v>0</v>
      </c>
    </row>
    <row r="165" spans="1:18" x14ac:dyDescent="0.25">
      <c r="A165" t="s">
        <v>165</v>
      </c>
      <c r="B165" t="s">
        <v>1387</v>
      </c>
      <c r="C165" t="s">
        <v>1400</v>
      </c>
      <c r="D165" s="2">
        <v>46223.387754629628</v>
      </c>
      <c r="E165" s="2">
        <f t="shared" si="4"/>
        <v>46223</v>
      </c>
      <c r="F165" t="s">
        <v>1743</v>
      </c>
      <c r="G165">
        <f>_xlfn.XLOOKUP(A165,FTD!A:A,FTD!C:C)</f>
        <v>1000</v>
      </c>
      <c r="H165" cm="1">
        <f t="array" ref="H165">_xlfn.LET(
  _xlpm.s, TRIM(F165),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65" t="str">
        <f>_xlfn.XLOOKUP(E165,Calendar!C:C,Calendar!B:B)</f>
        <v>Working Day</v>
      </c>
      <c r="M165" s="2">
        <v>46210</v>
      </c>
      <c r="N165" t="s">
        <v>1408</v>
      </c>
      <c r="O165" t="s">
        <v>1789</v>
      </c>
      <c r="P165">
        <v>5</v>
      </c>
      <c r="Q165" t="str">
        <f>_xlfn.XLOOKUP(N165,Attendance!F:F,Attendance!J:J)</f>
        <v>1</v>
      </c>
      <c r="R165">
        <f t="shared" si="5"/>
        <v>0</v>
      </c>
    </row>
    <row r="166" spans="1:18" x14ac:dyDescent="0.25">
      <c r="A166" t="s">
        <v>166</v>
      </c>
      <c r="B166" t="s">
        <v>1387</v>
      </c>
      <c r="C166" t="s">
        <v>1400</v>
      </c>
      <c r="D166" s="2">
        <v>46226.595520833333</v>
      </c>
      <c r="E166" s="2">
        <f t="shared" si="4"/>
        <v>46226</v>
      </c>
      <c r="F166" t="s">
        <v>1739</v>
      </c>
      <c r="G166">
        <f>_xlfn.XLOOKUP(A166,FTD!A:A,FTD!C:C)</f>
        <v>1000</v>
      </c>
      <c r="H166" cm="1">
        <f t="array" ref="H166">_xlfn.LET(
  _xlpm.s, TRIM(F166),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66" t="str">
        <f>_xlfn.XLOOKUP(E166,Calendar!C:C,Calendar!B:B)</f>
        <v>Working Day</v>
      </c>
      <c r="M166" s="2">
        <v>46211</v>
      </c>
      <c r="N166" t="s">
        <v>1436</v>
      </c>
      <c r="O166" t="s">
        <v>1789</v>
      </c>
      <c r="P166">
        <v>2</v>
      </c>
      <c r="Q166" t="str">
        <f>_xlfn.XLOOKUP(N166,Attendance!F:F,Attendance!J:J)</f>
        <v>Telegram</v>
      </c>
      <c r="R166">
        <f t="shared" si="5"/>
        <v>0</v>
      </c>
    </row>
    <row r="167" spans="1:18" x14ac:dyDescent="0.25">
      <c r="A167" t="s">
        <v>167</v>
      </c>
      <c r="B167" t="s">
        <v>1384</v>
      </c>
      <c r="C167" t="s">
        <v>1389</v>
      </c>
      <c r="D167" s="2">
        <v>46218.739791666667</v>
      </c>
      <c r="E167" s="2">
        <f t="shared" si="4"/>
        <v>46218</v>
      </c>
      <c r="F167" t="s">
        <v>1741</v>
      </c>
      <c r="G167">
        <f>_xlfn.XLOOKUP(A167,FTD!A:A,FTD!C:C)</f>
        <v>1000</v>
      </c>
      <c r="H167" cm="1">
        <f t="array" ref="H167">_xlfn.LET(
  _xlpm.s, TRIM(F167),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67" t="str">
        <f>_xlfn.XLOOKUP(E167,Calendar!C:C,Calendar!B:B)</f>
        <v>Working Day</v>
      </c>
      <c r="M167" s="2">
        <v>46211</v>
      </c>
      <c r="N167" t="s">
        <v>1388</v>
      </c>
      <c r="O167" t="s">
        <v>1789</v>
      </c>
      <c r="P167">
        <v>2</v>
      </c>
      <c r="Q167" t="str">
        <f>_xlfn.XLOOKUP(N167,Attendance!F:F,Attendance!J:J)</f>
        <v>Telegram</v>
      </c>
      <c r="R167">
        <f t="shared" si="5"/>
        <v>0</v>
      </c>
    </row>
    <row r="168" spans="1:18" x14ac:dyDescent="0.25">
      <c r="A168" t="s">
        <v>168</v>
      </c>
      <c r="B168" t="s">
        <v>1385</v>
      </c>
      <c r="C168" t="s">
        <v>1403</v>
      </c>
      <c r="D168" s="2">
        <v>46228.798090277778</v>
      </c>
      <c r="E168" s="2">
        <f t="shared" si="4"/>
        <v>46228</v>
      </c>
      <c r="F168" t="s">
        <v>1744</v>
      </c>
      <c r="G168">
        <f>_xlfn.XLOOKUP(A168,FTD!A:A,FTD!C:C)</f>
        <v>1000</v>
      </c>
      <c r="H168" cm="1">
        <f t="array" ref="H168">_xlfn.LET(
  _xlpm.s, TRIM(F168),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68" t="str">
        <f>_xlfn.XLOOKUP(E168,Calendar!C:C,Calendar!B:B)</f>
        <v>Saturday</v>
      </c>
      <c r="M168" s="2">
        <v>46211</v>
      </c>
      <c r="N168" t="s">
        <v>1433</v>
      </c>
      <c r="O168" t="s">
        <v>1789</v>
      </c>
      <c r="P168">
        <v>3</v>
      </c>
      <c r="Q168" t="str">
        <f>_xlfn.XLOOKUP(N168,Attendance!F:F,Attendance!J:J)</f>
        <v>Meta</v>
      </c>
      <c r="R168">
        <f t="shared" si="5"/>
        <v>0</v>
      </c>
    </row>
    <row r="169" spans="1:18" x14ac:dyDescent="0.25">
      <c r="A169" t="s">
        <v>169</v>
      </c>
      <c r="B169" t="s">
        <v>1384</v>
      </c>
      <c r="C169" t="s">
        <v>1397</v>
      </c>
      <c r="D169" s="2">
        <v>46211.690671296295</v>
      </c>
      <c r="E169" s="2">
        <f t="shared" si="4"/>
        <v>46211</v>
      </c>
      <c r="F169" t="s">
        <v>1738</v>
      </c>
      <c r="G169">
        <f>_xlfn.XLOOKUP(A169,FTD!A:A,FTD!C:C)</f>
        <v>1000</v>
      </c>
      <c r="H169" cm="1">
        <f t="array" ref="H169">_xlfn.LET(
  _xlpm.s, TRIM(F169),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69" t="str">
        <f>_xlfn.XLOOKUP(E169,Calendar!C:C,Calendar!B:B)</f>
        <v>Working Day</v>
      </c>
      <c r="M169" s="2">
        <v>46211</v>
      </c>
      <c r="N169" t="s">
        <v>1398</v>
      </c>
      <c r="O169" t="s">
        <v>1789</v>
      </c>
      <c r="P169">
        <v>2</v>
      </c>
      <c r="Q169" t="str">
        <f>_xlfn.XLOOKUP(N169,Attendance!F:F,Attendance!J:J)</f>
        <v>1</v>
      </c>
      <c r="R169">
        <f t="shared" si="5"/>
        <v>0</v>
      </c>
    </row>
    <row r="170" spans="1:18" x14ac:dyDescent="0.25">
      <c r="A170" t="s">
        <v>170</v>
      </c>
      <c r="B170" t="s">
        <v>1387</v>
      </c>
      <c r="C170" t="s">
        <v>1413</v>
      </c>
      <c r="D170" s="2">
        <v>46211.638692129629</v>
      </c>
      <c r="E170" s="2">
        <f t="shared" si="4"/>
        <v>46211</v>
      </c>
      <c r="F170" t="s">
        <v>1754</v>
      </c>
      <c r="G170">
        <f>_xlfn.XLOOKUP(A170,FTD!A:A,FTD!C:C)</f>
        <v>1000</v>
      </c>
      <c r="H170" cm="1">
        <f t="array" ref="H170">_xlfn.LET(
  _xlpm.s, TRIM(F170),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70" t="str">
        <f>_xlfn.XLOOKUP(E170,Calendar!C:C,Calendar!B:B)</f>
        <v>Working Day</v>
      </c>
      <c r="M170" s="2">
        <v>46211</v>
      </c>
      <c r="N170" t="s">
        <v>1413</v>
      </c>
      <c r="O170" t="s">
        <v>1789</v>
      </c>
      <c r="P170">
        <v>3</v>
      </c>
      <c r="Q170" t="str">
        <f>_xlfn.XLOOKUP(N170,Attendance!F:F,Attendance!J:J)</f>
        <v>Dialer</v>
      </c>
      <c r="R170">
        <f t="shared" si="5"/>
        <v>500</v>
      </c>
    </row>
    <row r="171" spans="1:18" x14ac:dyDescent="0.25">
      <c r="A171" t="s">
        <v>171</v>
      </c>
      <c r="B171" t="s">
        <v>1387</v>
      </c>
      <c r="C171" t="s">
        <v>1402</v>
      </c>
      <c r="D171" s="2">
        <v>46220.757673611108</v>
      </c>
      <c r="E171" s="2">
        <f t="shared" si="4"/>
        <v>46220</v>
      </c>
      <c r="F171" t="s">
        <v>1738</v>
      </c>
      <c r="G171">
        <f>_xlfn.XLOOKUP(A171,FTD!A:A,FTD!C:C)</f>
        <v>2000</v>
      </c>
      <c r="H171" cm="1">
        <f t="array" ref="H171">_xlfn.LET(
  _xlpm.s, TRIM(F171),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1" t="str">
        <f>_xlfn.XLOOKUP(E171,Calendar!C:C,Calendar!B:B)</f>
        <v>Working Day</v>
      </c>
      <c r="M171" s="2">
        <v>46211</v>
      </c>
      <c r="N171" t="s">
        <v>1420</v>
      </c>
      <c r="O171" t="s">
        <v>1789</v>
      </c>
      <c r="P171">
        <v>1</v>
      </c>
      <c r="Q171" t="e">
        <f>_xlfn.XLOOKUP(N171,Attendance!F:F,Attendance!J:J)</f>
        <v>#N/A</v>
      </c>
      <c r="R171">
        <f t="shared" si="5"/>
        <v>0</v>
      </c>
    </row>
    <row r="172" spans="1:18" x14ac:dyDescent="0.25">
      <c r="A172" t="s">
        <v>172</v>
      </c>
      <c r="B172" t="s">
        <v>1387</v>
      </c>
      <c r="C172" t="s">
        <v>1415</v>
      </c>
      <c r="D172" s="2">
        <v>46220.622465277775</v>
      </c>
      <c r="E172" s="2">
        <f t="shared" si="4"/>
        <v>46220</v>
      </c>
      <c r="F172" t="s">
        <v>1738</v>
      </c>
      <c r="G172">
        <f>_xlfn.XLOOKUP(A172,FTD!A:A,FTD!C:C)</f>
        <v>2000</v>
      </c>
      <c r="H172" cm="1">
        <f t="array" ref="H172">_xlfn.LET(
  _xlpm.s, TRIM(F172),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2" t="str">
        <f>_xlfn.XLOOKUP(E172,Calendar!C:C,Calendar!B:B)</f>
        <v>Working Day</v>
      </c>
      <c r="M172" s="2">
        <v>46211</v>
      </c>
      <c r="N172" t="s">
        <v>1389</v>
      </c>
      <c r="O172" t="s">
        <v>1789</v>
      </c>
      <c r="P172">
        <v>1</v>
      </c>
      <c r="Q172" t="str">
        <f>_xlfn.XLOOKUP(N172,Attendance!F:F,Attendance!J:J)</f>
        <v>Meta</v>
      </c>
      <c r="R172">
        <f t="shared" si="5"/>
        <v>0</v>
      </c>
    </row>
    <row r="173" spans="1:18" x14ac:dyDescent="0.25">
      <c r="A173" t="s">
        <v>173</v>
      </c>
      <c r="B173" t="s">
        <v>1385</v>
      </c>
      <c r="C173" t="s">
        <v>1407</v>
      </c>
      <c r="D173" s="2">
        <v>46210.387731481482</v>
      </c>
      <c r="E173" s="2">
        <f t="shared" si="4"/>
        <v>46210</v>
      </c>
      <c r="F173" t="s">
        <v>1744</v>
      </c>
      <c r="G173">
        <f>_xlfn.XLOOKUP(A173,FTD!A:A,FTD!C:C)</f>
        <v>500</v>
      </c>
      <c r="H173" cm="1">
        <f t="array" ref="H173">_xlfn.LET(
  _xlpm.s, TRIM(F173),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3" t="str">
        <f>_xlfn.XLOOKUP(E173,Calendar!C:C,Calendar!B:B)</f>
        <v>Working Day</v>
      </c>
      <c r="M173" s="2">
        <v>46211</v>
      </c>
      <c r="N173" t="s">
        <v>1417</v>
      </c>
      <c r="O173" t="s">
        <v>1789</v>
      </c>
      <c r="P173">
        <v>1</v>
      </c>
      <c r="Q173" t="str">
        <f>_xlfn.XLOOKUP(N173,Attendance!F:F,Attendance!J:J)</f>
        <v>Meta</v>
      </c>
      <c r="R173">
        <f t="shared" si="5"/>
        <v>0</v>
      </c>
    </row>
    <row r="174" spans="1:18" x14ac:dyDescent="0.25">
      <c r="A174" t="s">
        <v>174</v>
      </c>
      <c r="B174" t="s">
        <v>1387</v>
      </c>
      <c r="C174" t="s">
        <v>1389</v>
      </c>
      <c r="D174" s="2">
        <v>46216.664560185185</v>
      </c>
      <c r="E174" s="2">
        <f t="shared" si="4"/>
        <v>46216</v>
      </c>
      <c r="F174" t="s">
        <v>1739</v>
      </c>
      <c r="G174">
        <f>_xlfn.XLOOKUP(A174,FTD!A:A,FTD!C:C)</f>
        <v>1000</v>
      </c>
      <c r="H174" cm="1">
        <f t="array" ref="H174">_xlfn.LET(
  _xlpm.s, TRIM(F174),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74" t="str">
        <f>_xlfn.XLOOKUP(E174,Calendar!C:C,Calendar!B:B)</f>
        <v>Working Day</v>
      </c>
      <c r="M174" s="2">
        <v>46211</v>
      </c>
      <c r="N174" t="s">
        <v>1400</v>
      </c>
      <c r="O174" t="s">
        <v>1789</v>
      </c>
      <c r="P174">
        <v>2</v>
      </c>
      <c r="Q174" t="str">
        <f>_xlfn.XLOOKUP(N174,Attendance!F:F,Attendance!J:J)</f>
        <v>Meta</v>
      </c>
      <c r="R174">
        <f t="shared" si="5"/>
        <v>0</v>
      </c>
    </row>
    <row r="175" spans="1:18" x14ac:dyDescent="0.25">
      <c r="A175" t="s">
        <v>175</v>
      </c>
      <c r="B175" t="s">
        <v>1387</v>
      </c>
      <c r="C175" t="s">
        <v>1413</v>
      </c>
      <c r="D175" s="2">
        <v>46205.805949074071</v>
      </c>
      <c r="E175" s="2">
        <f t="shared" si="4"/>
        <v>46205</v>
      </c>
      <c r="F175" t="s">
        <v>1738</v>
      </c>
      <c r="G175">
        <f>_xlfn.XLOOKUP(A175,FTD!A:A,FTD!C:C)</f>
        <v>1500</v>
      </c>
      <c r="H175" cm="1">
        <f t="array" ref="H175">_xlfn.LET(
  _xlpm.s, TRIM(F175),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5" t="str">
        <f>_xlfn.XLOOKUP(E175,Calendar!C:C,Calendar!B:B)</f>
        <v>Working Day</v>
      </c>
      <c r="M175" s="2">
        <v>46211</v>
      </c>
      <c r="N175" t="s">
        <v>1397</v>
      </c>
      <c r="O175" t="s">
        <v>1789</v>
      </c>
      <c r="P175">
        <v>4</v>
      </c>
      <c r="Q175" t="str">
        <f>_xlfn.XLOOKUP(N175,Attendance!F:F,Attendance!J:J)</f>
        <v>Meta</v>
      </c>
      <c r="R175">
        <f t="shared" si="5"/>
        <v>400</v>
      </c>
    </row>
    <row r="176" spans="1:18" x14ac:dyDescent="0.25">
      <c r="A176" t="s">
        <v>176</v>
      </c>
      <c r="B176" t="s">
        <v>1387</v>
      </c>
      <c r="C176" t="s">
        <v>1406</v>
      </c>
      <c r="D176" s="2">
        <v>46230.509965277779</v>
      </c>
      <c r="E176" s="2">
        <f t="shared" si="4"/>
        <v>46230</v>
      </c>
      <c r="F176" t="s">
        <v>1738</v>
      </c>
      <c r="G176">
        <f>_xlfn.XLOOKUP(A176,FTD!A:A,FTD!C:C)</f>
        <v>1000</v>
      </c>
      <c r="H176" cm="1">
        <f t="array" ref="H176">_xlfn.LET(
  _xlpm.s, TRIM(F176),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6" t="str">
        <f>_xlfn.XLOOKUP(E176,Calendar!C:C,Calendar!B:B)</f>
        <v>Working Day</v>
      </c>
      <c r="M176" s="2">
        <v>46211</v>
      </c>
      <c r="N176" t="s">
        <v>1401</v>
      </c>
      <c r="O176" t="s">
        <v>1789</v>
      </c>
      <c r="P176">
        <v>1</v>
      </c>
      <c r="Q176" t="str">
        <f>_xlfn.XLOOKUP(N176,Attendance!F:F,Attendance!J:J)</f>
        <v>OJT 2</v>
      </c>
      <c r="R176">
        <f t="shared" si="5"/>
        <v>0</v>
      </c>
    </row>
    <row r="177" spans="1:18" x14ac:dyDescent="0.25">
      <c r="A177" t="s">
        <v>177</v>
      </c>
      <c r="B177" t="s">
        <v>1387</v>
      </c>
      <c r="C177" t="s">
        <v>1398</v>
      </c>
      <c r="D177" s="2">
        <v>46217.637743055551</v>
      </c>
      <c r="E177" s="2">
        <f t="shared" si="4"/>
        <v>46217</v>
      </c>
      <c r="F177" t="s">
        <v>1738</v>
      </c>
      <c r="G177">
        <f>_xlfn.XLOOKUP(A177,FTD!A:A,FTD!C:C)</f>
        <v>5000</v>
      </c>
      <c r="H177" cm="1">
        <f t="array" ref="H177">_xlfn.LET(
  _xlpm.s, TRIM(F177),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7" t="str">
        <f>_xlfn.XLOOKUP(E177,Calendar!C:C,Calendar!B:B)</f>
        <v>Working Day</v>
      </c>
      <c r="M177" s="2">
        <v>46211</v>
      </c>
      <c r="N177" t="s">
        <v>1407</v>
      </c>
      <c r="O177" t="s">
        <v>1789</v>
      </c>
      <c r="P177">
        <v>3</v>
      </c>
      <c r="Q177" t="str">
        <f>_xlfn.XLOOKUP(N177,Attendance!F:F,Attendance!J:J)</f>
        <v>Meta</v>
      </c>
      <c r="R177">
        <f t="shared" si="5"/>
        <v>0</v>
      </c>
    </row>
    <row r="178" spans="1:18" x14ac:dyDescent="0.25">
      <c r="A178" t="s">
        <v>178</v>
      </c>
      <c r="B178" t="s">
        <v>1387</v>
      </c>
      <c r="C178" t="s">
        <v>1402</v>
      </c>
      <c r="D178" s="2">
        <v>46230.476805555554</v>
      </c>
      <c r="E178" s="2">
        <f t="shared" si="4"/>
        <v>46230</v>
      </c>
      <c r="F178" t="s">
        <v>1738</v>
      </c>
      <c r="G178">
        <f>_xlfn.XLOOKUP(A178,FTD!A:A,FTD!C:C)</f>
        <v>30000</v>
      </c>
      <c r="H178" cm="1">
        <f t="array" ref="H178">_xlfn.LET(
  _xlpm.s, TRIM(F178),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8" t="str">
        <f>_xlfn.XLOOKUP(E178,Calendar!C:C,Calendar!B:B)</f>
        <v>Working Day</v>
      </c>
      <c r="M178" s="2">
        <v>46211</v>
      </c>
      <c r="N178" t="s">
        <v>1396</v>
      </c>
      <c r="O178" t="s">
        <v>1789</v>
      </c>
      <c r="P178">
        <v>4</v>
      </c>
      <c r="Q178" t="str">
        <f>_xlfn.XLOOKUP(N178,Attendance!F:F,Attendance!J:J)</f>
        <v>Telegram</v>
      </c>
      <c r="R178">
        <f t="shared" si="5"/>
        <v>500</v>
      </c>
    </row>
    <row r="179" spans="1:18" x14ac:dyDescent="0.25">
      <c r="A179" t="s">
        <v>179</v>
      </c>
      <c r="B179" t="s">
        <v>1387</v>
      </c>
      <c r="C179" t="s">
        <v>1406</v>
      </c>
      <c r="D179" s="2">
        <v>46220.827199074069</v>
      </c>
      <c r="E179" s="2">
        <f t="shared" si="4"/>
        <v>46220</v>
      </c>
      <c r="F179" t="s">
        <v>1738</v>
      </c>
      <c r="G179">
        <f>_xlfn.XLOOKUP(A179,FTD!A:A,FTD!C:C)</f>
        <v>1000</v>
      </c>
      <c r="H179" cm="1">
        <f t="array" ref="H179">_xlfn.LET(
  _xlpm.s, TRIM(F179),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79" t="str">
        <f>_xlfn.XLOOKUP(E179,Calendar!C:C,Calendar!B:B)</f>
        <v>Working Day</v>
      </c>
      <c r="M179" s="2">
        <v>46211</v>
      </c>
      <c r="N179" t="s">
        <v>1412</v>
      </c>
      <c r="O179" t="s">
        <v>1789</v>
      </c>
      <c r="P179">
        <v>3</v>
      </c>
      <c r="Q179" t="str">
        <f>_xlfn.XLOOKUP(N179,Attendance!F:F,Attendance!J:J)</f>
        <v>1</v>
      </c>
      <c r="R179">
        <f t="shared" si="5"/>
        <v>0</v>
      </c>
    </row>
    <row r="180" spans="1:18" x14ac:dyDescent="0.25">
      <c r="A180" t="s">
        <v>180</v>
      </c>
      <c r="B180" t="s">
        <v>1387</v>
      </c>
      <c r="C180" t="s">
        <v>1430</v>
      </c>
      <c r="D180" s="2">
        <v>46224.867777777778</v>
      </c>
      <c r="E180" s="2">
        <f t="shared" si="4"/>
        <v>46224</v>
      </c>
      <c r="F180" t="s">
        <v>1751</v>
      </c>
      <c r="G180">
        <f>_xlfn.XLOOKUP(A180,FTD!A:A,FTD!C:C)</f>
        <v>1000</v>
      </c>
      <c r="H180" cm="1">
        <f t="array" ref="H180">_xlfn.LET(
  _xlpm.s, TRIM(F180),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80" t="str">
        <f>_xlfn.XLOOKUP(E180,Calendar!C:C,Calendar!B:B)</f>
        <v>Working Day</v>
      </c>
      <c r="M180" s="2">
        <v>46211</v>
      </c>
      <c r="N180" t="s">
        <v>1406</v>
      </c>
      <c r="O180" t="s">
        <v>1789</v>
      </c>
      <c r="P180">
        <v>7</v>
      </c>
      <c r="Q180" t="str">
        <f>_xlfn.XLOOKUP(N180,Attendance!F:F,Attendance!J:J)</f>
        <v>1</v>
      </c>
      <c r="R180">
        <f t="shared" si="5"/>
        <v>0</v>
      </c>
    </row>
    <row r="181" spans="1:18" x14ac:dyDescent="0.25">
      <c r="A181" t="s">
        <v>181</v>
      </c>
      <c r="B181" t="s">
        <v>1387</v>
      </c>
      <c r="C181" t="s">
        <v>1431</v>
      </c>
      <c r="D181" s="2">
        <v>46224.444976851853</v>
      </c>
      <c r="E181" s="2">
        <f t="shared" si="4"/>
        <v>46224</v>
      </c>
      <c r="F181" t="s">
        <v>1706</v>
      </c>
      <c r="G181">
        <f>_xlfn.XLOOKUP(A181,FTD!A:A,FTD!C:C)</f>
        <v>1000</v>
      </c>
      <c r="H181" cm="1">
        <f t="array" ref="H181">_xlfn.LET(
  _xlpm.s, TRIM(F181),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81" t="str">
        <f>_xlfn.XLOOKUP(E181,Calendar!C:C,Calendar!B:B)</f>
        <v>Working Day</v>
      </c>
      <c r="M181" s="2">
        <v>46211</v>
      </c>
      <c r="N181" t="s">
        <v>1431</v>
      </c>
      <c r="O181" t="s">
        <v>1789</v>
      </c>
      <c r="P181">
        <v>1</v>
      </c>
      <c r="Q181" t="str">
        <f>_xlfn.XLOOKUP(N181,Attendance!F:F,Attendance!J:J)</f>
        <v>Telegram</v>
      </c>
      <c r="R181">
        <f t="shared" si="5"/>
        <v>0</v>
      </c>
    </row>
    <row r="182" spans="1:18" x14ac:dyDescent="0.25">
      <c r="A182" t="s">
        <v>182</v>
      </c>
      <c r="B182" t="s">
        <v>1387</v>
      </c>
      <c r="C182" t="s">
        <v>1399</v>
      </c>
      <c r="D182" s="2">
        <v>46227.953692129631</v>
      </c>
      <c r="E182" s="2">
        <f t="shared" si="4"/>
        <v>46227</v>
      </c>
      <c r="F182" t="s">
        <v>1738</v>
      </c>
      <c r="G182">
        <f>_xlfn.XLOOKUP(A182,FTD!A:A,FTD!C:C)</f>
        <v>5000</v>
      </c>
      <c r="H182" cm="1">
        <f t="array" ref="H182">_xlfn.LET(
  _xlpm.s, TRIM(F182),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82" t="str">
        <f>_xlfn.XLOOKUP(E182,Calendar!C:C,Calendar!B:B)</f>
        <v>Working Day</v>
      </c>
      <c r="M182" s="2">
        <v>46211</v>
      </c>
      <c r="N182" t="s">
        <v>1430</v>
      </c>
      <c r="O182" t="s">
        <v>1789</v>
      </c>
      <c r="P182">
        <v>2</v>
      </c>
      <c r="Q182" t="str">
        <f>_xlfn.XLOOKUP(N182,Attendance!F:F,Attendance!J:J)</f>
        <v>Telegram</v>
      </c>
      <c r="R182">
        <f t="shared" si="5"/>
        <v>0</v>
      </c>
    </row>
    <row r="183" spans="1:18" x14ac:dyDescent="0.25">
      <c r="A183" t="s">
        <v>183</v>
      </c>
      <c r="B183" t="s">
        <v>1387</v>
      </c>
      <c r="C183" t="s">
        <v>1398</v>
      </c>
      <c r="D183" s="2">
        <v>46226.846273148149</v>
      </c>
      <c r="E183" s="2">
        <f t="shared" si="4"/>
        <v>46226</v>
      </c>
      <c r="F183" t="s">
        <v>1739</v>
      </c>
      <c r="G183">
        <f>_xlfn.XLOOKUP(A183,FTD!A:A,FTD!C:C)</f>
        <v>50000</v>
      </c>
      <c r="H183" cm="1">
        <f t="array" ref="H183">_xlfn.LET(
  _xlpm.s, TRIM(F183),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83" t="str">
        <f>_xlfn.XLOOKUP(E183,Calendar!C:C,Calendar!B:B)</f>
        <v>Working Day</v>
      </c>
      <c r="M183" s="2">
        <v>46211</v>
      </c>
      <c r="N183" t="s">
        <v>1402</v>
      </c>
      <c r="O183" t="s">
        <v>1789</v>
      </c>
      <c r="P183">
        <v>3</v>
      </c>
      <c r="Q183" t="str">
        <f>_xlfn.XLOOKUP(N183,Attendance!F:F,Attendance!J:J)</f>
        <v>1</v>
      </c>
      <c r="R183">
        <f t="shared" si="5"/>
        <v>0</v>
      </c>
    </row>
    <row r="184" spans="1:18" x14ac:dyDescent="0.25">
      <c r="A184" t="s">
        <v>184</v>
      </c>
      <c r="B184" t="s">
        <v>1387</v>
      </c>
      <c r="C184" t="s">
        <v>1402</v>
      </c>
      <c r="D184" s="2">
        <v>46218.694861111107</v>
      </c>
      <c r="E184" s="2">
        <f t="shared" si="4"/>
        <v>46218</v>
      </c>
      <c r="F184" t="s">
        <v>1738</v>
      </c>
      <c r="G184">
        <f>_xlfn.XLOOKUP(A184,FTD!A:A,FTD!C:C)</f>
        <v>50000</v>
      </c>
      <c r="H184" cm="1">
        <f t="array" ref="H184">_xlfn.LET(
  _xlpm.s, TRIM(F184),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84" t="str">
        <f>_xlfn.XLOOKUP(E184,Calendar!C:C,Calendar!B:B)</f>
        <v>Working Day</v>
      </c>
      <c r="M184" s="2">
        <v>46211</v>
      </c>
      <c r="N184" t="s">
        <v>1425</v>
      </c>
      <c r="O184" t="s">
        <v>1789</v>
      </c>
      <c r="P184">
        <v>2</v>
      </c>
      <c r="Q184" t="str">
        <f>_xlfn.XLOOKUP(N184,Attendance!F:F,Attendance!J:J)</f>
        <v>OJT 1</v>
      </c>
      <c r="R184">
        <f t="shared" si="5"/>
        <v>0</v>
      </c>
    </row>
    <row r="185" spans="1:18" x14ac:dyDescent="0.25">
      <c r="A185" t="s">
        <v>185</v>
      </c>
      <c r="B185" t="s">
        <v>1387</v>
      </c>
      <c r="C185" t="s">
        <v>1398</v>
      </c>
      <c r="D185" s="2">
        <v>46216.432152777779</v>
      </c>
      <c r="E185" s="2">
        <f t="shared" si="4"/>
        <v>46216</v>
      </c>
      <c r="F185" t="s">
        <v>1738</v>
      </c>
      <c r="G185">
        <f>_xlfn.XLOOKUP(A185,FTD!A:A,FTD!C:C)</f>
        <v>10000</v>
      </c>
      <c r="H185" cm="1">
        <f t="array" ref="H185">_xlfn.LET(
  _xlpm.s, TRIM(F185),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85" t="str">
        <f>_xlfn.XLOOKUP(E185,Calendar!C:C,Calendar!B:B)</f>
        <v>Working Day</v>
      </c>
      <c r="M185" s="2">
        <v>46211</v>
      </c>
      <c r="N185" t="s">
        <v>1390</v>
      </c>
      <c r="O185" t="s">
        <v>1789</v>
      </c>
      <c r="P185">
        <v>3</v>
      </c>
      <c r="Q185" t="str">
        <f>_xlfn.XLOOKUP(N185,Attendance!F:F,Attendance!J:J)</f>
        <v>Meta</v>
      </c>
      <c r="R185">
        <f t="shared" si="5"/>
        <v>0</v>
      </c>
    </row>
    <row r="186" spans="1:18" x14ac:dyDescent="0.25">
      <c r="A186" t="s">
        <v>186</v>
      </c>
      <c r="B186" t="s">
        <v>1387</v>
      </c>
      <c r="C186" t="s">
        <v>1406</v>
      </c>
      <c r="D186" s="2">
        <v>46222.36519675926</v>
      </c>
      <c r="E186" s="2">
        <f t="shared" si="4"/>
        <v>46222</v>
      </c>
      <c r="F186" t="s">
        <v>1738</v>
      </c>
      <c r="G186">
        <f>_xlfn.XLOOKUP(A186,FTD!A:A,FTD!C:C)</f>
        <v>1000</v>
      </c>
      <c r="H186" cm="1">
        <f t="array" ref="H186">_xlfn.LET(
  _xlpm.s, TRIM(F186),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86" t="str">
        <f>_xlfn.XLOOKUP(E186,Calendar!C:C,Calendar!B:B)</f>
        <v>Sunday</v>
      </c>
      <c r="M186" s="2">
        <v>46211</v>
      </c>
      <c r="N186" t="s">
        <v>1392</v>
      </c>
      <c r="O186" t="s">
        <v>1789</v>
      </c>
      <c r="P186">
        <v>1</v>
      </c>
      <c r="Q186" t="str">
        <f>_xlfn.XLOOKUP(N186,Attendance!F:F,Attendance!J:J)</f>
        <v>Telegram</v>
      </c>
      <c r="R186">
        <f t="shared" si="5"/>
        <v>0</v>
      </c>
    </row>
    <row r="187" spans="1:18" x14ac:dyDescent="0.25">
      <c r="A187" t="s">
        <v>187</v>
      </c>
      <c r="B187" t="s">
        <v>1387</v>
      </c>
      <c r="C187" t="s">
        <v>1408</v>
      </c>
      <c r="D187" s="2">
        <v>46217.427268518513</v>
      </c>
      <c r="E187" s="2">
        <f t="shared" si="4"/>
        <v>46217</v>
      </c>
      <c r="F187" t="s">
        <v>1738</v>
      </c>
      <c r="G187">
        <f>_xlfn.XLOOKUP(A187,FTD!A:A,FTD!C:C)</f>
        <v>7750</v>
      </c>
      <c r="H187" cm="1">
        <f t="array" ref="H187">_xlfn.LET(
  _xlpm.s, TRIM(F187),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87" t="str">
        <f>_xlfn.XLOOKUP(E187,Calendar!C:C,Calendar!B:B)</f>
        <v>Working Day</v>
      </c>
      <c r="M187" s="2">
        <v>46211</v>
      </c>
      <c r="N187" t="s">
        <v>1399</v>
      </c>
      <c r="O187" t="s">
        <v>1789</v>
      </c>
      <c r="P187">
        <v>2</v>
      </c>
      <c r="Q187" t="str">
        <f>_xlfn.XLOOKUP(N187,Attendance!F:F,Attendance!J:J)</f>
        <v>1</v>
      </c>
      <c r="R187">
        <f t="shared" si="5"/>
        <v>0</v>
      </c>
    </row>
    <row r="188" spans="1:18" x14ac:dyDescent="0.25">
      <c r="A188" t="s">
        <v>188</v>
      </c>
      <c r="B188" t="s">
        <v>1387</v>
      </c>
      <c r="C188" t="s">
        <v>1391</v>
      </c>
      <c r="D188" s="2">
        <v>46232.567013888889</v>
      </c>
      <c r="E188" s="2">
        <f t="shared" si="4"/>
        <v>46232</v>
      </c>
      <c r="F188" t="s">
        <v>1739</v>
      </c>
      <c r="G188">
        <f>_xlfn.XLOOKUP(A188,FTD!A:A,FTD!C:C)</f>
        <v>1000</v>
      </c>
      <c r="H188" cm="1">
        <f t="array" ref="H188">_xlfn.LET(
  _xlpm.s, TRIM(F188),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88" t="str">
        <f>_xlfn.XLOOKUP(E188,Calendar!C:C,Calendar!B:B)</f>
        <v>Working Day</v>
      </c>
      <c r="M188" s="2">
        <v>46211</v>
      </c>
      <c r="N188" t="s">
        <v>1418</v>
      </c>
      <c r="O188" t="s">
        <v>1789</v>
      </c>
      <c r="P188">
        <v>2</v>
      </c>
      <c r="Q188" t="str">
        <f>_xlfn.XLOOKUP(N188,Attendance!F:F,Attendance!J:J)</f>
        <v>OJT 1</v>
      </c>
      <c r="R188">
        <f t="shared" si="5"/>
        <v>0</v>
      </c>
    </row>
    <row r="189" spans="1:18" x14ac:dyDescent="0.25">
      <c r="A189" t="s">
        <v>189</v>
      </c>
      <c r="B189" t="s">
        <v>1387</v>
      </c>
      <c r="C189" t="s">
        <v>1399</v>
      </c>
      <c r="D189" s="2">
        <v>46204.87605324074</v>
      </c>
      <c r="E189" s="2">
        <f t="shared" si="4"/>
        <v>46204</v>
      </c>
      <c r="F189" t="s">
        <v>1738</v>
      </c>
      <c r="G189">
        <f>_xlfn.XLOOKUP(A189,FTD!A:A,FTD!C:C)</f>
        <v>2000</v>
      </c>
      <c r="H189" cm="1">
        <f t="array" ref="H189">_xlfn.LET(
  _xlpm.s, TRIM(F189),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89" t="str">
        <f>_xlfn.XLOOKUP(E189,Calendar!C:C,Calendar!B:B)</f>
        <v>Working Day</v>
      </c>
      <c r="M189" s="2">
        <v>46211</v>
      </c>
      <c r="N189" t="s">
        <v>1428</v>
      </c>
      <c r="O189" t="s">
        <v>1789</v>
      </c>
      <c r="P189">
        <v>2</v>
      </c>
      <c r="Q189" t="str">
        <f>_xlfn.XLOOKUP(N189,Attendance!F:F,Attendance!J:J)</f>
        <v>OLD OJT</v>
      </c>
      <c r="R189">
        <f t="shared" si="5"/>
        <v>0</v>
      </c>
    </row>
    <row r="190" spans="1:18" x14ac:dyDescent="0.25">
      <c r="A190" t="s">
        <v>190</v>
      </c>
      <c r="B190" t="s">
        <v>1387</v>
      </c>
      <c r="C190" t="s">
        <v>1408</v>
      </c>
      <c r="D190" s="2">
        <v>46226.414733796293</v>
      </c>
      <c r="E190" s="2">
        <f t="shared" si="4"/>
        <v>46226</v>
      </c>
      <c r="F190" t="s">
        <v>1738</v>
      </c>
      <c r="G190">
        <f>_xlfn.XLOOKUP(A190,FTD!A:A,FTD!C:C)</f>
        <v>2000</v>
      </c>
      <c r="H190" cm="1">
        <f t="array" ref="H190">_xlfn.LET(
  _xlpm.s, TRIM(F190),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0" t="str">
        <f>_xlfn.XLOOKUP(E190,Calendar!C:C,Calendar!B:B)</f>
        <v>Working Day</v>
      </c>
      <c r="M190" s="2">
        <v>46211</v>
      </c>
      <c r="N190" t="s">
        <v>1408</v>
      </c>
      <c r="O190" t="s">
        <v>1789</v>
      </c>
      <c r="P190">
        <v>1</v>
      </c>
      <c r="Q190" t="str">
        <f>_xlfn.XLOOKUP(N190,Attendance!F:F,Attendance!J:J)</f>
        <v>1</v>
      </c>
      <c r="R190">
        <f t="shared" si="5"/>
        <v>0</v>
      </c>
    </row>
    <row r="191" spans="1:18" x14ac:dyDescent="0.25">
      <c r="A191" t="s">
        <v>191</v>
      </c>
      <c r="B191" t="s">
        <v>1387</v>
      </c>
      <c r="C191" t="s">
        <v>1406</v>
      </c>
      <c r="D191" s="2">
        <v>46223.785902777774</v>
      </c>
      <c r="E191" s="2">
        <f t="shared" si="4"/>
        <v>46223</v>
      </c>
      <c r="F191" t="s">
        <v>1738</v>
      </c>
      <c r="G191">
        <f>_xlfn.XLOOKUP(A191,FTD!A:A,FTD!C:C)</f>
        <v>2000</v>
      </c>
      <c r="H191" cm="1">
        <f t="array" ref="H191">_xlfn.LET(
  _xlpm.s, TRIM(F191),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1" t="str">
        <f>_xlfn.XLOOKUP(E191,Calendar!C:C,Calendar!B:B)</f>
        <v>Working Day</v>
      </c>
      <c r="M191" s="2">
        <v>46212</v>
      </c>
      <c r="N191" t="s">
        <v>1405</v>
      </c>
      <c r="O191" t="s">
        <v>1789</v>
      </c>
      <c r="P191">
        <v>2</v>
      </c>
      <c r="Q191" t="str">
        <f>_xlfn.XLOOKUP(N191,Attendance!F:F,Attendance!J:J)</f>
        <v>Dialer</v>
      </c>
      <c r="R191">
        <f t="shared" si="5"/>
        <v>0</v>
      </c>
    </row>
    <row r="192" spans="1:18" x14ac:dyDescent="0.25">
      <c r="A192" t="s">
        <v>192</v>
      </c>
      <c r="B192" t="s">
        <v>1387</v>
      </c>
      <c r="C192" t="s">
        <v>1391</v>
      </c>
      <c r="D192" s="2">
        <v>46216.568333333329</v>
      </c>
      <c r="E192" s="2">
        <f t="shared" si="4"/>
        <v>46216</v>
      </c>
      <c r="F192" t="s">
        <v>1744</v>
      </c>
      <c r="G192">
        <f>_xlfn.XLOOKUP(A192,FTD!A:A,FTD!C:C)</f>
        <v>1000</v>
      </c>
      <c r="H192" cm="1">
        <f t="array" ref="H192">_xlfn.LET(
  _xlpm.s, TRIM(F192),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2" t="str">
        <f>_xlfn.XLOOKUP(E192,Calendar!C:C,Calendar!B:B)</f>
        <v>Working Day</v>
      </c>
      <c r="M192" s="2">
        <v>46212</v>
      </c>
      <c r="N192" t="s">
        <v>1403</v>
      </c>
      <c r="O192" t="s">
        <v>1789</v>
      </c>
      <c r="P192">
        <v>2</v>
      </c>
      <c r="Q192" t="str">
        <f>_xlfn.XLOOKUP(N192,Attendance!F:F,Attendance!J:J)</f>
        <v>Meta</v>
      </c>
      <c r="R192">
        <f t="shared" si="5"/>
        <v>0</v>
      </c>
    </row>
    <row r="193" spans="1:18" x14ac:dyDescent="0.25">
      <c r="A193" t="s">
        <v>193</v>
      </c>
      <c r="B193" t="s">
        <v>1387</v>
      </c>
      <c r="C193" t="s">
        <v>1391</v>
      </c>
      <c r="D193" s="2">
        <v>46218.75644675926</v>
      </c>
      <c r="E193" s="2">
        <f t="shared" si="4"/>
        <v>46218</v>
      </c>
      <c r="F193" t="s">
        <v>1738</v>
      </c>
      <c r="G193">
        <f>_xlfn.XLOOKUP(A193,FTD!A:A,FTD!C:C)</f>
        <v>1000</v>
      </c>
      <c r="H193" cm="1">
        <f t="array" ref="H193">_xlfn.LET(
  _xlpm.s, TRIM(F193),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3" t="str">
        <f>_xlfn.XLOOKUP(E193,Calendar!C:C,Calendar!B:B)</f>
        <v>Working Day</v>
      </c>
      <c r="M193" s="2">
        <v>46212</v>
      </c>
      <c r="N193" t="s">
        <v>1436</v>
      </c>
      <c r="O193" t="s">
        <v>1789</v>
      </c>
      <c r="P193">
        <v>1</v>
      </c>
      <c r="Q193" t="str">
        <f>_xlfn.XLOOKUP(N193,Attendance!F:F,Attendance!J:J)</f>
        <v>Telegram</v>
      </c>
      <c r="R193">
        <f t="shared" si="5"/>
        <v>0</v>
      </c>
    </row>
    <row r="194" spans="1:18" x14ac:dyDescent="0.25">
      <c r="A194" t="s">
        <v>194</v>
      </c>
      <c r="B194" t="s">
        <v>1387</v>
      </c>
      <c r="C194" t="s">
        <v>1408</v>
      </c>
      <c r="D194" s="2">
        <v>46226.462916666664</v>
      </c>
      <c r="E194" s="2">
        <f t="shared" si="4"/>
        <v>46226</v>
      </c>
      <c r="F194" t="s">
        <v>1739</v>
      </c>
      <c r="G194">
        <f>_xlfn.XLOOKUP(A194,FTD!A:A,FTD!C:C)</f>
        <v>1000</v>
      </c>
      <c r="H194" cm="1">
        <f t="array" ref="H194">_xlfn.LET(
  _xlpm.s, TRIM(F194),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94" t="str">
        <f>_xlfn.XLOOKUP(E194,Calendar!C:C,Calendar!B:B)</f>
        <v>Working Day</v>
      </c>
      <c r="M194" s="2">
        <v>46212</v>
      </c>
      <c r="N194" t="s">
        <v>1432</v>
      </c>
      <c r="O194" t="s">
        <v>1789</v>
      </c>
      <c r="P194">
        <v>1</v>
      </c>
      <c r="Q194" t="str">
        <f>_xlfn.XLOOKUP(N194,Attendance!F:F,Attendance!J:J)</f>
        <v>New OJT</v>
      </c>
      <c r="R194">
        <f t="shared" si="5"/>
        <v>0</v>
      </c>
    </row>
    <row r="195" spans="1:18" x14ac:dyDescent="0.25">
      <c r="A195" t="s">
        <v>195</v>
      </c>
      <c r="B195" t="s">
        <v>1387</v>
      </c>
      <c r="C195" t="s">
        <v>1432</v>
      </c>
      <c r="D195" s="2">
        <v>46217.755925925921</v>
      </c>
      <c r="E195" s="2">
        <f t="shared" ref="E195:E258" si="6">INT(D195)</f>
        <v>46217</v>
      </c>
      <c r="F195" t="s">
        <v>1738</v>
      </c>
      <c r="G195">
        <f>_xlfn.XLOOKUP(A195,FTD!A:A,FTD!C:C)</f>
        <v>1000</v>
      </c>
      <c r="H195" cm="1">
        <f t="array" ref="H195">_xlfn.LET(
  _xlpm.s, TRIM(F195),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5" t="str">
        <f>_xlfn.XLOOKUP(E195,Calendar!C:C,Calendar!B:B)</f>
        <v>Working Day</v>
      </c>
      <c r="M195" s="2">
        <v>46212</v>
      </c>
      <c r="N195" t="s">
        <v>1388</v>
      </c>
      <c r="O195" t="s">
        <v>1789</v>
      </c>
      <c r="P195">
        <v>1</v>
      </c>
      <c r="Q195" t="str">
        <f>_xlfn.XLOOKUP(N195,Attendance!F:F,Attendance!J:J)</f>
        <v>Telegram</v>
      </c>
      <c r="R195">
        <f t="shared" si="5"/>
        <v>0</v>
      </c>
    </row>
    <row r="196" spans="1:18" x14ac:dyDescent="0.25">
      <c r="A196" t="s">
        <v>196</v>
      </c>
      <c r="B196" t="s">
        <v>1387</v>
      </c>
      <c r="C196" t="s">
        <v>1401</v>
      </c>
      <c r="D196" s="2">
        <v>46211.448530092588</v>
      </c>
      <c r="E196" s="2">
        <f t="shared" si="6"/>
        <v>46211</v>
      </c>
      <c r="F196" t="s">
        <v>1755</v>
      </c>
      <c r="G196">
        <f>_xlfn.XLOOKUP(A196,FTD!A:A,FTD!C:C)</f>
        <v>5000</v>
      </c>
      <c r="H196" cm="1">
        <f t="array" ref="H196">_xlfn.LET(
  _xlpm.s, TRIM(F196),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96" t="str">
        <f>_xlfn.XLOOKUP(E196,Calendar!C:C,Calendar!B:B)</f>
        <v>Working Day</v>
      </c>
      <c r="M196" s="2">
        <v>46212</v>
      </c>
      <c r="N196" t="s">
        <v>1415</v>
      </c>
      <c r="O196" t="s">
        <v>1789</v>
      </c>
      <c r="P196">
        <v>4</v>
      </c>
      <c r="Q196" t="str">
        <f>_xlfn.XLOOKUP(N196,Attendance!F:F,Attendance!J:J)</f>
        <v>Meta</v>
      </c>
      <c r="R196">
        <f t="shared" ref="R196:R259" si="7">_xlfn.LET(
  _xlpm.pool, IFERROR(Q196&amp;"", ""),
  _xlpm.conv, IFERROR(--P196, 0),
  _xlpm.mkt,  O197="Working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400</v>
      </c>
    </row>
    <row r="197" spans="1:18" x14ac:dyDescent="0.25">
      <c r="A197" t="s">
        <v>197</v>
      </c>
      <c r="B197" t="s">
        <v>1387</v>
      </c>
      <c r="C197" t="s">
        <v>1408</v>
      </c>
      <c r="D197" s="2">
        <v>46216.445254629631</v>
      </c>
      <c r="E197" s="2">
        <f t="shared" si="6"/>
        <v>46216</v>
      </c>
      <c r="F197" t="s">
        <v>1738</v>
      </c>
      <c r="G197">
        <f>_xlfn.XLOOKUP(A197,FTD!A:A,FTD!C:C)</f>
        <v>42000</v>
      </c>
      <c r="H197" cm="1">
        <f t="array" ref="H197">_xlfn.LET(
  _xlpm.s, TRIM(F197),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7" t="str">
        <f>_xlfn.XLOOKUP(E197,Calendar!C:C,Calendar!B:B)</f>
        <v>Working Day</v>
      </c>
      <c r="M197" s="2">
        <v>46212</v>
      </c>
      <c r="N197" t="s">
        <v>1433</v>
      </c>
      <c r="O197" t="s">
        <v>1789</v>
      </c>
      <c r="P197">
        <v>2</v>
      </c>
      <c r="Q197" t="str">
        <f>_xlfn.XLOOKUP(N197,Attendance!F:F,Attendance!J:J)</f>
        <v>Meta</v>
      </c>
      <c r="R197">
        <f t="shared" si="7"/>
        <v>0</v>
      </c>
    </row>
    <row r="198" spans="1:18" x14ac:dyDescent="0.25">
      <c r="A198" t="s">
        <v>198</v>
      </c>
      <c r="B198" t="s">
        <v>1387</v>
      </c>
      <c r="C198" t="s">
        <v>1433</v>
      </c>
      <c r="D198" s="2">
        <v>46214.451342592591</v>
      </c>
      <c r="E198" s="2">
        <f t="shared" si="6"/>
        <v>46214</v>
      </c>
      <c r="F198" t="s">
        <v>1743</v>
      </c>
      <c r="G198">
        <f>_xlfn.XLOOKUP(A198,FTD!A:A,FTD!C:C)</f>
        <v>1000</v>
      </c>
      <c r="H198" cm="1">
        <f t="array" ref="H198">_xlfn.LET(
  _xlpm.s, TRIM(F198),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8" t="str">
        <f>_xlfn.XLOOKUP(E198,Calendar!C:C,Calendar!B:B)</f>
        <v>Saturday</v>
      </c>
      <c r="M198" s="2">
        <v>46212</v>
      </c>
      <c r="N198" t="s">
        <v>1398</v>
      </c>
      <c r="O198" t="s">
        <v>1789</v>
      </c>
      <c r="P198">
        <v>3</v>
      </c>
      <c r="Q198" t="str">
        <f>_xlfn.XLOOKUP(N198,Attendance!F:F,Attendance!J:J)</f>
        <v>1</v>
      </c>
      <c r="R198">
        <f t="shared" si="7"/>
        <v>0</v>
      </c>
    </row>
    <row r="199" spans="1:18" x14ac:dyDescent="0.25">
      <c r="A199" t="s">
        <v>199</v>
      </c>
      <c r="B199" t="s">
        <v>1387</v>
      </c>
      <c r="C199" t="s">
        <v>1412</v>
      </c>
      <c r="D199" s="2">
        <v>46234.466122685182</v>
      </c>
      <c r="E199" s="2">
        <f t="shared" si="6"/>
        <v>46234</v>
      </c>
      <c r="F199" t="s">
        <v>1738</v>
      </c>
      <c r="G199">
        <f>_xlfn.XLOOKUP(A199,FTD!A:A,FTD!C:C)</f>
        <v>1000</v>
      </c>
      <c r="H199" cm="1">
        <f t="array" ref="H199">_xlfn.LET(
  _xlpm.s, TRIM(F199),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99" t="str">
        <f>_xlfn.XLOOKUP(E199,Calendar!C:C,Calendar!B:B)</f>
        <v>Working Day</v>
      </c>
      <c r="M199" s="2">
        <v>46212</v>
      </c>
      <c r="N199" t="s">
        <v>1417</v>
      </c>
      <c r="O199" t="s">
        <v>1789</v>
      </c>
      <c r="P199">
        <v>1</v>
      </c>
      <c r="Q199" t="str">
        <f>_xlfn.XLOOKUP(N199,Attendance!F:F,Attendance!J:J)</f>
        <v>Meta</v>
      </c>
      <c r="R199">
        <f t="shared" si="7"/>
        <v>0</v>
      </c>
    </row>
    <row r="200" spans="1:18" x14ac:dyDescent="0.25">
      <c r="A200" t="s">
        <v>200</v>
      </c>
      <c r="B200" t="s">
        <v>1387</v>
      </c>
      <c r="C200" t="s">
        <v>1406</v>
      </c>
      <c r="D200" s="2">
        <v>46210.418634259258</v>
      </c>
      <c r="E200" s="2">
        <f t="shared" si="6"/>
        <v>46210</v>
      </c>
      <c r="F200" t="s">
        <v>1756</v>
      </c>
      <c r="G200">
        <f>_xlfn.XLOOKUP(A200,FTD!A:A,FTD!C:C)</f>
        <v>25000</v>
      </c>
      <c r="H200" cm="1">
        <f t="array" ref="H200">_xlfn.LET(
  _xlpm.s, TRIM(F200),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0" t="str">
        <f>_xlfn.XLOOKUP(E200,Calendar!C:C,Calendar!B:B)</f>
        <v>Working Day</v>
      </c>
      <c r="M200" s="2">
        <v>46212</v>
      </c>
      <c r="N200" t="s">
        <v>1400</v>
      </c>
      <c r="O200" t="s">
        <v>1789</v>
      </c>
      <c r="P200">
        <v>1</v>
      </c>
      <c r="Q200" t="str">
        <f>_xlfn.XLOOKUP(N200,Attendance!F:F,Attendance!J:J)</f>
        <v>Meta</v>
      </c>
      <c r="R200">
        <f t="shared" si="7"/>
        <v>0</v>
      </c>
    </row>
    <row r="201" spans="1:18" x14ac:dyDescent="0.25">
      <c r="A201" t="s">
        <v>201</v>
      </c>
      <c r="B201" t="s">
        <v>1387</v>
      </c>
      <c r="C201" t="s">
        <v>1397</v>
      </c>
      <c r="D201" s="2">
        <v>46224.495763888888</v>
      </c>
      <c r="E201" s="2">
        <f t="shared" si="6"/>
        <v>46224</v>
      </c>
      <c r="F201" t="s">
        <v>1746</v>
      </c>
      <c r="G201">
        <f>_xlfn.XLOOKUP(A201,FTD!A:A,FTD!C:C)</f>
        <v>1000</v>
      </c>
      <c r="H201" cm="1">
        <f t="array" ref="H201">_xlfn.LET(
  _xlpm.s, TRIM(F201),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01" t="str">
        <f>_xlfn.XLOOKUP(E201,Calendar!C:C,Calendar!B:B)</f>
        <v>Working Day</v>
      </c>
      <c r="M201" s="2">
        <v>46212</v>
      </c>
      <c r="N201" t="s">
        <v>1397</v>
      </c>
      <c r="O201" t="s">
        <v>1789</v>
      </c>
      <c r="P201">
        <v>1</v>
      </c>
      <c r="Q201" t="str">
        <f>_xlfn.XLOOKUP(N201,Attendance!F:F,Attendance!J:J)</f>
        <v>Meta</v>
      </c>
      <c r="R201">
        <f t="shared" si="7"/>
        <v>0</v>
      </c>
    </row>
    <row r="202" spans="1:18" x14ac:dyDescent="0.25">
      <c r="A202" t="s">
        <v>202</v>
      </c>
      <c r="B202" t="s">
        <v>1387</v>
      </c>
      <c r="C202" t="s">
        <v>1391</v>
      </c>
      <c r="D202" s="2">
        <v>46222.962106481478</v>
      </c>
      <c r="E202" s="2">
        <f t="shared" si="6"/>
        <v>46222</v>
      </c>
      <c r="F202" t="s">
        <v>1743</v>
      </c>
      <c r="G202">
        <f>_xlfn.XLOOKUP(A202,FTD!A:A,FTD!C:C)</f>
        <v>5300</v>
      </c>
      <c r="H202" cm="1">
        <f t="array" ref="H202">_xlfn.LET(
  _xlpm.s, TRIM(F202),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2" t="str">
        <f>_xlfn.XLOOKUP(E202,Calendar!C:C,Calendar!B:B)</f>
        <v>Sunday</v>
      </c>
      <c r="M202" s="2">
        <v>46212</v>
      </c>
      <c r="N202" t="s">
        <v>1401</v>
      </c>
      <c r="O202" t="s">
        <v>1789</v>
      </c>
      <c r="P202">
        <v>1</v>
      </c>
      <c r="Q202" t="str">
        <f>_xlfn.XLOOKUP(N202,Attendance!F:F,Attendance!J:J)</f>
        <v>OJT 2</v>
      </c>
      <c r="R202">
        <f t="shared" si="7"/>
        <v>0</v>
      </c>
    </row>
    <row r="203" spans="1:18" x14ac:dyDescent="0.25">
      <c r="A203" t="s">
        <v>203</v>
      </c>
      <c r="B203" t="s">
        <v>1387</v>
      </c>
      <c r="C203" t="s">
        <v>1395</v>
      </c>
      <c r="D203" s="2">
        <v>46220.506238425922</v>
      </c>
      <c r="E203" s="2">
        <f t="shared" si="6"/>
        <v>46220</v>
      </c>
      <c r="F203" t="s">
        <v>1739</v>
      </c>
      <c r="G203">
        <f>_xlfn.XLOOKUP(A203,FTD!A:A,FTD!C:C)</f>
        <v>1000</v>
      </c>
      <c r="H203" cm="1">
        <f t="array" ref="H203">_xlfn.LET(
  _xlpm.s, TRIM(F203),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03" t="str">
        <f>_xlfn.XLOOKUP(E203,Calendar!C:C,Calendar!B:B)</f>
        <v>Working Day</v>
      </c>
      <c r="M203" s="2">
        <v>46212</v>
      </c>
      <c r="N203" t="s">
        <v>1407</v>
      </c>
      <c r="O203" t="s">
        <v>1789</v>
      </c>
      <c r="P203">
        <v>5</v>
      </c>
      <c r="Q203" t="str">
        <f>_xlfn.XLOOKUP(N203,Attendance!F:F,Attendance!J:J)</f>
        <v>Meta</v>
      </c>
      <c r="R203">
        <f t="shared" si="7"/>
        <v>400</v>
      </c>
    </row>
    <row r="204" spans="1:18" x14ac:dyDescent="0.25">
      <c r="A204" t="s">
        <v>204</v>
      </c>
      <c r="B204" t="s">
        <v>1387</v>
      </c>
      <c r="C204" t="s">
        <v>1412</v>
      </c>
      <c r="D204" s="2">
        <v>46212.315243055556</v>
      </c>
      <c r="E204" s="2">
        <f t="shared" si="6"/>
        <v>46212</v>
      </c>
      <c r="F204" t="s">
        <v>1739</v>
      </c>
      <c r="G204">
        <f>_xlfn.XLOOKUP(A204,FTD!A:A,FTD!C:C)</f>
        <v>1000</v>
      </c>
      <c r="H204" cm="1">
        <f t="array" ref="H204">_xlfn.LET(
  _xlpm.s, TRIM(F204),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04" t="str">
        <f>_xlfn.XLOOKUP(E204,Calendar!C:C,Calendar!B:B)</f>
        <v>Working Day</v>
      </c>
      <c r="M204" s="2">
        <v>46212</v>
      </c>
      <c r="N204" t="s">
        <v>1396</v>
      </c>
      <c r="O204" t="s">
        <v>1789</v>
      </c>
      <c r="P204">
        <v>4</v>
      </c>
      <c r="Q204" t="str">
        <f>_xlfn.XLOOKUP(N204,Attendance!F:F,Attendance!J:J)</f>
        <v>Telegram</v>
      </c>
      <c r="R204">
        <f t="shared" si="7"/>
        <v>500</v>
      </c>
    </row>
    <row r="205" spans="1:18" x14ac:dyDescent="0.25">
      <c r="A205" t="s">
        <v>205</v>
      </c>
      <c r="B205" t="s">
        <v>1387</v>
      </c>
      <c r="C205" t="s">
        <v>1390</v>
      </c>
      <c r="D205" s="2">
        <v>46210.515219907407</v>
      </c>
      <c r="E205" s="2">
        <f t="shared" si="6"/>
        <v>46210</v>
      </c>
      <c r="F205" t="s">
        <v>1741</v>
      </c>
      <c r="G205">
        <f>_xlfn.XLOOKUP(A205,FTD!A:A,FTD!C:C)</f>
        <v>32000</v>
      </c>
      <c r="H205" cm="1">
        <f t="array" ref="H205">_xlfn.LET(
  _xlpm.s, TRIM(F205),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5" t="str">
        <f>_xlfn.XLOOKUP(E205,Calendar!C:C,Calendar!B:B)</f>
        <v>Working Day</v>
      </c>
      <c r="M205" s="2">
        <v>46212</v>
      </c>
      <c r="N205" t="s">
        <v>1412</v>
      </c>
      <c r="O205" t="s">
        <v>1789</v>
      </c>
      <c r="P205">
        <v>6</v>
      </c>
      <c r="Q205" t="str">
        <f>_xlfn.XLOOKUP(N205,Attendance!F:F,Attendance!J:J)</f>
        <v>1</v>
      </c>
      <c r="R205">
        <f t="shared" si="7"/>
        <v>0</v>
      </c>
    </row>
    <row r="206" spans="1:18" x14ac:dyDescent="0.25">
      <c r="A206" t="s">
        <v>206</v>
      </c>
      <c r="B206" t="s">
        <v>1387</v>
      </c>
      <c r="C206" t="s">
        <v>1399</v>
      </c>
      <c r="D206" s="2">
        <v>46207.861041666663</v>
      </c>
      <c r="E206" s="2">
        <f t="shared" si="6"/>
        <v>46207</v>
      </c>
      <c r="F206" t="s">
        <v>1738</v>
      </c>
      <c r="G206">
        <f>_xlfn.XLOOKUP(A206,FTD!A:A,FTD!C:C)</f>
        <v>50000</v>
      </c>
      <c r="H206" cm="1">
        <f t="array" ref="H206">_xlfn.LET(
  _xlpm.s, TRIM(F206),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6" t="str">
        <f>_xlfn.XLOOKUP(E206,Calendar!C:C,Calendar!B:B)</f>
        <v>Saturday</v>
      </c>
      <c r="M206" s="2">
        <v>46212</v>
      </c>
      <c r="N206" t="s">
        <v>1406</v>
      </c>
      <c r="O206" t="s">
        <v>1789</v>
      </c>
      <c r="P206">
        <v>3</v>
      </c>
      <c r="Q206" t="str">
        <f>_xlfn.XLOOKUP(N206,Attendance!F:F,Attendance!J:J)</f>
        <v>1</v>
      </c>
      <c r="R206">
        <f t="shared" si="7"/>
        <v>0</v>
      </c>
    </row>
    <row r="207" spans="1:18" x14ac:dyDescent="0.25">
      <c r="A207" t="s">
        <v>207</v>
      </c>
      <c r="B207" t="s">
        <v>1387</v>
      </c>
      <c r="C207" t="s">
        <v>1408</v>
      </c>
      <c r="D207" s="2">
        <v>46204.543749999997</v>
      </c>
      <c r="E207" s="2">
        <f t="shared" si="6"/>
        <v>46204</v>
      </c>
      <c r="F207" t="s">
        <v>1738</v>
      </c>
      <c r="G207">
        <f>_xlfn.XLOOKUP(A207,FTD!A:A,FTD!C:C)</f>
        <v>2000</v>
      </c>
      <c r="H207" cm="1">
        <f t="array" ref="H207">_xlfn.LET(
  _xlpm.s, TRIM(F207),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7" t="str">
        <f>_xlfn.XLOOKUP(E207,Calendar!C:C,Calendar!B:B)</f>
        <v>Working Day</v>
      </c>
      <c r="M207" s="2">
        <v>46212</v>
      </c>
      <c r="N207" t="s">
        <v>1434</v>
      </c>
      <c r="O207" t="s">
        <v>1789</v>
      </c>
      <c r="P207">
        <v>1</v>
      </c>
      <c r="Q207" t="str">
        <f>_xlfn.XLOOKUP(N207,Attendance!F:F,Attendance!J:J)</f>
        <v>OJT 2</v>
      </c>
      <c r="R207">
        <f t="shared" si="7"/>
        <v>0</v>
      </c>
    </row>
    <row r="208" spans="1:18" x14ac:dyDescent="0.25">
      <c r="A208" t="s">
        <v>208</v>
      </c>
      <c r="B208" t="s">
        <v>1385</v>
      </c>
      <c r="C208" t="s">
        <v>1397</v>
      </c>
      <c r="D208" s="2">
        <v>46229.415520833332</v>
      </c>
      <c r="E208" s="2">
        <f t="shared" si="6"/>
        <v>46229</v>
      </c>
      <c r="F208" t="s">
        <v>1744</v>
      </c>
      <c r="G208">
        <f>_xlfn.XLOOKUP(A208,FTD!A:A,FTD!C:C)</f>
        <v>1000</v>
      </c>
      <c r="H208" cm="1">
        <f t="array" ref="H208">_xlfn.LET(
  _xlpm.s, TRIM(F208),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8" t="str">
        <f>_xlfn.XLOOKUP(E208,Calendar!C:C,Calendar!B:B)</f>
        <v>Sunday</v>
      </c>
      <c r="M208" s="2">
        <v>46212</v>
      </c>
      <c r="N208" t="s">
        <v>1431</v>
      </c>
      <c r="O208" t="s">
        <v>1789</v>
      </c>
      <c r="P208">
        <v>2</v>
      </c>
      <c r="Q208" t="str">
        <f>_xlfn.XLOOKUP(N208,Attendance!F:F,Attendance!J:J)</f>
        <v>Telegram</v>
      </c>
      <c r="R208">
        <f t="shared" si="7"/>
        <v>0</v>
      </c>
    </row>
    <row r="209" spans="1:18" x14ac:dyDescent="0.25">
      <c r="A209" t="s">
        <v>209</v>
      </c>
      <c r="B209" t="s">
        <v>1386</v>
      </c>
      <c r="C209" t="s">
        <v>1420</v>
      </c>
      <c r="D209" s="2">
        <v>46217.622523148144</v>
      </c>
      <c r="E209" s="2">
        <f t="shared" si="6"/>
        <v>46217</v>
      </c>
      <c r="F209" t="s">
        <v>1738</v>
      </c>
      <c r="G209">
        <f>_xlfn.XLOOKUP(A209,FTD!A:A,FTD!C:C)</f>
        <v>10000</v>
      </c>
      <c r="H209" cm="1">
        <f t="array" ref="H209">_xlfn.LET(
  _xlpm.s, TRIM(F209),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09" t="str">
        <f>_xlfn.XLOOKUP(E209,Calendar!C:C,Calendar!B:B)</f>
        <v>Working Day</v>
      </c>
      <c r="M209" s="2">
        <v>46212</v>
      </c>
      <c r="N209" t="s">
        <v>1402</v>
      </c>
      <c r="O209" t="s">
        <v>1789</v>
      </c>
      <c r="P209">
        <v>2</v>
      </c>
      <c r="Q209" t="str">
        <f>_xlfn.XLOOKUP(N209,Attendance!F:F,Attendance!J:J)</f>
        <v>1</v>
      </c>
      <c r="R209">
        <f t="shared" si="7"/>
        <v>0</v>
      </c>
    </row>
    <row r="210" spans="1:18" x14ac:dyDescent="0.25">
      <c r="A210" t="s">
        <v>210</v>
      </c>
      <c r="B210" t="s">
        <v>1384</v>
      </c>
      <c r="C210" t="s">
        <v>1396</v>
      </c>
      <c r="D210" s="2">
        <v>46212.771574074075</v>
      </c>
      <c r="E210" s="2">
        <f t="shared" si="6"/>
        <v>46212</v>
      </c>
      <c r="F210" t="s">
        <v>1757</v>
      </c>
      <c r="G210">
        <f>_xlfn.XLOOKUP(A210,FTD!A:A,FTD!C:C)</f>
        <v>1000</v>
      </c>
      <c r="H210" cm="1">
        <f t="array" ref="H210">_xlfn.LET(
  _xlpm.s, TRIM(F210),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0" t="str">
        <f>_xlfn.XLOOKUP(E210,Calendar!C:C,Calendar!B:B)</f>
        <v>Working Day</v>
      </c>
      <c r="M210" s="2">
        <v>46212</v>
      </c>
      <c r="N210" t="s">
        <v>1391</v>
      </c>
      <c r="O210" t="s">
        <v>1789</v>
      </c>
      <c r="P210">
        <v>1</v>
      </c>
      <c r="Q210" t="str">
        <f>_xlfn.XLOOKUP(N210,Attendance!F:F,Attendance!J:J)</f>
        <v>Dialer</v>
      </c>
      <c r="R210">
        <f t="shared" si="7"/>
        <v>0</v>
      </c>
    </row>
    <row r="211" spans="1:18" x14ac:dyDescent="0.25">
      <c r="A211" t="s">
        <v>211</v>
      </c>
      <c r="B211" t="s">
        <v>1384</v>
      </c>
      <c r="C211" t="s">
        <v>1397</v>
      </c>
      <c r="D211" s="2">
        <v>46231.599398148144</v>
      </c>
      <c r="E211" s="2">
        <f t="shared" si="6"/>
        <v>46231</v>
      </c>
      <c r="F211" t="s">
        <v>1741</v>
      </c>
      <c r="G211">
        <f>_xlfn.XLOOKUP(A211,FTD!A:A,FTD!C:C)</f>
        <v>2900</v>
      </c>
      <c r="H211" cm="1">
        <f t="array" ref="H211">_xlfn.LET(
  _xlpm.s, TRIM(F211),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1" t="str">
        <f>_xlfn.XLOOKUP(E211,Calendar!C:C,Calendar!B:B)</f>
        <v>Working Day</v>
      </c>
      <c r="M211" s="2">
        <v>46212</v>
      </c>
      <c r="N211" t="s">
        <v>1393</v>
      </c>
      <c r="O211" t="s">
        <v>1789</v>
      </c>
      <c r="P211">
        <v>5</v>
      </c>
      <c r="Q211" t="str">
        <f>_xlfn.XLOOKUP(N211,Attendance!F:F,Attendance!J:J)</f>
        <v>Dialer</v>
      </c>
      <c r="R211">
        <f t="shared" si="7"/>
        <v>700</v>
      </c>
    </row>
    <row r="212" spans="1:18" x14ac:dyDescent="0.25">
      <c r="A212" t="s">
        <v>212</v>
      </c>
      <c r="B212" t="s">
        <v>1384</v>
      </c>
      <c r="C212" t="s">
        <v>1414</v>
      </c>
      <c r="D212" s="2">
        <v>46209.474895833329</v>
      </c>
      <c r="E212" s="2">
        <f t="shared" si="6"/>
        <v>46209</v>
      </c>
      <c r="F212" t="s">
        <v>1738</v>
      </c>
      <c r="G212">
        <f>_xlfn.XLOOKUP(A212,FTD!A:A,FTD!C:C)</f>
        <v>1000</v>
      </c>
      <c r="H212" cm="1">
        <f t="array" ref="H212">_xlfn.LET(
  _xlpm.s, TRIM(F212),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2" t="str">
        <f>_xlfn.XLOOKUP(E212,Calendar!C:C,Calendar!B:B)</f>
        <v>Working Day</v>
      </c>
      <c r="M212" s="2">
        <v>46212</v>
      </c>
      <c r="N212" t="s">
        <v>1392</v>
      </c>
      <c r="O212" t="s">
        <v>1789</v>
      </c>
      <c r="P212">
        <v>1</v>
      </c>
      <c r="Q212" t="str">
        <f>_xlfn.XLOOKUP(N212,Attendance!F:F,Attendance!J:J)</f>
        <v>Telegram</v>
      </c>
      <c r="R212">
        <f t="shared" si="7"/>
        <v>0</v>
      </c>
    </row>
    <row r="213" spans="1:18" x14ac:dyDescent="0.25">
      <c r="A213" t="s">
        <v>213</v>
      </c>
      <c r="B213" t="s">
        <v>1384</v>
      </c>
      <c r="C213" t="s">
        <v>1432</v>
      </c>
      <c r="D213" s="2">
        <v>46219.540451388886</v>
      </c>
      <c r="E213" s="2">
        <f t="shared" si="6"/>
        <v>46219</v>
      </c>
      <c r="F213" t="s">
        <v>1740</v>
      </c>
      <c r="G213">
        <f>_xlfn.XLOOKUP(A213,FTD!A:A,FTD!C:C)</f>
        <v>500</v>
      </c>
      <c r="H213" cm="1">
        <f t="array" ref="H213">_xlfn.LET(
  _xlpm.s, TRIM(F213),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13" t="str">
        <f>_xlfn.XLOOKUP(E213,Calendar!C:C,Calendar!B:B)</f>
        <v>Working Day</v>
      </c>
      <c r="M213" s="2">
        <v>46212</v>
      </c>
      <c r="N213" t="s">
        <v>1394</v>
      </c>
      <c r="O213" t="s">
        <v>1789</v>
      </c>
      <c r="P213">
        <v>2</v>
      </c>
      <c r="Q213" t="str">
        <f>_xlfn.XLOOKUP(N213,Attendance!F:F,Attendance!J:J)</f>
        <v>OJT 1</v>
      </c>
      <c r="R213">
        <f t="shared" si="7"/>
        <v>0</v>
      </c>
    </row>
    <row r="214" spans="1:18" x14ac:dyDescent="0.25">
      <c r="A214" t="s">
        <v>214</v>
      </c>
      <c r="B214" t="s">
        <v>1384</v>
      </c>
      <c r="C214" t="s">
        <v>1407</v>
      </c>
      <c r="D214" s="2">
        <v>46218.538958333331</v>
      </c>
      <c r="E214" s="2">
        <f t="shared" si="6"/>
        <v>46218</v>
      </c>
      <c r="F214" t="s">
        <v>1738</v>
      </c>
      <c r="G214">
        <f>_xlfn.XLOOKUP(A214,FTD!A:A,FTD!C:C)</f>
        <v>13000</v>
      </c>
      <c r="H214" cm="1">
        <f t="array" ref="H214">_xlfn.LET(
  _xlpm.s, TRIM(F214),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4" t="str">
        <f>_xlfn.XLOOKUP(E214,Calendar!C:C,Calendar!B:B)</f>
        <v>Working Day</v>
      </c>
      <c r="M214" s="2">
        <v>46212</v>
      </c>
      <c r="N214" t="s">
        <v>1409</v>
      </c>
      <c r="O214" t="s">
        <v>1789</v>
      </c>
      <c r="P214">
        <v>1</v>
      </c>
      <c r="Q214" t="str">
        <f>_xlfn.XLOOKUP(N214,Attendance!F:F,Attendance!J:J)</f>
        <v>Dialer</v>
      </c>
      <c r="R214">
        <f t="shared" si="7"/>
        <v>0</v>
      </c>
    </row>
    <row r="215" spans="1:18" x14ac:dyDescent="0.25">
      <c r="A215" t="s">
        <v>215</v>
      </c>
      <c r="B215" t="s">
        <v>1384</v>
      </c>
      <c r="C215" t="s">
        <v>1394</v>
      </c>
      <c r="D215" s="2">
        <v>46233.512708333328</v>
      </c>
      <c r="E215" s="2">
        <f t="shared" si="6"/>
        <v>46233</v>
      </c>
      <c r="F215" t="s">
        <v>1739</v>
      </c>
      <c r="G215">
        <f>_xlfn.XLOOKUP(A215,FTD!A:A,FTD!C:C)</f>
        <v>1000</v>
      </c>
      <c r="H215" cm="1">
        <f t="array" ref="H215">_xlfn.LET(
  _xlpm.s, TRIM(F215),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15" t="str">
        <f>_xlfn.XLOOKUP(E215,Calendar!C:C,Calendar!B:B)</f>
        <v>Working Day</v>
      </c>
      <c r="M215" s="2">
        <v>46212</v>
      </c>
      <c r="N215" t="s">
        <v>1399</v>
      </c>
      <c r="O215" t="s">
        <v>1789</v>
      </c>
      <c r="P215">
        <v>5</v>
      </c>
      <c r="Q215" t="str">
        <f>_xlfn.XLOOKUP(N215,Attendance!F:F,Attendance!J:J)</f>
        <v>1</v>
      </c>
      <c r="R215">
        <f t="shared" si="7"/>
        <v>0</v>
      </c>
    </row>
    <row r="216" spans="1:18" x14ac:dyDescent="0.25">
      <c r="A216" t="s">
        <v>216</v>
      </c>
      <c r="B216" t="s">
        <v>1384</v>
      </c>
      <c r="C216" t="s">
        <v>1403</v>
      </c>
      <c r="D216" s="2">
        <v>46220.893275462964</v>
      </c>
      <c r="E216" s="2">
        <f t="shared" si="6"/>
        <v>46220</v>
      </c>
      <c r="F216" t="s">
        <v>1740</v>
      </c>
      <c r="G216">
        <f>_xlfn.XLOOKUP(A216,FTD!A:A,FTD!C:C)</f>
        <v>5000</v>
      </c>
      <c r="H216" cm="1">
        <f t="array" ref="H216">_xlfn.LET(
  _xlpm.s, TRIM(F216),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16" t="str">
        <f>_xlfn.XLOOKUP(E216,Calendar!C:C,Calendar!B:B)</f>
        <v>Working Day</v>
      </c>
      <c r="M216" s="2">
        <v>46212</v>
      </c>
      <c r="N216" t="s">
        <v>1427</v>
      </c>
      <c r="O216" t="s">
        <v>1789</v>
      </c>
      <c r="P216">
        <v>1</v>
      </c>
      <c r="Q216" t="str">
        <f>_xlfn.XLOOKUP(N216,Attendance!F:F,Attendance!J:J)</f>
        <v>New OJT</v>
      </c>
      <c r="R216">
        <f t="shared" si="7"/>
        <v>0</v>
      </c>
    </row>
    <row r="217" spans="1:18" x14ac:dyDescent="0.25">
      <c r="A217" t="s">
        <v>217</v>
      </c>
      <c r="B217" t="s">
        <v>1384</v>
      </c>
      <c r="C217" t="s">
        <v>1417</v>
      </c>
      <c r="D217" s="2">
        <v>46222.837106481478</v>
      </c>
      <c r="E217" s="2">
        <f t="shared" si="6"/>
        <v>46222</v>
      </c>
      <c r="F217" t="s">
        <v>1739</v>
      </c>
      <c r="G217">
        <f>_xlfn.XLOOKUP(A217,FTD!A:A,FTD!C:C)</f>
        <v>1000</v>
      </c>
      <c r="H217" cm="1">
        <f t="array" ref="H217">_xlfn.LET(
  _xlpm.s, TRIM(F217),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17" t="str">
        <f>_xlfn.XLOOKUP(E217,Calendar!C:C,Calendar!B:B)</f>
        <v>Sunday</v>
      </c>
      <c r="M217" s="2">
        <v>46212</v>
      </c>
      <c r="N217" t="s">
        <v>1418</v>
      </c>
      <c r="O217" t="s">
        <v>1789</v>
      </c>
      <c r="P217">
        <v>2</v>
      </c>
      <c r="Q217" t="str">
        <f>_xlfn.XLOOKUP(N217,Attendance!F:F,Attendance!J:J)</f>
        <v>OJT 1</v>
      </c>
      <c r="R217">
        <f t="shared" si="7"/>
        <v>0</v>
      </c>
    </row>
    <row r="218" spans="1:18" x14ac:dyDescent="0.25">
      <c r="A218" t="s">
        <v>218</v>
      </c>
      <c r="B218" t="s">
        <v>1384</v>
      </c>
      <c r="C218" t="s">
        <v>1412</v>
      </c>
      <c r="D218" s="2">
        <v>46204.316643518519</v>
      </c>
      <c r="E218" s="2">
        <f t="shared" si="6"/>
        <v>46204</v>
      </c>
      <c r="F218" t="s">
        <v>1738</v>
      </c>
      <c r="G218">
        <f>_xlfn.XLOOKUP(A218,FTD!A:A,FTD!C:C)</f>
        <v>5000</v>
      </c>
      <c r="H218" cm="1">
        <f t="array" ref="H218">_xlfn.LET(
  _xlpm.s, TRIM(F218),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8" t="str">
        <f>_xlfn.XLOOKUP(E218,Calendar!C:C,Calendar!B:B)</f>
        <v>Working Day</v>
      </c>
      <c r="M218" s="2">
        <v>46212</v>
      </c>
      <c r="N218" t="s">
        <v>1408</v>
      </c>
      <c r="O218" t="s">
        <v>1789</v>
      </c>
      <c r="P218">
        <v>5</v>
      </c>
      <c r="Q218" t="str">
        <f>_xlfn.XLOOKUP(N218,Attendance!F:F,Attendance!J:J)</f>
        <v>1</v>
      </c>
      <c r="R218">
        <f t="shared" si="7"/>
        <v>0</v>
      </c>
    </row>
    <row r="219" spans="1:18" x14ac:dyDescent="0.25">
      <c r="A219" t="s">
        <v>219</v>
      </c>
      <c r="B219" t="s">
        <v>1387</v>
      </c>
      <c r="C219" t="s">
        <v>1406</v>
      </c>
      <c r="D219" s="2">
        <v>46211.512974537036</v>
      </c>
      <c r="E219" s="2">
        <f t="shared" si="6"/>
        <v>46211</v>
      </c>
      <c r="F219" t="s">
        <v>1741</v>
      </c>
      <c r="G219">
        <f>_xlfn.XLOOKUP(A219,FTD!A:A,FTD!C:C)</f>
        <v>10000</v>
      </c>
      <c r="H219" cm="1">
        <f t="array" ref="H219">_xlfn.LET(
  _xlpm.s, TRIM(F219),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19" t="str">
        <f>_xlfn.XLOOKUP(E219,Calendar!C:C,Calendar!B:B)</f>
        <v>Working Day</v>
      </c>
      <c r="M219" s="2">
        <v>46213</v>
      </c>
      <c r="N219" t="s">
        <v>1436</v>
      </c>
      <c r="O219" t="s">
        <v>1789</v>
      </c>
      <c r="P219">
        <v>1</v>
      </c>
      <c r="Q219" t="str">
        <f>_xlfn.XLOOKUP(N219,Attendance!F:F,Attendance!J:J)</f>
        <v>Telegram</v>
      </c>
      <c r="R219">
        <f t="shared" si="7"/>
        <v>0</v>
      </c>
    </row>
    <row r="220" spans="1:18" x14ac:dyDescent="0.25">
      <c r="A220" t="s">
        <v>220</v>
      </c>
      <c r="B220" t="s">
        <v>1387</v>
      </c>
      <c r="C220" t="s">
        <v>1395</v>
      </c>
      <c r="D220" s="2">
        <v>46234.530787037038</v>
      </c>
      <c r="E220" s="2">
        <f t="shared" si="6"/>
        <v>46234</v>
      </c>
      <c r="F220" t="s">
        <v>1739</v>
      </c>
      <c r="G220">
        <f>_xlfn.XLOOKUP(A220,FTD!A:A,FTD!C:C)</f>
        <v>2500</v>
      </c>
      <c r="H220" cm="1">
        <f t="array" ref="H220">_xlfn.LET(
  _xlpm.s, TRIM(F220),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20" t="str">
        <f>_xlfn.XLOOKUP(E220,Calendar!C:C,Calendar!B:B)</f>
        <v>Working Day</v>
      </c>
      <c r="M220" s="2">
        <v>46213</v>
      </c>
      <c r="N220" t="s">
        <v>1415</v>
      </c>
      <c r="O220" t="s">
        <v>1789</v>
      </c>
      <c r="P220">
        <v>1</v>
      </c>
      <c r="Q220" t="str">
        <f>_xlfn.XLOOKUP(N220,Attendance!F:F,Attendance!J:J)</f>
        <v>Meta</v>
      </c>
      <c r="R220">
        <f t="shared" si="7"/>
        <v>0</v>
      </c>
    </row>
    <row r="221" spans="1:18" x14ac:dyDescent="0.25">
      <c r="A221" t="s">
        <v>221</v>
      </c>
      <c r="B221" t="s">
        <v>1387</v>
      </c>
      <c r="C221" t="s">
        <v>1425</v>
      </c>
      <c r="D221" s="2">
        <v>46217.478275462963</v>
      </c>
      <c r="E221" s="2">
        <f t="shared" si="6"/>
        <v>46217</v>
      </c>
      <c r="F221" t="s">
        <v>1744</v>
      </c>
      <c r="G221">
        <f>_xlfn.XLOOKUP(A221,FTD!A:A,FTD!C:C)</f>
        <v>1000</v>
      </c>
      <c r="H221" cm="1">
        <f t="array" ref="H221">_xlfn.LET(
  _xlpm.s, TRIM(F221),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1" t="str">
        <f>_xlfn.XLOOKUP(E221,Calendar!C:C,Calendar!B:B)</f>
        <v>Working Day</v>
      </c>
      <c r="M221" s="2">
        <v>46213</v>
      </c>
      <c r="N221" t="s">
        <v>1433</v>
      </c>
      <c r="O221" t="s">
        <v>1789</v>
      </c>
      <c r="P221">
        <v>2</v>
      </c>
      <c r="Q221" t="str">
        <f>_xlfn.XLOOKUP(N221,Attendance!F:F,Attendance!J:J)</f>
        <v>Meta</v>
      </c>
      <c r="R221">
        <f t="shared" si="7"/>
        <v>0</v>
      </c>
    </row>
    <row r="222" spans="1:18" x14ac:dyDescent="0.25">
      <c r="A222" t="s">
        <v>222</v>
      </c>
      <c r="B222" t="s">
        <v>1387</v>
      </c>
      <c r="C222" t="s">
        <v>1423</v>
      </c>
      <c r="D222" s="2">
        <v>46231.527303240742</v>
      </c>
      <c r="E222" s="2">
        <f t="shared" si="6"/>
        <v>46231</v>
      </c>
      <c r="F222" t="s">
        <v>1738</v>
      </c>
      <c r="G222">
        <f>_xlfn.XLOOKUP(A222,FTD!A:A,FTD!C:C)</f>
        <v>10000</v>
      </c>
      <c r="H222" cm="1">
        <f t="array" ref="H222">_xlfn.LET(
  _xlpm.s, TRIM(F222),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2" t="str">
        <f>_xlfn.XLOOKUP(E222,Calendar!C:C,Calendar!B:B)</f>
        <v>Working Day</v>
      </c>
      <c r="M222" s="2">
        <v>46213</v>
      </c>
      <c r="N222" t="s">
        <v>1398</v>
      </c>
      <c r="O222" t="s">
        <v>1789</v>
      </c>
      <c r="P222">
        <v>1</v>
      </c>
      <c r="Q222" t="str">
        <f>_xlfn.XLOOKUP(N222,Attendance!F:F,Attendance!J:J)</f>
        <v>1</v>
      </c>
      <c r="R222">
        <f t="shared" si="7"/>
        <v>0</v>
      </c>
    </row>
    <row r="223" spans="1:18" x14ac:dyDescent="0.25">
      <c r="A223" t="s">
        <v>223</v>
      </c>
      <c r="B223" t="s">
        <v>1387</v>
      </c>
      <c r="C223" t="s">
        <v>1390</v>
      </c>
      <c r="D223" s="2">
        <v>46205.765370370369</v>
      </c>
      <c r="E223" s="2">
        <f t="shared" si="6"/>
        <v>46205</v>
      </c>
      <c r="F223" t="s">
        <v>1751</v>
      </c>
      <c r="G223">
        <f>_xlfn.XLOOKUP(A223,FTD!A:A,FTD!C:C)</f>
        <v>2000</v>
      </c>
      <c r="H223" cm="1">
        <f t="array" ref="H223">_xlfn.LET(
  _xlpm.s, TRIM(F223),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223" t="str">
        <f>_xlfn.XLOOKUP(E223,Calendar!C:C,Calendar!B:B)</f>
        <v>Working Day</v>
      </c>
      <c r="M223" s="2">
        <v>46213</v>
      </c>
      <c r="N223" t="s">
        <v>1420</v>
      </c>
      <c r="O223" t="s">
        <v>1789</v>
      </c>
      <c r="P223">
        <v>1</v>
      </c>
      <c r="Q223" t="e">
        <f>_xlfn.XLOOKUP(N223,Attendance!F:F,Attendance!J:J)</f>
        <v>#N/A</v>
      </c>
      <c r="R223">
        <f t="shared" si="7"/>
        <v>0</v>
      </c>
    </row>
    <row r="224" spans="1:18" x14ac:dyDescent="0.25">
      <c r="A224" t="s">
        <v>224</v>
      </c>
      <c r="B224" t="s">
        <v>1387</v>
      </c>
      <c r="C224" t="s">
        <v>1400</v>
      </c>
      <c r="D224" s="2">
        <v>46205.66469907407</v>
      </c>
      <c r="E224" s="2">
        <f t="shared" si="6"/>
        <v>46205</v>
      </c>
      <c r="F224" t="s">
        <v>1744</v>
      </c>
      <c r="G224">
        <f>_xlfn.XLOOKUP(A224,FTD!A:A,FTD!C:C)</f>
        <v>1000</v>
      </c>
      <c r="H224" cm="1">
        <f t="array" ref="H224">_xlfn.LET(
  _xlpm.s, TRIM(F224),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4" t="str">
        <f>_xlfn.XLOOKUP(E224,Calendar!C:C,Calendar!B:B)</f>
        <v>Working Day</v>
      </c>
      <c r="M224" s="2">
        <v>46213</v>
      </c>
      <c r="N224" t="s">
        <v>1417</v>
      </c>
      <c r="O224" t="s">
        <v>1789</v>
      </c>
      <c r="P224">
        <v>2</v>
      </c>
      <c r="Q224" t="str">
        <f>_xlfn.XLOOKUP(N224,Attendance!F:F,Attendance!J:J)</f>
        <v>Meta</v>
      </c>
      <c r="R224">
        <f t="shared" si="7"/>
        <v>0</v>
      </c>
    </row>
    <row r="225" spans="1:18" x14ac:dyDescent="0.25">
      <c r="A225" t="s">
        <v>225</v>
      </c>
      <c r="B225" t="s">
        <v>1387</v>
      </c>
      <c r="C225" t="s">
        <v>1393</v>
      </c>
      <c r="D225" s="2">
        <v>46216.578831018516</v>
      </c>
      <c r="E225" s="2">
        <f t="shared" si="6"/>
        <v>46216</v>
      </c>
      <c r="F225" t="s">
        <v>1738</v>
      </c>
      <c r="G225">
        <f>_xlfn.XLOOKUP(A225,FTD!A:A,FTD!C:C)</f>
        <v>1000</v>
      </c>
      <c r="H225" cm="1">
        <f t="array" ref="H225">_xlfn.LET(
  _xlpm.s, TRIM(F225),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5" t="str">
        <f>_xlfn.XLOOKUP(E225,Calendar!C:C,Calendar!B:B)</f>
        <v>Working Day</v>
      </c>
      <c r="M225" s="2">
        <v>46213</v>
      </c>
      <c r="N225" t="s">
        <v>1400</v>
      </c>
      <c r="O225" t="s">
        <v>1789</v>
      </c>
      <c r="P225">
        <v>6</v>
      </c>
      <c r="Q225" t="str">
        <f>_xlfn.XLOOKUP(N225,Attendance!F:F,Attendance!J:J)</f>
        <v>Meta</v>
      </c>
      <c r="R225">
        <f t="shared" si="7"/>
        <v>700</v>
      </c>
    </row>
    <row r="226" spans="1:18" x14ac:dyDescent="0.25">
      <c r="A226" t="s">
        <v>226</v>
      </c>
      <c r="B226" t="s">
        <v>1387</v>
      </c>
      <c r="C226" t="s">
        <v>1412</v>
      </c>
      <c r="D226" s="2">
        <v>46207.904780092591</v>
      </c>
      <c r="E226" s="2">
        <f t="shared" si="6"/>
        <v>46207</v>
      </c>
      <c r="F226" t="s">
        <v>1738</v>
      </c>
      <c r="G226">
        <f>_xlfn.XLOOKUP(A226,FTD!A:A,FTD!C:C)</f>
        <v>5000</v>
      </c>
      <c r="H226" cm="1">
        <f t="array" ref="H226">_xlfn.LET(
  _xlpm.s, TRIM(F226),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6" t="str">
        <f>_xlfn.XLOOKUP(E226,Calendar!C:C,Calendar!B:B)</f>
        <v>Saturday</v>
      </c>
      <c r="M226" s="2">
        <v>46213</v>
      </c>
      <c r="N226" t="s">
        <v>1397</v>
      </c>
      <c r="O226" t="s">
        <v>1789</v>
      </c>
      <c r="P226">
        <v>1</v>
      </c>
      <c r="Q226" t="str">
        <f>_xlfn.XLOOKUP(N226,Attendance!F:F,Attendance!J:J)</f>
        <v>Meta</v>
      </c>
      <c r="R226">
        <f t="shared" si="7"/>
        <v>0</v>
      </c>
    </row>
    <row r="227" spans="1:18" x14ac:dyDescent="0.25">
      <c r="A227" t="s">
        <v>227</v>
      </c>
      <c r="B227" t="s">
        <v>1387</v>
      </c>
      <c r="C227" t="s">
        <v>1391</v>
      </c>
      <c r="D227" s="2">
        <v>46212.479374999995</v>
      </c>
      <c r="E227" s="2">
        <f t="shared" si="6"/>
        <v>46212</v>
      </c>
      <c r="F227" t="s">
        <v>1741</v>
      </c>
      <c r="G227">
        <f>_xlfn.XLOOKUP(A227,FTD!A:A,FTD!C:C)</f>
        <v>7000</v>
      </c>
      <c r="H227" cm="1">
        <f t="array" ref="H227">_xlfn.LET(
  _xlpm.s, TRIM(F227),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7" t="str">
        <f>_xlfn.XLOOKUP(E227,Calendar!C:C,Calendar!B:B)</f>
        <v>Working Day</v>
      </c>
      <c r="M227" s="2">
        <v>46213</v>
      </c>
      <c r="N227" t="s">
        <v>1395</v>
      </c>
      <c r="O227" t="s">
        <v>1789</v>
      </c>
      <c r="P227">
        <v>2</v>
      </c>
      <c r="Q227" t="str">
        <f>_xlfn.XLOOKUP(N227,Attendance!F:F,Attendance!J:J)</f>
        <v>OJT 1</v>
      </c>
      <c r="R227">
        <f t="shared" si="7"/>
        <v>0</v>
      </c>
    </row>
    <row r="228" spans="1:18" x14ac:dyDescent="0.25">
      <c r="A228" t="s">
        <v>228</v>
      </c>
      <c r="B228" t="s">
        <v>1387</v>
      </c>
      <c r="C228" t="s">
        <v>1434</v>
      </c>
      <c r="D228" s="2">
        <v>46217.403483796297</v>
      </c>
      <c r="E228" s="2">
        <f t="shared" si="6"/>
        <v>46217</v>
      </c>
      <c r="F228" t="s">
        <v>1738</v>
      </c>
      <c r="G228">
        <f>_xlfn.XLOOKUP(A228,FTD!A:A,FTD!C:C)</f>
        <v>2000</v>
      </c>
      <c r="H228" cm="1">
        <f t="array" ref="H228">_xlfn.LET(
  _xlpm.s, TRIM(F228),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8" t="str">
        <f>_xlfn.XLOOKUP(E228,Calendar!C:C,Calendar!B:B)</f>
        <v>Working Day</v>
      </c>
      <c r="M228" s="2">
        <v>46213</v>
      </c>
      <c r="N228" t="s">
        <v>1396</v>
      </c>
      <c r="O228" t="s">
        <v>1789</v>
      </c>
      <c r="P228">
        <v>3</v>
      </c>
      <c r="Q228" t="str">
        <f>_xlfn.XLOOKUP(N228,Attendance!F:F,Attendance!J:J)</f>
        <v>Telegram</v>
      </c>
      <c r="R228">
        <f t="shared" si="7"/>
        <v>500</v>
      </c>
    </row>
    <row r="229" spans="1:18" x14ac:dyDescent="0.25">
      <c r="A229" t="s">
        <v>229</v>
      </c>
      <c r="B229" t="s">
        <v>1387</v>
      </c>
      <c r="C229" t="s">
        <v>1415</v>
      </c>
      <c r="D229" s="2">
        <v>46204.402222222219</v>
      </c>
      <c r="E229" s="2">
        <f t="shared" si="6"/>
        <v>46204</v>
      </c>
      <c r="F229" t="s">
        <v>1738</v>
      </c>
      <c r="G229">
        <f>_xlfn.XLOOKUP(A229,FTD!A:A,FTD!C:C)</f>
        <v>20000</v>
      </c>
      <c r="H229" cm="1">
        <f t="array" ref="H229">_xlfn.LET(
  _xlpm.s, TRIM(F229),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29" t="str">
        <f>_xlfn.XLOOKUP(E229,Calendar!C:C,Calendar!B:B)</f>
        <v>Working Day</v>
      </c>
      <c r="M229" s="2">
        <v>46213</v>
      </c>
      <c r="N229" t="s">
        <v>1412</v>
      </c>
      <c r="O229" t="s">
        <v>1789</v>
      </c>
      <c r="P229">
        <v>2</v>
      </c>
      <c r="Q229" t="str">
        <f>_xlfn.XLOOKUP(N229,Attendance!F:F,Attendance!J:J)</f>
        <v>1</v>
      </c>
      <c r="R229">
        <f t="shared" si="7"/>
        <v>0</v>
      </c>
    </row>
    <row r="230" spans="1:18" x14ac:dyDescent="0.25">
      <c r="A230" t="s">
        <v>230</v>
      </c>
      <c r="B230" t="s">
        <v>1387</v>
      </c>
      <c r="C230" t="s">
        <v>1399</v>
      </c>
      <c r="D230" s="2">
        <v>46219.405185185184</v>
      </c>
      <c r="E230" s="2">
        <f t="shared" si="6"/>
        <v>46219</v>
      </c>
      <c r="F230" t="s">
        <v>1739</v>
      </c>
      <c r="G230">
        <f>_xlfn.XLOOKUP(A230,FTD!A:A,FTD!C:C)</f>
        <v>1000</v>
      </c>
      <c r="H230" cm="1">
        <f t="array" ref="H230">_xlfn.LET(
  _xlpm.s, TRIM(F230),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30" t="str">
        <f>_xlfn.XLOOKUP(E230,Calendar!C:C,Calendar!B:B)</f>
        <v>Working Day</v>
      </c>
      <c r="M230" s="2">
        <v>46213</v>
      </c>
      <c r="N230" t="s">
        <v>1406</v>
      </c>
      <c r="O230" t="s">
        <v>1789</v>
      </c>
      <c r="P230">
        <v>6</v>
      </c>
      <c r="Q230" t="str">
        <f>_xlfn.XLOOKUP(N230,Attendance!F:F,Attendance!J:J)</f>
        <v>1</v>
      </c>
      <c r="R230">
        <f t="shared" si="7"/>
        <v>0</v>
      </c>
    </row>
    <row r="231" spans="1:18" x14ac:dyDescent="0.25">
      <c r="A231" t="s">
        <v>231</v>
      </c>
      <c r="B231" t="s">
        <v>1387</v>
      </c>
      <c r="C231" t="s">
        <v>1433</v>
      </c>
      <c r="D231" s="2">
        <v>46211.425347222219</v>
      </c>
      <c r="E231" s="2">
        <f t="shared" si="6"/>
        <v>46211</v>
      </c>
      <c r="F231" t="s">
        <v>1743</v>
      </c>
      <c r="G231">
        <f>_xlfn.XLOOKUP(A231,FTD!A:A,FTD!C:C)</f>
        <v>1000</v>
      </c>
      <c r="H231" cm="1">
        <f t="array" ref="H231">_xlfn.LET(
  _xlpm.s, TRIM(F231),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1" t="str">
        <f>_xlfn.XLOOKUP(E231,Calendar!C:C,Calendar!B:B)</f>
        <v>Working Day</v>
      </c>
      <c r="M231" s="2">
        <v>46213</v>
      </c>
      <c r="N231" t="s">
        <v>1402</v>
      </c>
      <c r="O231" t="s">
        <v>1789</v>
      </c>
      <c r="P231">
        <v>4</v>
      </c>
      <c r="Q231" t="str">
        <f>_xlfn.XLOOKUP(N231,Attendance!F:F,Attendance!J:J)</f>
        <v>1</v>
      </c>
      <c r="R231">
        <f t="shared" si="7"/>
        <v>0</v>
      </c>
    </row>
    <row r="232" spans="1:18" x14ac:dyDescent="0.25">
      <c r="A232" t="s">
        <v>232</v>
      </c>
      <c r="B232" t="s">
        <v>1387</v>
      </c>
      <c r="C232" t="s">
        <v>1399</v>
      </c>
      <c r="D232" s="2">
        <v>46210.499363425923</v>
      </c>
      <c r="E232" s="2">
        <f t="shared" si="6"/>
        <v>46210</v>
      </c>
      <c r="F232" t="s">
        <v>1738</v>
      </c>
      <c r="G232">
        <f>_xlfn.XLOOKUP(A232,FTD!A:A,FTD!C:C)</f>
        <v>1500</v>
      </c>
      <c r="H232" cm="1">
        <f t="array" ref="H232">_xlfn.LET(
  _xlpm.s, TRIM(F232),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2" t="str">
        <f>_xlfn.XLOOKUP(E232,Calendar!C:C,Calendar!B:B)</f>
        <v>Working Day</v>
      </c>
      <c r="M232" s="2">
        <v>46213</v>
      </c>
      <c r="N232" t="s">
        <v>1409</v>
      </c>
      <c r="O232" t="s">
        <v>1789</v>
      </c>
      <c r="P232">
        <v>3</v>
      </c>
      <c r="Q232" t="str">
        <f>_xlfn.XLOOKUP(N232,Attendance!F:F,Attendance!J:J)</f>
        <v>Dialer</v>
      </c>
      <c r="R232">
        <f t="shared" si="7"/>
        <v>500</v>
      </c>
    </row>
    <row r="233" spans="1:18" x14ac:dyDescent="0.25">
      <c r="A233" t="s">
        <v>233</v>
      </c>
      <c r="B233" t="s">
        <v>1387</v>
      </c>
      <c r="C233" t="s">
        <v>1412</v>
      </c>
      <c r="D233" s="2">
        <v>46209.729479166665</v>
      </c>
      <c r="E233" s="2">
        <f t="shared" si="6"/>
        <v>46209</v>
      </c>
      <c r="F233" t="s">
        <v>1738</v>
      </c>
      <c r="G233">
        <f>_xlfn.XLOOKUP(A233,FTD!A:A,FTD!C:C)</f>
        <v>1000</v>
      </c>
      <c r="H233" cm="1">
        <f t="array" ref="H233">_xlfn.LET(
  _xlpm.s, TRIM(F233),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3" t="str">
        <f>_xlfn.XLOOKUP(E233,Calendar!C:C,Calendar!B:B)</f>
        <v>Working Day</v>
      </c>
      <c r="M233" s="2">
        <v>46213</v>
      </c>
      <c r="N233" t="s">
        <v>1399</v>
      </c>
      <c r="O233" t="s">
        <v>1789</v>
      </c>
      <c r="P233">
        <v>2</v>
      </c>
      <c r="Q233" t="str">
        <f>_xlfn.XLOOKUP(N233,Attendance!F:F,Attendance!J:J)</f>
        <v>1</v>
      </c>
      <c r="R233">
        <f t="shared" si="7"/>
        <v>0</v>
      </c>
    </row>
    <row r="234" spans="1:18" x14ac:dyDescent="0.25">
      <c r="A234" t="s">
        <v>234</v>
      </c>
      <c r="B234" t="s">
        <v>1387</v>
      </c>
      <c r="C234" t="s">
        <v>1420</v>
      </c>
      <c r="D234" s="2">
        <v>46208.802141203705</v>
      </c>
      <c r="E234" s="2">
        <f t="shared" si="6"/>
        <v>46208</v>
      </c>
      <c r="F234" t="s">
        <v>1743</v>
      </c>
      <c r="G234">
        <f>_xlfn.XLOOKUP(A234,FTD!A:A,FTD!C:C)</f>
        <v>10000</v>
      </c>
      <c r="H234" cm="1">
        <f t="array" ref="H234">_xlfn.LET(
  _xlpm.s, TRIM(F234),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4" t="str">
        <f>_xlfn.XLOOKUP(E234,Calendar!C:C,Calendar!B:B)</f>
        <v>Sunday</v>
      </c>
      <c r="M234" s="2">
        <v>46213</v>
      </c>
      <c r="N234" t="s">
        <v>1408</v>
      </c>
      <c r="O234" t="s">
        <v>1789</v>
      </c>
      <c r="P234">
        <v>4</v>
      </c>
      <c r="Q234" t="str">
        <f>_xlfn.XLOOKUP(N234,Attendance!F:F,Attendance!J:J)</f>
        <v>1</v>
      </c>
      <c r="R234">
        <f t="shared" si="7"/>
        <v>300</v>
      </c>
    </row>
    <row r="235" spans="1:18" x14ac:dyDescent="0.25">
      <c r="A235" t="s">
        <v>235</v>
      </c>
      <c r="B235" t="s">
        <v>1387</v>
      </c>
      <c r="C235" t="s">
        <v>1408</v>
      </c>
      <c r="D235" s="2">
        <v>46204.598761574074</v>
      </c>
      <c r="E235" s="2">
        <f t="shared" si="6"/>
        <v>46204</v>
      </c>
      <c r="F235" t="s">
        <v>1738</v>
      </c>
      <c r="G235">
        <f>_xlfn.XLOOKUP(A235,FTD!A:A,FTD!C:C)</f>
        <v>45000</v>
      </c>
      <c r="H235" cm="1">
        <f t="array" ref="H235">_xlfn.LET(
  _xlpm.s, TRIM(F235),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5" t="str">
        <f>_xlfn.XLOOKUP(E235,Calendar!C:C,Calendar!B:B)</f>
        <v>Working Day</v>
      </c>
      <c r="M235" s="2">
        <v>46214</v>
      </c>
      <c r="N235" t="s">
        <v>1405</v>
      </c>
      <c r="O235" t="s">
        <v>1783</v>
      </c>
      <c r="P235">
        <v>1</v>
      </c>
      <c r="Q235" t="str">
        <f>_xlfn.XLOOKUP(N235,Attendance!F:F,Attendance!J:J)</f>
        <v>Dialer</v>
      </c>
      <c r="R235">
        <f t="shared" si="7"/>
        <v>0</v>
      </c>
    </row>
    <row r="236" spans="1:18" x14ac:dyDescent="0.25">
      <c r="A236" t="s">
        <v>236</v>
      </c>
      <c r="B236" t="s">
        <v>1387</v>
      </c>
      <c r="C236" t="s">
        <v>1406</v>
      </c>
      <c r="D236" s="2">
        <v>46220.40525462963</v>
      </c>
      <c r="E236" s="2">
        <f t="shared" si="6"/>
        <v>46220</v>
      </c>
      <c r="F236" t="s">
        <v>1741</v>
      </c>
      <c r="G236">
        <f>_xlfn.XLOOKUP(A236,FTD!A:A,FTD!C:C)</f>
        <v>1200</v>
      </c>
      <c r="H236" cm="1">
        <f t="array" ref="H236">_xlfn.LET(
  _xlpm.s, TRIM(F236),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6" t="str">
        <f>_xlfn.XLOOKUP(E236,Calendar!C:C,Calendar!B:B)</f>
        <v>Working Day</v>
      </c>
      <c r="M236" s="2">
        <v>46214</v>
      </c>
      <c r="N236" t="s">
        <v>1403</v>
      </c>
      <c r="O236" t="s">
        <v>1783</v>
      </c>
      <c r="P236">
        <v>1</v>
      </c>
      <c r="Q236" t="str">
        <f>_xlfn.XLOOKUP(N236,Attendance!F:F,Attendance!J:J)</f>
        <v>Meta</v>
      </c>
      <c r="R236">
        <f t="shared" si="7"/>
        <v>0</v>
      </c>
    </row>
    <row r="237" spans="1:18" x14ac:dyDescent="0.25">
      <c r="A237" t="s">
        <v>237</v>
      </c>
      <c r="B237" t="s">
        <v>1387</v>
      </c>
      <c r="C237" t="s">
        <v>1408</v>
      </c>
      <c r="D237" s="2">
        <v>46217.539421296293</v>
      </c>
      <c r="E237" s="2">
        <f t="shared" si="6"/>
        <v>46217</v>
      </c>
      <c r="F237" t="s">
        <v>1738</v>
      </c>
      <c r="G237">
        <f>_xlfn.XLOOKUP(A237,FTD!A:A,FTD!C:C)</f>
        <v>11000</v>
      </c>
      <c r="H237" cm="1">
        <f t="array" ref="H237">_xlfn.LET(
  _xlpm.s, TRIM(F237),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7" t="str">
        <f>_xlfn.XLOOKUP(E237,Calendar!C:C,Calendar!B:B)</f>
        <v>Working Day</v>
      </c>
      <c r="M237" s="2">
        <v>46214</v>
      </c>
      <c r="N237" t="s">
        <v>1433</v>
      </c>
      <c r="O237" t="s">
        <v>1783</v>
      </c>
      <c r="P237">
        <v>1</v>
      </c>
      <c r="Q237" t="str">
        <f>_xlfn.XLOOKUP(N237,Attendance!F:F,Attendance!J:J)</f>
        <v>Meta</v>
      </c>
      <c r="R237">
        <f t="shared" si="7"/>
        <v>0</v>
      </c>
    </row>
    <row r="238" spans="1:18" x14ac:dyDescent="0.25">
      <c r="A238" t="s">
        <v>238</v>
      </c>
      <c r="B238" t="s">
        <v>1387</v>
      </c>
      <c r="C238" t="s">
        <v>1399</v>
      </c>
      <c r="D238" s="2">
        <v>46219.385821759257</v>
      </c>
      <c r="E238" s="2">
        <f t="shared" si="6"/>
        <v>46219</v>
      </c>
      <c r="F238" t="s">
        <v>1758</v>
      </c>
      <c r="G238">
        <f>_xlfn.XLOOKUP(A238,FTD!A:A,FTD!C:C)</f>
        <v>5000</v>
      </c>
      <c r="H238" cm="1">
        <f t="array" ref="H238">_xlfn.LET(
  _xlpm.s, TRIM(F238),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8" t="str">
        <f>_xlfn.XLOOKUP(E238,Calendar!C:C,Calendar!B:B)</f>
        <v>Working Day</v>
      </c>
      <c r="M238" s="2">
        <v>46214</v>
      </c>
      <c r="N238" t="s">
        <v>1420</v>
      </c>
      <c r="O238" t="s">
        <v>1783</v>
      </c>
      <c r="P238">
        <v>1</v>
      </c>
      <c r="Q238" t="e">
        <f>_xlfn.XLOOKUP(N238,Attendance!F:F,Attendance!J:J)</f>
        <v>#N/A</v>
      </c>
      <c r="R238">
        <f t="shared" si="7"/>
        <v>0</v>
      </c>
    </row>
    <row r="239" spans="1:18" x14ac:dyDescent="0.25">
      <c r="A239" t="s">
        <v>239</v>
      </c>
      <c r="B239" t="s">
        <v>1387</v>
      </c>
      <c r="C239" t="s">
        <v>1406</v>
      </c>
      <c r="D239" s="2">
        <v>46217.642731481479</v>
      </c>
      <c r="E239" s="2">
        <f t="shared" si="6"/>
        <v>46217</v>
      </c>
      <c r="F239" t="s">
        <v>1741</v>
      </c>
      <c r="G239">
        <f>_xlfn.XLOOKUP(A239,FTD!A:A,FTD!C:C)</f>
        <v>2000</v>
      </c>
      <c r="H239" cm="1">
        <f t="array" ref="H239">_xlfn.LET(
  _xlpm.s, TRIM(F239),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39" t="str">
        <f>_xlfn.XLOOKUP(E239,Calendar!C:C,Calendar!B:B)</f>
        <v>Working Day</v>
      </c>
      <c r="M239" s="2">
        <v>46214</v>
      </c>
      <c r="N239" t="s">
        <v>1417</v>
      </c>
      <c r="O239" t="s">
        <v>1783</v>
      </c>
      <c r="P239">
        <v>1</v>
      </c>
      <c r="Q239" t="str">
        <f>_xlfn.XLOOKUP(N239,Attendance!F:F,Attendance!J:J)</f>
        <v>Meta</v>
      </c>
      <c r="R239">
        <f t="shared" si="7"/>
        <v>0</v>
      </c>
    </row>
    <row r="240" spans="1:18" x14ac:dyDescent="0.25">
      <c r="A240" t="s">
        <v>240</v>
      </c>
      <c r="B240" t="s">
        <v>1387</v>
      </c>
      <c r="C240" t="s">
        <v>1397</v>
      </c>
      <c r="D240" s="2">
        <v>46216.835659722223</v>
      </c>
      <c r="E240" s="2">
        <f t="shared" si="6"/>
        <v>46216</v>
      </c>
      <c r="F240" t="s">
        <v>1743</v>
      </c>
      <c r="G240">
        <f>_xlfn.XLOOKUP(A240,FTD!A:A,FTD!C:C)</f>
        <v>1000</v>
      </c>
      <c r="H240" cm="1">
        <f t="array" ref="H240">_xlfn.LET(
  _xlpm.s, TRIM(F240),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0" t="str">
        <f>_xlfn.XLOOKUP(E240,Calendar!C:C,Calendar!B:B)</f>
        <v>Working Day</v>
      </c>
      <c r="M240" s="2">
        <v>46214</v>
      </c>
      <c r="N240" t="s">
        <v>1407</v>
      </c>
      <c r="O240" t="s">
        <v>1783</v>
      </c>
      <c r="P240">
        <v>2</v>
      </c>
      <c r="Q240" t="str">
        <f>_xlfn.XLOOKUP(N240,Attendance!F:F,Attendance!J:J)</f>
        <v>Meta</v>
      </c>
      <c r="R240">
        <f t="shared" si="7"/>
        <v>0</v>
      </c>
    </row>
    <row r="241" spans="1:18" x14ac:dyDescent="0.25">
      <c r="A241" t="s">
        <v>241</v>
      </c>
      <c r="B241" t="s">
        <v>1384</v>
      </c>
      <c r="C241" t="s">
        <v>1407</v>
      </c>
      <c r="D241" s="2">
        <v>46212.412372685183</v>
      </c>
      <c r="E241" s="2">
        <f t="shared" si="6"/>
        <v>46212</v>
      </c>
      <c r="F241" t="s">
        <v>1746</v>
      </c>
      <c r="G241">
        <f>_xlfn.XLOOKUP(A241,FTD!A:A,FTD!C:C)</f>
        <v>19000</v>
      </c>
      <c r="H241" cm="1">
        <f t="array" ref="H241">_xlfn.LET(
  _xlpm.s, TRIM(F241),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41" t="str">
        <f>_xlfn.XLOOKUP(E241,Calendar!C:C,Calendar!B:B)</f>
        <v>Working Day</v>
      </c>
      <c r="M241" s="2">
        <v>46214</v>
      </c>
      <c r="N241" t="s">
        <v>1404</v>
      </c>
      <c r="O241" t="s">
        <v>1783</v>
      </c>
      <c r="P241">
        <v>2</v>
      </c>
      <c r="Q241" t="str">
        <f>_xlfn.XLOOKUP(N241,Attendance!F:F,Attendance!J:J)</f>
        <v>OLD OJT</v>
      </c>
      <c r="R241">
        <f t="shared" si="7"/>
        <v>500</v>
      </c>
    </row>
    <row r="242" spans="1:18" x14ac:dyDescent="0.25">
      <c r="A242" t="s">
        <v>242</v>
      </c>
      <c r="B242" t="s">
        <v>1384</v>
      </c>
      <c r="C242" t="s">
        <v>1406</v>
      </c>
      <c r="D242" s="2">
        <v>46230.562557870369</v>
      </c>
      <c r="E242" s="2">
        <f t="shared" si="6"/>
        <v>46230</v>
      </c>
      <c r="F242" t="s">
        <v>1738</v>
      </c>
      <c r="G242">
        <f>_xlfn.XLOOKUP(A242,FTD!A:A,FTD!C:C)</f>
        <v>2304</v>
      </c>
      <c r="H242" cm="1">
        <f t="array" ref="H242">_xlfn.LET(
  _xlpm.s, TRIM(F242),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2" t="str">
        <f>_xlfn.XLOOKUP(E242,Calendar!C:C,Calendar!B:B)</f>
        <v>Working Day</v>
      </c>
      <c r="M242" s="2">
        <v>46214</v>
      </c>
      <c r="N242" t="s">
        <v>1409</v>
      </c>
      <c r="O242" t="s">
        <v>1783</v>
      </c>
      <c r="P242">
        <v>1</v>
      </c>
      <c r="Q242" t="str">
        <f>_xlfn.XLOOKUP(N242,Attendance!F:F,Attendance!J:J)</f>
        <v>Dialer</v>
      </c>
      <c r="R242">
        <f t="shared" si="7"/>
        <v>0</v>
      </c>
    </row>
    <row r="243" spans="1:18" x14ac:dyDescent="0.25">
      <c r="A243" t="s">
        <v>243</v>
      </c>
      <c r="B243" t="s">
        <v>1384</v>
      </c>
      <c r="C243" t="s">
        <v>1390</v>
      </c>
      <c r="D243" s="2">
        <v>46224.761319444442</v>
      </c>
      <c r="E243" s="2">
        <f t="shared" si="6"/>
        <v>46224</v>
      </c>
      <c r="F243" t="s">
        <v>1739</v>
      </c>
      <c r="G243">
        <f>_xlfn.XLOOKUP(A243,FTD!A:A,FTD!C:C)</f>
        <v>1000</v>
      </c>
      <c r="H243" cm="1">
        <f t="array" ref="H243">_xlfn.LET(
  _xlpm.s, TRIM(F243),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43" t="str">
        <f>_xlfn.XLOOKUP(E243,Calendar!C:C,Calendar!B:B)</f>
        <v>Working Day</v>
      </c>
      <c r="M243" s="2">
        <v>46214</v>
      </c>
      <c r="N243" t="s">
        <v>1399</v>
      </c>
      <c r="O243" t="s">
        <v>1783</v>
      </c>
      <c r="P243">
        <v>2</v>
      </c>
      <c r="Q243" t="str">
        <f>_xlfn.XLOOKUP(N243,Attendance!F:F,Attendance!J:J)</f>
        <v>1</v>
      </c>
      <c r="R243">
        <f t="shared" si="7"/>
        <v>0</v>
      </c>
    </row>
    <row r="244" spans="1:18" x14ac:dyDescent="0.25">
      <c r="A244" t="s">
        <v>244</v>
      </c>
      <c r="B244" t="s">
        <v>1387</v>
      </c>
      <c r="C244" t="s">
        <v>1433</v>
      </c>
      <c r="D244" s="2">
        <v>46209.797534722224</v>
      </c>
      <c r="E244" s="2">
        <f t="shared" si="6"/>
        <v>46209</v>
      </c>
      <c r="F244" t="s">
        <v>1759</v>
      </c>
      <c r="G244">
        <f>_xlfn.XLOOKUP(A244,FTD!A:A,FTD!C:C)</f>
        <v>1000</v>
      </c>
      <c r="H244" cm="1">
        <f t="array" ref="H244">_xlfn.LET(
  _xlpm.s, TRIM(F244),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244" t="str">
        <f>_xlfn.XLOOKUP(E244,Calendar!C:C,Calendar!B:B)</f>
        <v>Working Day</v>
      </c>
      <c r="M244" s="2">
        <v>46215</v>
      </c>
      <c r="N244" t="s">
        <v>1403</v>
      </c>
      <c r="O244" t="s">
        <v>1784</v>
      </c>
      <c r="P244">
        <v>1</v>
      </c>
      <c r="Q244" t="str">
        <f>_xlfn.XLOOKUP(N244,Attendance!F:F,Attendance!J:J)</f>
        <v>Meta</v>
      </c>
      <c r="R244">
        <f t="shared" si="7"/>
        <v>0</v>
      </c>
    </row>
    <row r="245" spans="1:18" x14ac:dyDescent="0.25">
      <c r="A245" t="s">
        <v>245</v>
      </c>
      <c r="B245" t="s">
        <v>1387</v>
      </c>
      <c r="C245" t="s">
        <v>1399</v>
      </c>
      <c r="D245" s="2">
        <v>46205.991701388884</v>
      </c>
      <c r="E245" s="2">
        <f t="shared" si="6"/>
        <v>46205</v>
      </c>
      <c r="F245" t="s">
        <v>1738</v>
      </c>
      <c r="G245">
        <f>_xlfn.XLOOKUP(A245,FTD!A:A,FTD!C:C)</f>
        <v>10000</v>
      </c>
      <c r="H245" cm="1">
        <f t="array" ref="H245">_xlfn.LET(
  _xlpm.s, TRIM(F245),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5" t="str">
        <f>_xlfn.XLOOKUP(E245,Calendar!C:C,Calendar!B:B)</f>
        <v>Working Day</v>
      </c>
      <c r="M245" s="2">
        <v>46215</v>
      </c>
      <c r="N245" t="s">
        <v>1417</v>
      </c>
      <c r="O245" t="s">
        <v>1784</v>
      </c>
      <c r="P245">
        <v>1</v>
      </c>
      <c r="Q245" t="str">
        <f>_xlfn.XLOOKUP(N245,Attendance!F:F,Attendance!J:J)</f>
        <v>Meta</v>
      </c>
      <c r="R245">
        <f t="shared" si="7"/>
        <v>0</v>
      </c>
    </row>
    <row r="246" spans="1:18" x14ac:dyDescent="0.25">
      <c r="A246" t="s">
        <v>246</v>
      </c>
      <c r="B246" t="s">
        <v>1387</v>
      </c>
      <c r="C246" t="s">
        <v>1415</v>
      </c>
      <c r="D246" s="2">
        <v>46206.466041666667</v>
      </c>
      <c r="E246" s="2">
        <f t="shared" si="6"/>
        <v>46206</v>
      </c>
      <c r="F246" t="s">
        <v>1739</v>
      </c>
      <c r="G246">
        <f>_xlfn.XLOOKUP(A246,FTD!A:A,FTD!C:C)</f>
        <v>1000</v>
      </c>
      <c r="H246" cm="1">
        <f t="array" ref="H246">_xlfn.LET(
  _xlpm.s, TRIM(F246),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46" t="str">
        <f>_xlfn.XLOOKUP(E246,Calendar!C:C,Calendar!B:B)</f>
        <v>Working Day</v>
      </c>
      <c r="M246" s="2">
        <v>46215</v>
      </c>
      <c r="N246" t="s">
        <v>1396</v>
      </c>
      <c r="O246" t="s">
        <v>1784</v>
      </c>
      <c r="P246">
        <v>1</v>
      </c>
      <c r="Q246" t="str">
        <f>_xlfn.XLOOKUP(N246,Attendance!F:F,Attendance!J:J)</f>
        <v>Telegram</v>
      </c>
      <c r="R246">
        <f t="shared" si="7"/>
        <v>0</v>
      </c>
    </row>
    <row r="247" spans="1:18" x14ac:dyDescent="0.25">
      <c r="A247" t="s">
        <v>247</v>
      </c>
      <c r="B247" t="s">
        <v>1387</v>
      </c>
      <c r="C247" t="s">
        <v>1408</v>
      </c>
      <c r="D247" s="2">
        <v>46206.541643518518</v>
      </c>
      <c r="E247" s="2">
        <f t="shared" si="6"/>
        <v>46206</v>
      </c>
      <c r="F247" t="s">
        <v>1738</v>
      </c>
      <c r="G247">
        <f>_xlfn.XLOOKUP(A247,FTD!A:A,FTD!C:C)</f>
        <v>1500</v>
      </c>
      <c r="H247" cm="1">
        <f t="array" ref="H247">_xlfn.LET(
  _xlpm.s, TRIM(F247),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7" t="str">
        <f>_xlfn.XLOOKUP(E247,Calendar!C:C,Calendar!B:B)</f>
        <v>Working Day</v>
      </c>
      <c r="M247" s="2">
        <v>46215</v>
      </c>
      <c r="N247" t="s">
        <v>1435</v>
      </c>
      <c r="O247" t="s">
        <v>1784</v>
      </c>
      <c r="P247">
        <v>1</v>
      </c>
      <c r="Q247" t="str">
        <f>_xlfn.XLOOKUP(N247,Attendance!F:F,Attendance!J:J)</f>
        <v>OLD OJT</v>
      </c>
      <c r="R247">
        <f t="shared" si="7"/>
        <v>0</v>
      </c>
    </row>
    <row r="248" spans="1:18" x14ac:dyDescent="0.25">
      <c r="A248" t="s">
        <v>248</v>
      </c>
      <c r="B248" t="s">
        <v>1387</v>
      </c>
      <c r="C248" t="s">
        <v>1415</v>
      </c>
      <c r="D248" s="2">
        <v>46234.652499999997</v>
      </c>
      <c r="E248" s="2">
        <f t="shared" si="6"/>
        <v>46234</v>
      </c>
      <c r="F248" t="s">
        <v>1744</v>
      </c>
      <c r="G248">
        <f>_xlfn.XLOOKUP(A248,FTD!A:A,FTD!C:C)</f>
        <v>1000</v>
      </c>
      <c r="H248" cm="1">
        <f t="array" ref="H248">_xlfn.LET(
  _xlpm.s, TRIM(F248),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8" t="str">
        <f>_xlfn.XLOOKUP(E248,Calendar!C:C,Calendar!B:B)</f>
        <v>Working Day</v>
      </c>
      <c r="M248" s="2">
        <v>46215</v>
      </c>
      <c r="N248" t="s">
        <v>1406</v>
      </c>
      <c r="O248" t="s">
        <v>1784</v>
      </c>
      <c r="P248">
        <v>1</v>
      </c>
      <c r="Q248" t="str">
        <f>_xlfn.XLOOKUP(N248,Attendance!F:F,Attendance!J:J)</f>
        <v>1</v>
      </c>
      <c r="R248">
        <f t="shared" si="7"/>
        <v>0</v>
      </c>
    </row>
    <row r="249" spans="1:18" x14ac:dyDescent="0.25">
      <c r="A249" t="s">
        <v>249</v>
      </c>
      <c r="B249" t="s">
        <v>1387</v>
      </c>
      <c r="C249" t="s">
        <v>1396</v>
      </c>
      <c r="D249" s="2">
        <v>46212.415659722217</v>
      </c>
      <c r="E249" s="2">
        <f t="shared" si="6"/>
        <v>46212</v>
      </c>
      <c r="F249" t="s">
        <v>1743</v>
      </c>
      <c r="G249">
        <f>_xlfn.XLOOKUP(A249,FTD!A:A,FTD!C:C)</f>
        <v>3000</v>
      </c>
      <c r="H249" cm="1">
        <f t="array" ref="H249">_xlfn.LET(
  _xlpm.s, TRIM(F249),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49" t="str">
        <f>_xlfn.XLOOKUP(E249,Calendar!C:C,Calendar!B:B)</f>
        <v>Working Day</v>
      </c>
      <c r="M249" s="2">
        <v>46215</v>
      </c>
      <c r="N249" t="s">
        <v>1399</v>
      </c>
      <c r="O249" t="s">
        <v>1784</v>
      </c>
      <c r="P249">
        <v>1</v>
      </c>
      <c r="Q249" t="str">
        <f>_xlfn.XLOOKUP(N249,Attendance!F:F,Attendance!J:J)</f>
        <v>1</v>
      </c>
      <c r="R249">
        <f t="shared" si="7"/>
        <v>0</v>
      </c>
    </row>
    <row r="250" spans="1:18" x14ac:dyDescent="0.25">
      <c r="A250" t="s">
        <v>250</v>
      </c>
      <c r="B250" t="s">
        <v>1387</v>
      </c>
      <c r="C250" t="s">
        <v>1408</v>
      </c>
      <c r="D250" s="2">
        <v>46209.433009259257</v>
      </c>
      <c r="E250" s="2">
        <f t="shared" si="6"/>
        <v>46209</v>
      </c>
      <c r="F250" t="s">
        <v>1739</v>
      </c>
      <c r="G250">
        <f>_xlfn.XLOOKUP(A250,FTD!A:A,FTD!C:C)</f>
        <v>4000</v>
      </c>
      <c r="H250" cm="1">
        <f t="array" ref="H250">_xlfn.LET(
  _xlpm.s, TRIM(F250),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50" t="str">
        <f>_xlfn.XLOOKUP(E250,Calendar!C:C,Calendar!B:B)</f>
        <v>Working Day</v>
      </c>
      <c r="M250" s="2">
        <v>46215</v>
      </c>
      <c r="N250" t="s">
        <v>1418</v>
      </c>
      <c r="O250" t="s">
        <v>1784</v>
      </c>
      <c r="P250">
        <v>1</v>
      </c>
      <c r="Q250" t="str">
        <f>_xlfn.XLOOKUP(N250,Attendance!F:F,Attendance!J:J)</f>
        <v>OJT 1</v>
      </c>
      <c r="R250">
        <f t="shared" si="7"/>
        <v>0</v>
      </c>
    </row>
    <row r="251" spans="1:18" x14ac:dyDescent="0.25">
      <c r="A251" t="s">
        <v>251</v>
      </c>
      <c r="B251" t="s">
        <v>1384</v>
      </c>
      <c r="C251" t="s">
        <v>1402</v>
      </c>
      <c r="D251" s="2">
        <v>46213.42597222222</v>
      </c>
      <c r="E251" s="2">
        <f t="shared" si="6"/>
        <v>46213</v>
      </c>
      <c r="F251" t="s">
        <v>1740</v>
      </c>
      <c r="G251">
        <f>_xlfn.XLOOKUP(A251,FTD!A:A,FTD!C:C)</f>
        <v>1000</v>
      </c>
      <c r="H251" cm="1">
        <f t="array" ref="H251">_xlfn.LET(
  _xlpm.s, TRIM(F251),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51" t="str">
        <f>_xlfn.XLOOKUP(E251,Calendar!C:C,Calendar!B:B)</f>
        <v>Working Day</v>
      </c>
      <c r="M251" s="2">
        <v>46215</v>
      </c>
      <c r="N251" t="s">
        <v>1437</v>
      </c>
      <c r="O251" t="s">
        <v>1784</v>
      </c>
      <c r="P251">
        <v>1</v>
      </c>
      <c r="Q251" t="str">
        <f>_xlfn.XLOOKUP(N251,Attendance!F:F,Attendance!J:J)</f>
        <v>OJT4</v>
      </c>
      <c r="R251">
        <f t="shared" si="7"/>
        <v>0</v>
      </c>
    </row>
    <row r="252" spans="1:18" x14ac:dyDescent="0.25">
      <c r="A252" t="s">
        <v>252</v>
      </c>
      <c r="B252" t="s">
        <v>1387</v>
      </c>
      <c r="C252" t="s">
        <v>1415</v>
      </c>
      <c r="D252" s="2">
        <v>46218.400613425925</v>
      </c>
      <c r="E252" s="2">
        <f t="shared" si="6"/>
        <v>46218</v>
      </c>
      <c r="F252" t="s">
        <v>1738</v>
      </c>
      <c r="G252">
        <f>_xlfn.XLOOKUP(A252,FTD!A:A,FTD!C:C)</f>
        <v>5000</v>
      </c>
      <c r="H252" cm="1">
        <f t="array" ref="H252">_xlfn.LET(
  _xlpm.s, TRIM(F252),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52" t="str">
        <f>_xlfn.XLOOKUP(E252,Calendar!C:C,Calendar!B:B)</f>
        <v>Working Day</v>
      </c>
      <c r="M252" s="2">
        <v>46215</v>
      </c>
      <c r="N252" t="s">
        <v>1408</v>
      </c>
      <c r="O252" t="s">
        <v>1784</v>
      </c>
      <c r="P252">
        <v>2</v>
      </c>
      <c r="Q252" t="str">
        <f>_xlfn.XLOOKUP(N252,Attendance!F:F,Attendance!J:J)</f>
        <v>1</v>
      </c>
      <c r="R252">
        <f t="shared" si="7"/>
        <v>0</v>
      </c>
    </row>
    <row r="253" spans="1:18" x14ac:dyDescent="0.25">
      <c r="A253" t="s">
        <v>253</v>
      </c>
      <c r="B253" t="s">
        <v>1387</v>
      </c>
      <c r="C253" t="s">
        <v>1392</v>
      </c>
      <c r="D253" s="2">
        <v>46204.552569444444</v>
      </c>
      <c r="E253" s="2">
        <f t="shared" si="6"/>
        <v>46204</v>
      </c>
      <c r="F253" t="s">
        <v>1739</v>
      </c>
      <c r="G253">
        <f>_xlfn.XLOOKUP(A253,FTD!A:A,FTD!C:C)</f>
        <v>2000</v>
      </c>
      <c r="H253" cm="1">
        <f t="array" ref="H253">_xlfn.LET(
  _xlpm.s, TRIM(F253),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53" t="str">
        <f>_xlfn.XLOOKUP(E253,Calendar!C:C,Calendar!B:B)</f>
        <v>Working Day</v>
      </c>
      <c r="M253" s="2">
        <v>46216</v>
      </c>
      <c r="N253" t="s">
        <v>1405</v>
      </c>
      <c r="O253" t="s">
        <v>1789</v>
      </c>
      <c r="P253">
        <v>1</v>
      </c>
      <c r="Q253" t="str">
        <f>_xlfn.XLOOKUP(N253,Attendance!F:F,Attendance!J:J)</f>
        <v>Dialer</v>
      </c>
      <c r="R253">
        <f t="shared" si="7"/>
        <v>0</v>
      </c>
    </row>
    <row r="254" spans="1:18" x14ac:dyDescent="0.25">
      <c r="A254" t="s">
        <v>254</v>
      </c>
      <c r="B254" t="s">
        <v>1387</v>
      </c>
      <c r="C254" t="s">
        <v>1426</v>
      </c>
      <c r="D254" s="2">
        <v>46210.530902777777</v>
      </c>
      <c r="E254" s="2">
        <f t="shared" si="6"/>
        <v>46210</v>
      </c>
      <c r="F254" t="s">
        <v>1738</v>
      </c>
      <c r="G254">
        <f>_xlfn.XLOOKUP(A254,FTD!A:A,FTD!C:C)</f>
        <v>2000</v>
      </c>
      <c r="H254" cm="1">
        <f t="array" ref="H254">_xlfn.LET(
  _xlpm.s, TRIM(F254),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54" t="str">
        <f>_xlfn.XLOOKUP(E254,Calendar!C:C,Calendar!B:B)</f>
        <v>Working Day</v>
      </c>
      <c r="M254" s="2">
        <v>46216</v>
      </c>
      <c r="N254" t="s">
        <v>1403</v>
      </c>
      <c r="O254" t="s">
        <v>1789</v>
      </c>
      <c r="P254">
        <v>1</v>
      </c>
      <c r="Q254" t="str">
        <f>_xlfn.XLOOKUP(N254,Attendance!F:F,Attendance!J:J)</f>
        <v>Meta</v>
      </c>
      <c r="R254">
        <f t="shared" si="7"/>
        <v>0</v>
      </c>
    </row>
    <row r="255" spans="1:18" x14ac:dyDescent="0.25">
      <c r="A255" t="s">
        <v>255</v>
      </c>
      <c r="B255" t="s">
        <v>1387</v>
      </c>
      <c r="C255" t="s">
        <v>1407</v>
      </c>
      <c r="D255" s="2">
        <v>46225.533622685187</v>
      </c>
      <c r="E255" s="2">
        <f t="shared" si="6"/>
        <v>46225</v>
      </c>
      <c r="F255" t="s">
        <v>1751</v>
      </c>
      <c r="G255">
        <f>_xlfn.XLOOKUP(A255,FTD!A:A,FTD!C:C)</f>
        <v>1000</v>
      </c>
      <c r="H255" cm="1">
        <f t="array" ref="H255">_xlfn.LET(
  _xlpm.s, TRIM(F255),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255" t="str">
        <f>_xlfn.XLOOKUP(E255,Calendar!C:C,Calendar!B:B)</f>
        <v>Working Day</v>
      </c>
      <c r="M255" s="2">
        <v>46216</v>
      </c>
      <c r="N255" t="s">
        <v>1388</v>
      </c>
      <c r="O255" t="s">
        <v>1789</v>
      </c>
      <c r="P255">
        <v>1</v>
      </c>
      <c r="Q255" t="str">
        <f>_xlfn.XLOOKUP(N255,Attendance!F:F,Attendance!J:J)</f>
        <v>Telegram</v>
      </c>
      <c r="R255">
        <f t="shared" si="7"/>
        <v>0</v>
      </c>
    </row>
    <row r="256" spans="1:18" x14ac:dyDescent="0.25">
      <c r="A256" t="s">
        <v>256</v>
      </c>
      <c r="B256" t="s">
        <v>1387</v>
      </c>
      <c r="C256" t="s">
        <v>1400</v>
      </c>
      <c r="D256" s="2">
        <v>46226.591597222221</v>
      </c>
      <c r="E256" s="2">
        <f t="shared" si="6"/>
        <v>46226</v>
      </c>
      <c r="F256" t="s">
        <v>1739</v>
      </c>
      <c r="G256">
        <f>_xlfn.XLOOKUP(A256,FTD!A:A,FTD!C:C)</f>
        <v>1000</v>
      </c>
      <c r="H256" cm="1">
        <f t="array" ref="H256">_xlfn.LET(
  _xlpm.s, TRIM(F256),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56" t="str">
        <f>_xlfn.XLOOKUP(E256,Calendar!C:C,Calendar!B:B)</f>
        <v>Working Day</v>
      </c>
      <c r="M256" s="2">
        <v>46216</v>
      </c>
      <c r="N256" t="s">
        <v>1415</v>
      </c>
      <c r="O256" t="s">
        <v>1789</v>
      </c>
      <c r="P256">
        <v>1</v>
      </c>
      <c r="Q256" t="str">
        <f>_xlfn.XLOOKUP(N256,Attendance!F:F,Attendance!J:J)</f>
        <v>Meta</v>
      </c>
      <c r="R256">
        <f t="shared" si="7"/>
        <v>0</v>
      </c>
    </row>
    <row r="257" spans="1:18" x14ac:dyDescent="0.25">
      <c r="A257" t="s">
        <v>257</v>
      </c>
      <c r="B257" t="s">
        <v>1387</v>
      </c>
      <c r="C257" t="s">
        <v>1408</v>
      </c>
      <c r="D257" s="2">
        <v>46226.434189814812</v>
      </c>
      <c r="E257" s="2">
        <f t="shared" si="6"/>
        <v>46226</v>
      </c>
      <c r="F257" t="s">
        <v>1739</v>
      </c>
      <c r="G257">
        <f>_xlfn.XLOOKUP(A257,FTD!A:A,FTD!C:C)</f>
        <v>1000</v>
      </c>
      <c r="H257" cm="1">
        <f t="array" ref="H257">_xlfn.LET(
  _xlpm.s, TRIM(F257),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57" t="str">
        <f>_xlfn.XLOOKUP(E257,Calendar!C:C,Calendar!B:B)</f>
        <v>Working Day</v>
      </c>
      <c r="M257" s="2">
        <v>46216</v>
      </c>
      <c r="N257" t="s">
        <v>1433</v>
      </c>
      <c r="O257" t="s">
        <v>1789</v>
      </c>
      <c r="P257">
        <v>1</v>
      </c>
      <c r="Q257" t="str">
        <f>_xlfn.XLOOKUP(N257,Attendance!F:F,Attendance!J:J)</f>
        <v>Meta</v>
      </c>
      <c r="R257">
        <f t="shared" si="7"/>
        <v>0</v>
      </c>
    </row>
    <row r="258" spans="1:18" x14ac:dyDescent="0.25">
      <c r="A258" t="s">
        <v>258</v>
      </c>
      <c r="B258" t="s">
        <v>1387</v>
      </c>
      <c r="C258" t="s">
        <v>1406</v>
      </c>
      <c r="D258" s="2">
        <v>46221.767777777779</v>
      </c>
      <c r="E258" s="2">
        <f t="shared" si="6"/>
        <v>46221</v>
      </c>
      <c r="F258" t="s">
        <v>1738</v>
      </c>
      <c r="G258">
        <f>_xlfn.XLOOKUP(A258,FTD!A:A,FTD!C:C)</f>
        <v>1000</v>
      </c>
      <c r="H258" cm="1">
        <f t="array" ref="H258">_xlfn.LET(
  _xlpm.s, TRIM(F258),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58" t="str">
        <f>_xlfn.XLOOKUP(E258,Calendar!C:C,Calendar!B:B)</f>
        <v>Saturday</v>
      </c>
      <c r="M258" s="2">
        <v>46216</v>
      </c>
      <c r="N258" t="s">
        <v>1398</v>
      </c>
      <c r="O258" t="s">
        <v>1789</v>
      </c>
      <c r="P258">
        <v>5</v>
      </c>
      <c r="Q258" t="str">
        <f>_xlfn.XLOOKUP(N258,Attendance!F:F,Attendance!J:J)</f>
        <v>1</v>
      </c>
      <c r="R258">
        <f t="shared" si="7"/>
        <v>0</v>
      </c>
    </row>
    <row r="259" spans="1:18" x14ac:dyDescent="0.25">
      <c r="A259" t="s">
        <v>259</v>
      </c>
      <c r="B259" t="s">
        <v>1387</v>
      </c>
      <c r="C259" t="s">
        <v>1408</v>
      </c>
      <c r="D259" s="2">
        <v>46226.614675925921</v>
      </c>
      <c r="E259" s="2">
        <f t="shared" ref="E259:E322" si="8">INT(D259)</f>
        <v>46226</v>
      </c>
      <c r="F259" t="s">
        <v>1739</v>
      </c>
      <c r="G259">
        <f>_xlfn.XLOOKUP(A259,FTD!A:A,FTD!C:C)</f>
        <v>2000</v>
      </c>
      <c r="H259" cm="1">
        <f t="array" ref="H259">_xlfn.LET(
  _xlpm.s, TRIM(F259),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59" t="str">
        <f>_xlfn.XLOOKUP(E259,Calendar!C:C,Calendar!B:B)</f>
        <v>Working Day</v>
      </c>
      <c r="M259" s="2">
        <v>46216</v>
      </c>
      <c r="N259" t="s">
        <v>1389</v>
      </c>
      <c r="O259" t="s">
        <v>1789</v>
      </c>
      <c r="P259">
        <v>1</v>
      </c>
      <c r="Q259" t="str">
        <f>_xlfn.XLOOKUP(N259,Attendance!F:F,Attendance!J:J)</f>
        <v>Meta</v>
      </c>
      <c r="R259">
        <f t="shared" si="7"/>
        <v>0</v>
      </c>
    </row>
    <row r="260" spans="1:18" x14ac:dyDescent="0.25">
      <c r="A260" t="s">
        <v>260</v>
      </c>
      <c r="B260" t="s">
        <v>1387</v>
      </c>
      <c r="C260" t="s">
        <v>1389</v>
      </c>
      <c r="D260" s="2">
        <v>46204.604768518519</v>
      </c>
      <c r="E260" s="2">
        <f t="shared" si="8"/>
        <v>46204</v>
      </c>
      <c r="F260" t="s">
        <v>1739</v>
      </c>
      <c r="G260">
        <f>_xlfn.XLOOKUP(A260,FTD!A:A,FTD!C:C)</f>
        <v>1000</v>
      </c>
      <c r="H260" cm="1">
        <f t="array" ref="H260">_xlfn.LET(
  _xlpm.s, TRIM(F260),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60" t="str">
        <f>_xlfn.XLOOKUP(E260,Calendar!C:C,Calendar!B:B)</f>
        <v>Working Day</v>
      </c>
      <c r="M260" s="2">
        <v>46216</v>
      </c>
      <c r="N260" t="s">
        <v>1414</v>
      </c>
      <c r="O260" t="s">
        <v>1789</v>
      </c>
      <c r="P260">
        <v>2</v>
      </c>
      <c r="Q260" t="str">
        <f>_xlfn.XLOOKUP(N260,Attendance!F:F,Attendance!J:J)</f>
        <v>New OJT</v>
      </c>
      <c r="R260">
        <f t="shared" ref="R260:R323" si="9">_xlfn.LET(
  _xlpm.pool, IFERROR(Q260&amp;"", ""),
  _xlpm.conv, IFERROR(--P260, 0),
  _xlpm.mkt,  O261="Working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261" spans="1:18" x14ac:dyDescent="0.25">
      <c r="A261" t="s">
        <v>261</v>
      </c>
      <c r="B261" t="s">
        <v>1387</v>
      </c>
      <c r="C261" t="s">
        <v>1408</v>
      </c>
      <c r="D261" s="2">
        <v>46223.501377314809</v>
      </c>
      <c r="E261" s="2">
        <f t="shared" si="8"/>
        <v>46223</v>
      </c>
      <c r="F261" t="s">
        <v>1738</v>
      </c>
      <c r="G261">
        <f>_xlfn.XLOOKUP(A261,FTD!A:A,FTD!C:C)</f>
        <v>1000</v>
      </c>
      <c r="H261" cm="1">
        <f t="array" ref="H261">_xlfn.LET(
  _xlpm.s, TRIM(F261),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1" t="str">
        <f>_xlfn.XLOOKUP(E261,Calendar!C:C,Calendar!B:B)</f>
        <v>Working Day</v>
      </c>
      <c r="M261" s="2">
        <v>46216</v>
      </c>
      <c r="N261" t="s">
        <v>1397</v>
      </c>
      <c r="O261" t="s">
        <v>1789</v>
      </c>
      <c r="P261">
        <v>3</v>
      </c>
      <c r="Q261" t="str">
        <f>_xlfn.XLOOKUP(N261,Attendance!F:F,Attendance!J:J)</f>
        <v>Meta</v>
      </c>
      <c r="R261">
        <f t="shared" si="9"/>
        <v>0</v>
      </c>
    </row>
    <row r="262" spans="1:18" x14ac:dyDescent="0.25">
      <c r="A262" t="s">
        <v>262</v>
      </c>
      <c r="B262" t="s">
        <v>1387</v>
      </c>
      <c r="C262" t="s">
        <v>1392</v>
      </c>
      <c r="D262" s="2">
        <v>46220.667928240742</v>
      </c>
      <c r="E262" s="2">
        <f t="shared" si="8"/>
        <v>46220</v>
      </c>
      <c r="F262" t="s">
        <v>1743</v>
      </c>
      <c r="G262">
        <f>_xlfn.XLOOKUP(A262,FTD!A:A,FTD!C:C)</f>
        <v>2000</v>
      </c>
      <c r="H262" cm="1">
        <f t="array" ref="H262">_xlfn.LET(
  _xlpm.s, TRIM(F262),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2" t="str">
        <f>_xlfn.XLOOKUP(E262,Calendar!C:C,Calendar!B:B)</f>
        <v>Working Day</v>
      </c>
      <c r="M262" s="2">
        <v>46216</v>
      </c>
      <c r="N262" t="s">
        <v>1401</v>
      </c>
      <c r="O262" t="s">
        <v>1789</v>
      </c>
      <c r="P262">
        <v>2</v>
      </c>
      <c r="Q262" t="str">
        <f>_xlfn.XLOOKUP(N262,Attendance!F:F,Attendance!J:J)</f>
        <v>OJT 2</v>
      </c>
      <c r="R262">
        <f t="shared" si="9"/>
        <v>0</v>
      </c>
    </row>
    <row r="263" spans="1:18" x14ac:dyDescent="0.25">
      <c r="A263" t="s">
        <v>263</v>
      </c>
      <c r="B263" t="s">
        <v>1387</v>
      </c>
      <c r="C263" t="s">
        <v>1408</v>
      </c>
      <c r="D263" s="2">
        <v>46209.584826388884</v>
      </c>
      <c r="E263" s="2">
        <f t="shared" si="8"/>
        <v>46209</v>
      </c>
      <c r="F263" t="s">
        <v>1738</v>
      </c>
      <c r="G263">
        <f>_xlfn.XLOOKUP(A263,FTD!A:A,FTD!C:C)</f>
        <v>1000</v>
      </c>
      <c r="H263" cm="1">
        <f t="array" ref="H263">_xlfn.LET(
  _xlpm.s, TRIM(F263),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3" t="str">
        <f>_xlfn.XLOOKUP(E263,Calendar!C:C,Calendar!B:B)</f>
        <v>Working Day</v>
      </c>
      <c r="M263" s="2">
        <v>46216</v>
      </c>
      <c r="N263" t="s">
        <v>1395</v>
      </c>
      <c r="O263" t="s">
        <v>1789</v>
      </c>
      <c r="P263">
        <v>1</v>
      </c>
      <c r="Q263" t="str">
        <f>_xlfn.XLOOKUP(N263,Attendance!F:F,Attendance!J:J)</f>
        <v>OJT 1</v>
      </c>
      <c r="R263">
        <f t="shared" si="9"/>
        <v>0</v>
      </c>
    </row>
    <row r="264" spans="1:18" x14ac:dyDescent="0.25">
      <c r="A264" t="s">
        <v>264</v>
      </c>
      <c r="B264" t="s">
        <v>1387</v>
      </c>
      <c r="C264" t="s">
        <v>1431</v>
      </c>
      <c r="D264" s="2">
        <v>46216.407083333332</v>
      </c>
      <c r="E264" s="2">
        <f t="shared" si="8"/>
        <v>46216</v>
      </c>
      <c r="F264" t="s">
        <v>1743</v>
      </c>
      <c r="G264">
        <f>_xlfn.XLOOKUP(A264,FTD!A:A,FTD!C:C)</f>
        <v>3000</v>
      </c>
      <c r="H264" cm="1">
        <f t="array" ref="H264">_xlfn.LET(
  _xlpm.s, TRIM(F264),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4" t="str">
        <f>_xlfn.XLOOKUP(E264,Calendar!C:C,Calendar!B:B)</f>
        <v>Working Day</v>
      </c>
      <c r="M264" s="2">
        <v>46216</v>
      </c>
      <c r="N264" t="s">
        <v>1407</v>
      </c>
      <c r="O264" t="s">
        <v>1789</v>
      </c>
      <c r="P264">
        <v>1</v>
      </c>
      <c r="Q264" t="str">
        <f>_xlfn.XLOOKUP(N264,Attendance!F:F,Attendance!J:J)</f>
        <v>Meta</v>
      </c>
      <c r="R264">
        <f t="shared" si="9"/>
        <v>0</v>
      </c>
    </row>
    <row r="265" spans="1:18" x14ac:dyDescent="0.25">
      <c r="A265" t="s">
        <v>265</v>
      </c>
      <c r="B265" t="s">
        <v>1384</v>
      </c>
      <c r="C265" t="s">
        <v>1428</v>
      </c>
      <c r="D265" s="2">
        <v>46219.977858796294</v>
      </c>
      <c r="E265" s="2">
        <f t="shared" si="8"/>
        <v>46219</v>
      </c>
      <c r="F265" t="s">
        <v>1738</v>
      </c>
      <c r="G265">
        <f>_xlfn.XLOOKUP(A265,FTD!A:A,FTD!C:C)</f>
        <v>14022</v>
      </c>
      <c r="H265" cm="1">
        <f t="array" ref="H265">_xlfn.LET(
  _xlpm.s, TRIM(F265),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5" t="str">
        <f>_xlfn.XLOOKUP(E265,Calendar!C:C,Calendar!B:B)</f>
        <v>Working Day</v>
      </c>
      <c r="M265" s="2">
        <v>46216</v>
      </c>
      <c r="N265" t="s">
        <v>1412</v>
      </c>
      <c r="O265" t="s">
        <v>1789</v>
      </c>
      <c r="P265">
        <v>2</v>
      </c>
      <c r="Q265" t="str">
        <f>_xlfn.XLOOKUP(N265,Attendance!F:F,Attendance!J:J)</f>
        <v>1</v>
      </c>
      <c r="R265">
        <f t="shared" si="9"/>
        <v>0</v>
      </c>
    </row>
    <row r="266" spans="1:18" x14ac:dyDescent="0.25">
      <c r="A266" t="s">
        <v>266</v>
      </c>
      <c r="B266" t="s">
        <v>1384</v>
      </c>
      <c r="C266" t="s">
        <v>1407</v>
      </c>
      <c r="D266" s="2">
        <v>46231.405914351853</v>
      </c>
      <c r="E266" s="2">
        <f t="shared" si="8"/>
        <v>46231</v>
      </c>
      <c r="F266" t="s">
        <v>1739</v>
      </c>
      <c r="G266">
        <f>_xlfn.XLOOKUP(A266,FTD!A:A,FTD!C:C)</f>
        <v>10000</v>
      </c>
      <c r="H266" cm="1">
        <f t="array" ref="H266">_xlfn.LET(
  _xlpm.s, TRIM(F266),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66" t="str">
        <f>_xlfn.XLOOKUP(E266,Calendar!C:C,Calendar!B:B)</f>
        <v>Working Day</v>
      </c>
      <c r="M266" s="2">
        <v>46216</v>
      </c>
      <c r="N266" t="s">
        <v>1406</v>
      </c>
      <c r="O266" t="s">
        <v>1789</v>
      </c>
      <c r="P266">
        <v>4</v>
      </c>
      <c r="Q266" t="str">
        <f>_xlfn.XLOOKUP(N266,Attendance!F:F,Attendance!J:J)</f>
        <v>1</v>
      </c>
      <c r="R266">
        <f t="shared" si="9"/>
        <v>0</v>
      </c>
    </row>
    <row r="267" spans="1:18" x14ac:dyDescent="0.25">
      <c r="A267" t="s">
        <v>267</v>
      </c>
      <c r="B267" t="s">
        <v>1384</v>
      </c>
      <c r="C267" t="s">
        <v>1417</v>
      </c>
      <c r="D267" s="2">
        <v>46220.689525462964</v>
      </c>
      <c r="E267" s="2">
        <f t="shared" si="8"/>
        <v>46220</v>
      </c>
      <c r="F267" t="s">
        <v>1741</v>
      </c>
      <c r="G267">
        <f>_xlfn.XLOOKUP(A267,FTD!A:A,FTD!C:C)</f>
        <v>1000</v>
      </c>
      <c r="H267" cm="1">
        <f t="array" ref="H267">_xlfn.LET(
  _xlpm.s, TRIM(F267),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7" t="str">
        <f>_xlfn.XLOOKUP(E267,Calendar!C:C,Calendar!B:B)</f>
        <v>Working Day</v>
      </c>
      <c r="M267" s="2">
        <v>46216</v>
      </c>
      <c r="N267" t="s">
        <v>1431</v>
      </c>
      <c r="O267" t="s">
        <v>1789</v>
      </c>
      <c r="P267">
        <v>3</v>
      </c>
      <c r="Q267" t="str">
        <f>_xlfn.XLOOKUP(N267,Attendance!F:F,Attendance!J:J)</f>
        <v>Telegram</v>
      </c>
      <c r="R267">
        <f t="shared" si="9"/>
        <v>500</v>
      </c>
    </row>
    <row r="268" spans="1:18" x14ac:dyDescent="0.25">
      <c r="A268" t="s">
        <v>268</v>
      </c>
      <c r="B268" t="s">
        <v>1387</v>
      </c>
      <c r="C268" t="s">
        <v>1408</v>
      </c>
      <c r="D268" s="2">
        <v>46205.490960648145</v>
      </c>
      <c r="E268" s="2">
        <f t="shared" si="8"/>
        <v>46205</v>
      </c>
      <c r="F268" t="s">
        <v>1739</v>
      </c>
      <c r="G268">
        <f>_xlfn.XLOOKUP(A268,FTD!A:A,FTD!C:C)</f>
        <v>1000</v>
      </c>
      <c r="H268" cm="1">
        <f t="array" ref="H268">_xlfn.LET(
  _xlpm.s, TRIM(F268),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68" t="str">
        <f>_xlfn.XLOOKUP(E268,Calendar!C:C,Calendar!B:B)</f>
        <v>Working Day</v>
      </c>
      <c r="M268" s="2">
        <v>46216</v>
      </c>
      <c r="N268" t="s">
        <v>1430</v>
      </c>
      <c r="O268" t="s">
        <v>1789</v>
      </c>
      <c r="P268">
        <v>1</v>
      </c>
      <c r="Q268" t="str">
        <f>_xlfn.XLOOKUP(N268,Attendance!F:F,Attendance!J:J)</f>
        <v>Telegram</v>
      </c>
      <c r="R268">
        <f t="shared" si="9"/>
        <v>0</v>
      </c>
    </row>
    <row r="269" spans="1:18" x14ac:dyDescent="0.25">
      <c r="A269" t="s">
        <v>269</v>
      </c>
      <c r="B269" t="s">
        <v>1387</v>
      </c>
      <c r="C269" t="s">
        <v>1396</v>
      </c>
      <c r="D269" s="2">
        <v>46231.354768518519</v>
      </c>
      <c r="E269" s="2">
        <f t="shared" si="8"/>
        <v>46231</v>
      </c>
      <c r="F269" t="s">
        <v>1743</v>
      </c>
      <c r="G269">
        <f>_xlfn.XLOOKUP(A269,FTD!A:A,FTD!C:C)</f>
        <v>5000</v>
      </c>
      <c r="H269" cm="1">
        <f t="array" ref="H269">_xlfn.LET(
  _xlpm.s, TRIM(F269),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69" t="str">
        <f>_xlfn.XLOOKUP(E269,Calendar!C:C,Calendar!B:B)</f>
        <v>Working Day</v>
      </c>
      <c r="M269" s="2">
        <v>46216</v>
      </c>
      <c r="N269" t="s">
        <v>1402</v>
      </c>
      <c r="O269" t="s">
        <v>1789</v>
      </c>
      <c r="P269">
        <v>3</v>
      </c>
      <c r="Q269" t="str">
        <f>_xlfn.XLOOKUP(N269,Attendance!F:F,Attendance!J:J)</f>
        <v>1</v>
      </c>
      <c r="R269">
        <f t="shared" si="9"/>
        <v>0</v>
      </c>
    </row>
    <row r="270" spans="1:18" x14ac:dyDescent="0.25">
      <c r="A270" t="s">
        <v>270</v>
      </c>
      <c r="B270" t="s">
        <v>1387</v>
      </c>
      <c r="C270" t="s">
        <v>1406</v>
      </c>
      <c r="D270" s="2">
        <v>46218.540474537032</v>
      </c>
      <c r="E270" s="2">
        <f t="shared" si="8"/>
        <v>46218</v>
      </c>
      <c r="F270" t="s">
        <v>1738</v>
      </c>
      <c r="G270">
        <f>_xlfn.XLOOKUP(A270,FTD!A:A,FTD!C:C)</f>
        <v>25000</v>
      </c>
      <c r="H270" cm="1">
        <f t="array" ref="H270">_xlfn.LET(
  _xlpm.s, TRIM(F270),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0" t="str">
        <f>_xlfn.XLOOKUP(E270,Calendar!C:C,Calendar!B:B)</f>
        <v>Working Day</v>
      </c>
      <c r="M270" s="2">
        <v>46216</v>
      </c>
      <c r="N270" t="s">
        <v>1391</v>
      </c>
      <c r="O270" t="s">
        <v>1789</v>
      </c>
      <c r="P270">
        <v>4</v>
      </c>
      <c r="Q270" t="str">
        <f>_xlfn.XLOOKUP(N270,Attendance!F:F,Attendance!J:J)</f>
        <v>Dialer</v>
      </c>
      <c r="R270">
        <f t="shared" si="9"/>
        <v>500</v>
      </c>
    </row>
    <row r="271" spans="1:18" x14ac:dyDescent="0.25">
      <c r="A271" t="s">
        <v>271</v>
      </c>
      <c r="B271" t="s">
        <v>1387</v>
      </c>
      <c r="C271" t="s">
        <v>1402</v>
      </c>
      <c r="D271" s="2">
        <v>46227.950104166666</v>
      </c>
      <c r="E271" s="2">
        <f t="shared" si="8"/>
        <v>46227</v>
      </c>
      <c r="F271" t="s">
        <v>1738</v>
      </c>
      <c r="G271">
        <f>_xlfn.XLOOKUP(A271,FTD!A:A,FTD!C:C)</f>
        <v>2000</v>
      </c>
      <c r="H271" cm="1">
        <f t="array" ref="H271">_xlfn.LET(
  _xlpm.s, TRIM(F271),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1" t="str">
        <f>_xlfn.XLOOKUP(E271,Calendar!C:C,Calendar!B:B)</f>
        <v>Working Day</v>
      </c>
      <c r="M271" s="2">
        <v>46216</v>
      </c>
      <c r="N271" t="s">
        <v>1393</v>
      </c>
      <c r="O271" t="s">
        <v>1789</v>
      </c>
      <c r="P271">
        <v>2</v>
      </c>
      <c r="Q271" t="str">
        <f>_xlfn.XLOOKUP(N271,Attendance!F:F,Attendance!J:J)</f>
        <v>Dialer</v>
      </c>
      <c r="R271">
        <f t="shared" si="9"/>
        <v>0</v>
      </c>
    </row>
    <row r="272" spans="1:18" x14ac:dyDescent="0.25">
      <c r="A272" t="s">
        <v>272</v>
      </c>
      <c r="B272" t="s">
        <v>1387</v>
      </c>
      <c r="C272" t="s">
        <v>1402</v>
      </c>
      <c r="D272" s="2">
        <v>46230.515775462962</v>
      </c>
      <c r="E272" s="2">
        <f t="shared" si="8"/>
        <v>46230</v>
      </c>
      <c r="F272" t="s">
        <v>1741</v>
      </c>
      <c r="G272">
        <f>_xlfn.XLOOKUP(A272,FTD!A:A,FTD!C:C)</f>
        <v>1000</v>
      </c>
      <c r="H272" cm="1">
        <f t="array" ref="H272">_xlfn.LET(
  _xlpm.s, TRIM(F272),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2" t="str">
        <f>_xlfn.XLOOKUP(E272,Calendar!C:C,Calendar!B:B)</f>
        <v>Working Day</v>
      </c>
      <c r="M272" s="2">
        <v>46216</v>
      </c>
      <c r="N272" t="s">
        <v>1392</v>
      </c>
      <c r="O272" t="s">
        <v>1789</v>
      </c>
      <c r="P272">
        <v>2</v>
      </c>
      <c r="Q272" t="str">
        <f>_xlfn.XLOOKUP(N272,Attendance!F:F,Attendance!J:J)</f>
        <v>Telegram</v>
      </c>
      <c r="R272">
        <f t="shared" si="9"/>
        <v>0</v>
      </c>
    </row>
    <row r="273" spans="1:18" x14ac:dyDescent="0.25">
      <c r="A273" t="s">
        <v>273</v>
      </c>
      <c r="B273" t="s">
        <v>1387</v>
      </c>
      <c r="C273" t="s">
        <v>1402</v>
      </c>
      <c r="D273" s="2">
        <v>46230.431770833333</v>
      </c>
      <c r="E273" s="2">
        <f t="shared" si="8"/>
        <v>46230</v>
      </c>
      <c r="F273" t="s">
        <v>1738</v>
      </c>
      <c r="G273">
        <f>_xlfn.XLOOKUP(A273,FTD!A:A,FTD!C:C)</f>
        <v>50000</v>
      </c>
      <c r="H273" cm="1">
        <f t="array" ref="H273">_xlfn.LET(
  _xlpm.s, TRIM(F273),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3" t="str">
        <f>_xlfn.XLOOKUP(E273,Calendar!C:C,Calendar!B:B)</f>
        <v>Working Day</v>
      </c>
      <c r="M273" s="2">
        <v>46216</v>
      </c>
      <c r="N273" t="s">
        <v>1429</v>
      </c>
      <c r="O273" t="s">
        <v>1789</v>
      </c>
      <c r="P273">
        <v>1</v>
      </c>
      <c r="Q273" t="e">
        <f>_xlfn.XLOOKUP(N273,Attendance!F:F,Attendance!J:J)</f>
        <v>#N/A</v>
      </c>
      <c r="R273">
        <f t="shared" si="9"/>
        <v>0</v>
      </c>
    </row>
    <row r="274" spans="1:18" x14ac:dyDescent="0.25">
      <c r="A274" t="s">
        <v>274</v>
      </c>
      <c r="B274" t="s">
        <v>1387</v>
      </c>
      <c r="C274" t="s">
        <v>1405</v>
      </c>
      <c r="D274" s="2">
        <v>46219.389722222222</v>
      </c>
      <c r="E274" s="2">
        <f t="shared" si="8"/>
        <v>46219</v>
      </c>
      <c r="F274" t="s">
        <v>1738</v>
      </c>
      <c r="G274">
        <f>_xlfn.XLOOKUP(A274,FTD!A:A,FTD!C:C)</f>
        <v>20000</v>
      </c>
      <c r="H274" cm="1">
        <f t="array" ref="H274">_xlfn.LET(
  _xlpm.s, TRIM(F274),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4" t="str">
        <f>_xlfn.XLOOKUP(E274,Calendar!C:C,Calendar!B:B)</f>
        <v>Working Day</v>
      </c>
      <c r="M274" s="2">
        <v>46216</v>
      </c>
      <c r="N274" t="s">
        <v>1394</v>
      </c>
      <c r="O274" t="s">
        <v>1789</v>
      </c>
      <c r="P274">
        <v>1</v>
      </c>
      <c r="Q274" t="str">
        <f>_xlfn.XLOOKUP(N274,Attendance!F:F,Attendance!J:J)</f>
        <v>OJT 1</v>
      </c>
      <c r="R274">
        <f t="shared" si="9"/>
        <v>0</v>
      </c>
    </row>
    <row r="275" spans="1:18" x14ac:dyDescent="0.25">
      <c r="A275" t="s">
        <v>275</v>
      </c>
      <c r="B275" t="s">
        <v>1387</v>
      </c>
      <c r="C275" t="s">
        <v>1406</v>
      </c>
      <c r="D275" s="2">
        <v>46225.568530092591</v>
      </c>
      <c r="E275" s="2">
        <f t="shared" si="8"/>
        <v>46225</v>
      </c>
      <c r="F275" t="s">
        <v>1738</v>
      </c>
      <c r="G275">
        <f>_xlfn.XLOOKUP(A275,FTD!A:A,FTD!C:C)</f>
        <v>18000</v>
      </c>
      <c r="H275" cm="1">
        <f t="array" ref="H275">_xlfn.LET(
  _xlpm.s, TRIM(F275),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5" t="str">
        <f>_xlfn.XLOOKUP(E275,Calendar!C:C,Calendar!B:B)</f>
        <v>Working Day</v>
      </c>
      <c r="M275" s="2">
        <v>46216</v>
      </c>
      <c r="N275" t="s">
        <v>1409</v>
      </c>
      <c r="O275" t="s">
        <v>1789</v>
      </c>
      <c r="P275">
        <v>1</v>
      </c>
      <c r="Q275" t="str">
        <f>_xlfn.XLOOKUP(N275,Attendance!F:F,Attendance!J:J)</f>
        <v>Dialer</v>
      </c>
      <c r="R275">
        <f t="shared" si="9"/>
        <v>0</v>
      </c>
    </row>
    <row r="276" spans="1:18" x14ac:dyDescent="0.25">
      <c r="A276" t="s">
        <v>276</v>
      </c>
      <c r="B276" t="s">
        <v>1387</v>
      </c>
      <c r="C276" t="s">
        <v>1388</v>
      </c>
      <c r="D276" s="2">
        <v>46207.731620370367</v>
      </c>
      <c r="E276" s="2">
        <f t="shared" si="8"/>
        <v>46207</v>
      </c>
      <c r="F276" t="s">
        <v>1745</v>
      </c>
      <c r="G276">
        <f>_xlfn.XLOOKUP(A276,FTD!A:A,FTD!C:C)</f>
        <v>10000</v>
      </c>
      <c r="H276" cm="1">
        <f t="array" ref="H276">_xlfn.LET(
  _xlpm.s, TRIM(F276),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276" t="str">
        <f>_xlfn.XLOOKUP(E276,Calendar!C:C,Calendar!B:B)</f>
        <v>Saturday</v>
      </c>
      <c r="M276" s="2">
        <v>46216</v>
      </c>
      <c r="N276" t="s">
        <v>1399</v>
      </c>
      <c r="O276" t="s">
        <v>1789</v>
      </c>
      <c r="P276">
        <v>2</v>
      </c>
      <c r="Q276" t="str">
        <f>_xlfn.XLOOKUP(N276,Attendance!F:F,Attendance!J:J)</f>
        <v>1</v>
      </c>
      <c r="R276">
        <f t="shared" si="9"/>
        <v>0</v>
      </c>
    </row>
    <row r="277" spans="1:18" x14ac:dyDescent="0.25">
      <c r="A277" t="s">
        <v>277</v>
      </c>
      <c r="B277" t="s">
        <v>1387</v>
      </c>
      <c r="C277" t="s">
        <v>1412</v>
      </c>
      <c r="D277" s="2">
        <v>46205.626180555555</v>
      </c>
      <c r="E277" s="2">
        <f t="shared" si="8"/>
        <v>46205</v>
      </c>
      <c r="F277" t="s">
        <v>1738</v>
      </c>
      <c r="G277">
        <f>_xlfn.XLOOKUP(A277,FTD!A:A,FTD!C:C)</f>
        <v>20000</v>
      </c>
      <c r="H277" cm="1">
        <f t="array" ref="H277">_xlfn.LET(
  _xlpm.s, TRIM(F277),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7" t="str">
        <f>_xlfn.XLOOKUP(E277,Calendar!C:C,Calendar!B:B)</f>
        <v>Working Day</v>
      </c>
      <c r="M277" s="2">
        <v>46216</v>
      </c>
      <c r="N277" t="s">
        <v>1427</v>
      </c>
      <c r="O277" t="s">
        <v>1789</v>
      </c>
      <c r="P277">
        <v>1</v>
      </c>
      <c r="Q277" t="str">
        <f>_xlfn.XLOOKUP(N277,Attendance!F:F,Attendance!J:J)</f>
        <v>New OJT</v>
      </c>
      <c r="R277">
        <f t="shared" si="9"/>
        <v>0</v>
      </c>
    </row>
    <row r="278" spans="1:18" x14ac:dyDescent="0.25">
      <c r="A278" t="s">
        <v>278</v>
      </c>
      <c r="B278" t="s">
        <v>1387</v>
      </c>
      <c r="C278" t="s">
        <v>1412</v>
      </c>
      <c r="D278" s="2">
        <v>46232.574467592589</v>
      </c>
      <c r="E278" s="2">
        <f t="shared" si="8"/>
        <v>46232</v>
      </c>
      <c r="F278" t="s">
        <v>1738</v>
      </c>
      <c r="G278">
        <f>_xlfn.XLOOKUP(A278,FTD!A:A,FTD!C:C)</f>
        <v>1000</v>
      </c>
      <c r="H278" cm="1">
        <f t="array" ref="H278">_xlfn.LET(
  _xlpm.s, TRIM(F278),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8" t="str">
        <f>_xlfn.XLOOKUP(E278,Calendar!C:C,Calendar!B:B)</f>
        <v>Working Day</v>
      </c>
      <c r="M278" s="2">
        <v>46216</v>
      </c>
      <c r="N278" t="s">
        <v>1408</v>
      </c>
      <c r="O278" t="s">
        <v>1789</v>
      </c>
      <c r="P278">
        <v>4</v>
      </c>
      <c r="Q278" t="str">
        <f>_xlfn.XLOOKUP(N278,Attendance!F:F,Attendance!J:J)</f>
        <v>1</v>
      </c>
      <c r="R278">
        <f t="shared" si="9"/>
        <v>0</v>
      </c>
    </row>
    <row r="279" spans="1:18" x14ac:dyDescent="0.25">
      <c r="A279" t="s">
        <v>279</v>
      </c>
      <c r="B279" t="s">
        <v>1387</v>
      </c>
      <c r="C279" t="s">
        <v>1406</v>
      </c>
      <c r="D279" s="2">
        <v>46225.530428240738</v>
      </c>
      <c r="E279" s="2">
        <f t="shared" si="8"/>
        <v>46225</v>
      </c>
      <c r="F279" t="s">
        <v>1738</v>
      </c>
      <c r="G279">
        <f>_xlfn.XLOOKUP(A279,FTD!A:A,FTD!C:C)</f>
        <v>10000</v>
      </c>
      <c r="H279" cm="1">
        <f t="array" ref="H279">_xlfn.LET(
  _xlpm.s, TRIM(F279),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79" t="str">
        <f>_xlfn.XLOOKUP(E279,Calendar!C:C,Calendar!B:B)</f>
        <v>Working Day</v>
      </c>
      <c r="M279" s="2">
        <v>46217</v>
      </c>
      <c r="N279" t="s">
        <v>1405</v>
      </c>
      <c r="O279" t="s">
        <v>1789</v>
      </c>
      <c r="P279">
        <v>2</v>
      </c>
      <c r="Q279" t="str">
        <f>_xlfn.XLOOKUP(N279,Attendance!F:F,Attendance!J:J)</f>
        <v>Dialer</v>
      </c>
      <c r="R279">
        <f t="shared" si="9"/>
        <v>0</v>
      </c>
    </row>
    <row r="280" spans="1:18" x14ac:dyDescent="0.25">
      <c r="A280" t="s">
        <v>280</v>
      </c>
      <c r="B280" t="s">
        <v>1387</v>
      </c>
      <c r="C280" t="s">
        <v>1402</v>
      </c>
      <c r="D280" s="2">
        <v>46230.43237268518</v>
      </c>
      <c r="E280" s="2">
        <f t="shared" si="8"/>
        <v>46230</v>
      </c>
      <c r="F280" t="s">
        <v>1738</v>
      </c>
      <c r="G280">
        <f>_xlfn.XLOOKUP(A280,FTD!A:A,FTD!C:C)</f>
        <v>40000</v>
      </c>
      <c r="H280" cm="1">
        <f t="array" ref="H280">_xlfn.LET(
  _xlpm.s, TRIM(F280),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0" t="str">
        <f>_xlfn.XLOOKUP(E280,Calendar!C:C,Calendar!B:B)</f>
        <v>Working Day</v>
      </c>
      <c r="M280" s="2">
        <v>46217</v>
      </c>
      <c r="N280" t="s">
        <v>1403</v>
      </c>
      <c r="O280" t="s">
        <v>1789</v>
      </c>
      <c r="P280">
        <v>3</v>
      </c>
      <c r="Q280" t="str">
        <f>_xlfn.XLOOKUP(N280,Attendance!F:F,Attendance!J:J)</f>
        <v>Meta</v>
      </c>
      <c r="R280">
        <f t="shared" si="9"/>
        <v>0</v>
      </c>
    </row>
    <row r="281" spans="1:18" x14ac:dyDescent="0.25">
      <c r="A281" t="s">
        <v>281</v>
      </c>
      <c r="B281" t="s">
        <v>1387</v>
      </c>
      <c r="C281" t="s">
        <v>1417</v>
      </c>
      <c r="D281" s="2">
        <v>46204.863217592589</v>
      </c>
      <c r="E281" s="2">
        <f t="shared" si="8"/>
        <v>46204</v>
      </c>
      <c r="F281" t="s">
        <v>1743</v>
      </c>
      <c r="G281">
        <f>_xlfn.XLOOKUP(A281,FTD!A:A,FTD!C:C)</f>
        <v>1500</v>
      </c>
      <c r="H281" cm="1">
        <f t="array" ref="H281">_xlfn.LET(
  _xlpm.s, TRIM(F281),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1" t="str">
        <f>_xlfn.XLOOKUP(E281,Calendar!C:C,Calendar!B:B)</f>
        <v>Working Day</v>
      </c>
      <c r="M281" s="2">
        <v>46217</v>
      </c>
      <c r="N281" t="s">
        <v>1432</v>
      </c>
      <c r="O281" t="s">
        <v>1789</v>
      </c>
      <c r="P281">
        <v>2</v>
      </c>
      <c r="Q281" t="str">
        <f>_xlfn.XLOOKUP(N281,Attendance!F:F,Attendance!J:J)</f>
        <v>New OJT</v>
      </c>
      <c r="R281">
        <f t="shared" si="9"/>
        <v>0</v>
      </c>
    </row>
    <row r="282" spans="1:18" x14ac:dyDescent="0.25">
      <c r="A282" t="s">
        <v>282</v>
      </c>
      <c r="B282" t="s">
        <v>1387</v>
      </c>
      <c r="C282" t="s">
        <v>1415</v>
      </c>
      <c r="D282" s="2">
        <v>46212.812777777777</v>
      </c>
      <c r="E282" s="2">
        <f t="shared" si="8"/>
        <v>46212</v>
      </c>
      <c r="F282" t="s">
        <v>1741</v>
      </c>
      <c r="G282">
        <f>_xlfn.XLOOKUP(A282,FTD!A:A,FTD!C:C)</f>
        <v>7000</v>
      </c>
      <c r="H282" cm="1">
        <f t="array" ref="H282">_xlfn.LET(
  _xlpm.s, TRIM(F282),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2" t="str">
        <f>_xlfn.XLOOKUP(E282,Calendar!C:C,Calendar!B:B)</f>
        <v>Working Day</v>
      </c>
      <c r="M282" s="2">
        <v>46217</v>
      </c>
      <c r="N282" t="s">
        <v>1388</v>
      </c>
      <c r="O282" t="s">
        <v>1789</v>
      </c>
      <c r="P282">
        <v>1</v>
      </c>
      <c r="Q282" t="str">
        <f>_xlfn.XLOOKUP(N282,Attendance!F:F,Attendance!J:J)</f>
        <v>Telegram</v>
      </c>
      <c r="R282">
        <f t="shared" si="9"/>
        <v>0</v>
      </c>
    </row>
    <row r="283" spans="1:18" x14ac:dyDescent="0.25">
      <c r="A283" t="s">
        <v>283</v>
      </c>
      <c r="B283" t="s">
        <v>1387</v>
      </c>
      <c r="C283" t="s">
        <v>1402</v>
      </c>
      <c r="D283" s="2">
        <v>46218.542361111111</v>
      </c>
      <c r="E283" s="2">
        <f t="shared" si="8"/>
        <v>46218</v>
      </c>
      <c r="F283" t="s">
        <v>1738</v>
      </c>
      <c r="G283">
        <f>_xlfn.XLOOKUP(A283,FTD!A:A,FTD!C:C)</f>
        <v>10000</v>
      </c>
      <c r="H283" cm="1">
        <f t="array" ref="H283">_xlfn.LET(
  _xlpm.s, TRIM(F283),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3" t="str">
        <f>_xlfn.XLOOKUP(E283,Calendar!C:C,Calendar!B:B)</f>
        <v>Working Day</v>
      </c>
      <c r="M283" s="2">
        <v>46217</v>
      </c>
      <c r="N283" t="s">
        <v>1415</v>
      </c>
      <c r="O283" t="s">
        <v>1789</v>
      </c>
      <c r="P283">
        <v>2</v>
      </c>
      <c r="Q283" t="str">
        <f>_xlfn.XLOOKUP(N283,Attendance!F:F,Attendance!J:J)</f>
        <v>Meta</v>
      </c>
      <c r="R283">
        <f t="shared" si="9"/>
        <v>0</v>
      </c>
    </row>
    <row r="284" spans="1:18" x14ac:dyDescent="0.25">
      <c r="A284" t="s">
        <v>284</v>
      </c>
      <c r="B284" t="s">
        <v>1387</v>
      </c>
      <c r="C284" t="s">
        <v>1389</v>
      </c>
      <c r="D284" s="2">
        <v>46218.511284722219</v>
      </c>
      <c r="E284" s="2">
        <f t="shared" si="8"/>
        <v>46218</v>
      </c>
      <c r="F284" t="s">
        <v>81</v>
      </c>
      <c r="G284">
        <f>_xlfn.XLOOKUP(A284,FTD!A:A,FTD!C:C)</f>
        <v>1000</v>
      </c>
      <c r="H284" cm="1">
        <f t="array" ref="H284">_xlfn.LET(
  _xlpm.s, TRIM(F284),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284" t="str">
        <f>_xlfn.XLOOKUP(E284,Calendar!C:C,Calendar!B:B)</f>
        <v>Working Day</v>
      </c>
      <c r="M284" s="2">
        <v>46217</v>
      </c>
      <c r="N284" t="s">
        <v>1398</v>
      </c>
      <c r="O284" t="s">
        <v>1789</v>
      </c>
      <c r="P284">
        <v>3</v>
      </c>
      <c r="Q284" t="str">
        <f>_xlfn.XLOOKUP(N284,Attendance!F:F,Attendance!J:J)</f>
        <v>1</v>
      </c>
      <c r="R284">
        <f t="shared" si="9"/>
        <v>0</v>
      </c>
    </row>
    <row r="285" spans="1:18" x14ac:dyDescent="0.25">
      <c r="A285" t="s">
        <v>285</v>
      </c>
      <c r="B285" t="s">
        <v>1387</v>
      </c>
      <c r="C285" t="s">
        <v>1402</v>
      </c>
      <c r="D285" s="2">
        <v>46219.482291666667</v>
      </c>
      <c r="E285" s="2">
        <f t="shared" si="8"/>
        <v>46219</v>
      </c>
      <c r="F285" t="s">
        <v>1738</v>
      </c>
      <c r="G285">
        <f>_xlfn.XLOOKUP(A285,FTD!A:A,FTD!C:C)</f>
        <v>10000</v>
      </c>
      <c r="H285" cm="1">
        <f t="array" ref="H285">_xlfn.LET(
  _xlpm.s, TRIM(F285),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5" t="str">
        <f>_xlfn.XLOOKUP(E285,Calendar!C:C,Calendar!B:B)</f>
        <v>Working Day</v>
      </c>
      <c r="M285" s="2">
        <v>46217</v>
      </c>
      <c r="N285" t="s">
        <v>1420</v>
      </c>
      <c r="O285" t="s">
        <v>1789</v>
      </c>
      <c r="P285">
        <v>2</v>
      </c>
      <c r="Q285" t="e">
        <f>_xlfn.XLOOKUP(N285,Attendance!F:F,Attendance!J:J)</f>
        <v>#N/A</v>
      </c>
      <c r="R285">
        <f t="shared" si="9"/>
        <v>0</v>
      </c>
    </row>
    <row r="286" spans="1:18" x14ac:dyDescent="0.25">
      <c r="A286" t="s">
        <v>286</v>
      </c>
      <c r="B286" t="s">
        <v>1387</v>
      </c>
      <c r="C286" t="s">
        <v>1412</v>
      </c>
      <c r="D286" s="2">
        <v>46226.435856481483</v>
      </c>
      <c r="E286" s="2">
        <f t="shared" si="8"/>
        <v>46226</v>
      </c>
      <c r="F286" t="s">
        <v>1738</v>
      </c>
      <c r="G286">
        <f>_xlfn.XLOOKUP(A286,FTD!A:A,FTD!C:C)</f>
        <v>24000</v>
      </c>
      <c r="H286" cm="1">
        <f t="array" ref="H286">_xlfn.LET(
  _xlpm.s, TRIM(F286),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6" t="str">
        <f>_xlfn.XLOOKUP(E286,Calendar!C:C,Calendar!B:B)</f>
        <v>Working Day</v>
      </c>
      <c r="M286" s="2">
        <v>46217</v>
      </c>
      <c r="N286" t="s">
        <v>1389</v>
      </c>
      <c r="O286" t="s">
        <v>1789</v>
      </c>
      <c r="P286">
        <v>4</v>
      </c>
      <c r="Q286" t="str">
        <f>_xlfn.XLOOKUP(N286,Attendance!F:F,Attendance!J:J)</f>
        <v>Meta</v>
      </c>
      <c r="R286">
        <f t="shared" si="9"/>
        <v>400</v>
      </c>
    </row>
    <row r="287" spans="1:18" x14ac:dyDescent="0.25">
      <c r="A287" t="s">
        <v>287</v>
      </c>
      <c r="B287" t="s">
        <v>1387</v>
      </c>
      <c r="C287" t="s">
        <v>1429</v>
      </c>
      <c r="D287" s="2">
        <v>46223.506909722222</v>
      </c>
      <c r="E287" s="2">
        <f t="shared" si="8"/>
        <v>46223</v>
      </c>
      <c r="F287" t="s">
        <v>1739</v>
      </c>
      <c r="G287">
        <f>_xlfn.XLOOKUP(A287,FTD!A:A,FTD!C:C)</f>
        <v>1000</v>
      </c>
      <c r="H287" cm="1">
        <f t="array" ref="H287">_xlfn.LET(
  _xlpm.s, TRIM(F287),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87" t="str">
        <f>_xlfn.XLOOKUP(E287,Calendar!C:C,Calendar!B:B)</f>
        <v>Working Day</v>
      </c>
      <c r="M287" s="2">
        <v>46217</v>
      </c>
      <c r="N287" t="s">
        <v>1422</v>
      </c>
      <c r="O287" t="s">
        <v>1789</v>
      </c>
      <c r="P287">
        <v>1</v>
      </c>
      <c r="Q287" t="str">
        <f>_xlfn.XLOOKUP(N287,Attendance!F:F,Attendance!J:J)</f>
        <v>New OJT</v>
      </c>
      <c r="R287">
        <f t="shared" si="9"/>
        <v>0</v>
      </c>
    </row>
    <row r="288" spans="1:18" x14ac:dyDescent="0.25">
      <c r="A288" t="s">
        <v>288</v>
      </c>
      <c r="B288" t="s">
        <v>1387</v>
      </c>
      <c r="C288" t="s">
        <v>1433</v>
      </c>
      <c r="D288" s="2">
        <v>46209.55097222222</v>
      </c>
      <c r="E288" s="2">
        <f t="shared" si="8"/>
        <v>46209</v>
      </c>
      <c r="F288" t="s">
        <v>1743</v>
      </c>
      <c r="G288">
        <f>_xlfn.XLOOKUP(A288,FTD!A:A,FTD!C:C)</f>
        <v>2000</v>
      </c>
      <c r="H288" cm="1">
        <f t="array" ref="H288">_xlfn.LET(
  _xlpm.s, TRIM(F288),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8" t="str">
        <f>_xlfn.XLOOKUP(E288,Calendar!C:C,Calendar!B:B)</f>
        <v>Working Day</v>
      </c>
      <c r="M288" s="2">
        <v>46217</v>
      </c>
      <c r="N288" t="s">
        <v>1414</v>
      </c>
      <c r="O288" t="s">
        <v>1789</v>
      </c>
      <c r="P288">
        <v>1</v>
      </c>
      <c r="Q288" t="str">
        <f>_xlfn.XLOOKUP(N288,Attendance!F:F,Attendance!J:J)</f>
        <v>New OJT</v>
      </c>
      <c r="R288">
        <f t="shared" si="9"/>
        <v>0</v>
      </c>
    </row>
    <row r="289" spans="1:18" x14ac:dyDescent="0.25">
      <c r="A289" t="s">
        <v>289</v>
      </c>
      <c r="B289" t="s">
        <v>1387</v>
      </c>
      <c r="C289" t="s">
        <v>1405</v>
      </c>
      <c r="D289" s="2">
        <v>46218.905844907407</v>
      </c>
      <c r="E289" s="2">
        <f t="shared" si="8"/>
        <v>46218</v>
      </c>
      <c r="F289" t="s">
        <v>1744</v>
      </c>
      <c r="G289">
        <f>_xlfn.XLOOKUP(A289,FTD!A:A,FTD!C:C)</f>
        <v>1000</v>
      </c>
      <c r="H289" cm="1">
        <f t="array" ref="H289">_xlfn.LET(
  _xlpm.s, TRIM(F289),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89" t="str">
        <f>_xlfn.XLOOKUP(E289,Calendar!C:C,Calendar!B:B)</f>
        <v>Working Day</v>
      </c>
      <c r="M289" s="2">
        <v>46217</v>
      </c>
      <c r="N289" t="s">
        <v>1417</v>
      </c>
      <c r="O289" t="s">
        <v>1789</v>
      </c>
      <c r="P289">
        <v>1</v>
      </c>
      <c r="Q289" t="str">
        <f>_xlfn.XLOOKUP(N289,Attendance!F:F,Attendance!J:J)</f>
        <v>Meta</v>
      </c>
      <c r="R289">
        <f t="shared" si="9"/>
        <v>0</v>
      </c>
    </row>
    <row r="290" spans="1:18" x14ac:dyDescent="0.25">
      <c r="A290" t="s">
        <v>290</v>
      </c>
      <c r="B290" t="s">
        <v>1387</v>
      </c>
      <c r="C290" t="s">
        <v>1414</v>
      </c>
      <c r="D290" s="2">
        <v>46218.829432870371</v>
      </c>
      <c r="E290" s="2">
        <f t="shared" si="8"/>
        <v>46218</v>
      </c>
      <c r="F290" t="s">
        <v>1739</v>
      </c>
      <c r="G290">
        <f>_xlfn.XLOOKUP(A290,FTD!A:A,FTD!C:C)</f>
        <v>1200</v>
      </c>
      <c r="H290" cm="1">
        <f t="array" ref="H290">_xlfn.LET(
  _xlpm.s, TRIM(F290),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90" t="str">
        <f>_xlfn.XLOOKUP(E290,Calendar!C:C,Calendar!B:B)</f>
        <v>Working Day</v>
      </c>
      <c r="M290" s="2">
        <v>46217</v>
      </c>
      <c r="N290" t="s">
        <v>1400</v>
      </c>
      <c r="O290" t="s">
        <v>1789</v>
      </c>
      <c r="P290">
        <v>1</v>
      </c>
      <c r="Q290" t="str">
        <f>_xlfn.XLOOKUP(N290,Attendance!F:F,Attendance!J:J)</f>
        <v>Meta</v>
      </c>
      <c r="R290">
        <f t="shared" si="9"/>
        <v>0</v>
      </c>
    </row>
    <row r="291" spans="1:18" x14ac:dyDescent="0.25">
      <c r="A291" t="s">
        <v>291</v>
      </c>
      <c r="B291" t="s">
        <v>1387</v>
      </c>
      <c r="C291" t="s">
        <v>1408</v>
      </c>
      <c r="D291" s="2">
        <v>46217.443842592591</v>
      </c>
      <c r="E291" s="2">
        <f t="shared" si="8"/>
        <v>46217</v>
      </c>
      <c r="F291" t="s">
        <v>1738</v>
      </c>
      <c r="G291">
        <f>_xlfn.XLOOKUP(A291,FTD!A:A,FTD!C:C)</f>
        <v>1000</v>
      </c>
      <c r="H291" cm="1">
        <f t="array" ref="H291">_xlfn.LET(
  _xlpm.s, TRIM(F291),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91" t="str">
        <f>_xlfn.XLOOKUP(E291,Calendar!C:C,Calendar!B:B)</f>
        <v>Working Day</v>
      </c>
      <c r="M291" s="2">
        <v>46217</v>
      </c>
      <c r="N291" t="s">
        <v>1397</v>
      </c>
      <c r="O291" t="s">
        <v>1789</v>
      </c>
      <c r="P291">
        <v>2</v>
      </c>
      <c r="Q291" t="str">
        <f>_xlfn.XLOOKUP(N291,Attendance!F:F,Attendance!J:J)</f>
        <v>Meta</v>
      </c>
      <c r="R291">
        <f t="shared" si="9"/>
        <v>0</v>
      </c>
    </row>
    <row r="292" spans="1:18" x14ac:dyDescent="0.25">
      <c r="A292" t="s">
        <v>292</v>
      </c>
      <c r="B292" t="s">
        <v>1387</v>
      </c>
      <c r="C292" t="s">
        <v>1408</v>
      </c>
      <c r="D292" s="2">
        <v>46216.937905092593</v>
      </c>
      <c r="E292" s="2">
        <f t="shared" si="8"/>
        <v>46216</v>
      </c>
      <c r="F292" t="s">
        <v>1739</v>
      </c>
      <c r="G292">
        <f>_xlfn.XLOOKUP(A292,FTD!A:A,FTD!C:C)</f>
        <v>6000</v>
      </c>
      <c r="H292" cm="1">
        <f t="array" ref="H292">_xlfn.LET(
  _xlpm.s, TRIM(F292),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92" t="str">
        <f>_xlfn.XLOOKUP(E292,Calendar!C:C,Calendar!B:B)</f>
        <v>Working Day</v>
      </c>
      <c r="M292" s="2">
        <v>46217</v>
      </c>
      <c r="N292" t="s">
        <v>1407</v>
      </c>
      <c r="O292" t="s">
        <v>1789</v>
      </c>
      <c r="P292">
        <v>3</v>
      </c>
      <c r="Q292" t="str">
        <f>_xlfn.XLOOKUP(N292,Attendance!F:F,Attendance!J:J)</f>
        <v>Meta</v>
      </c>
      <c r="R292">
        <f t="shared" si="9"/>
        <v>0</v>
      </c>
    </row>
    <row r="293" spans="1:18" x14ac:dyDescent="0.25">
      <c r="A293" t="s">
        <v>293</v>
      </c>
      <c r="B293" t="s">
        <v>1387</v>
      </c>
      <c r="C293" t="s">
        <v>1403</v>
      </c>
      <c r="D293" s="2">
        <v>46217.557951388888</v>
      </c>
      <c r="E293" s="2">
        <f t="shared" si="8"/>
        <v>46217</v>
      </c>
      <c r="F293" t="s">
        <v>1745</v>
      </c>
      <c r="G293">
        <f>_xlfn.XLOOKUP(A293,FTD!A:A,FTD!C:C)</f>
        <v>1000</v>
      </c>
      <c r="H293" cm="1">
        <f t="array" ref="H293">_xlfn.LET(
  _xlpm.s, TRIM(F293),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293" t="str">
        <f>_xlfn.XLOOKUP(E293,Calendar!C:C,Calendar!B:B)</f>
        <v>Working Day</v>
      </c>
      <c r="M293" s="2">
        <v>46217</v>
      </c>
      <c r="N293" t="s">
        <v>1396</v>
      </c>
      <c r="O293" t="s">
        <v>1789</v>
      </c>
      <c r="P293">
        <v>2</v>
      </c>
      <c r="Q293" t="str">
        <f>_xlfn.XLOOKUP(N293,Attendance!F:F,Attendance!J:J)</f>
        <v>Telegram</v>
      </c>
      <c r="R293">
        <f t="shared" si="9"/>
        <v>0</v>
      </c>
    </row>
    <row r="294" spans="1:18" x14ac:dyDescent="0.25">
      <c r="A294" t="s">
        <v>294</v>
      </c>
      <c r="B294" t="s">
        <v>1387</v>
      </c>
      <c r="C294" t="s">
        <v>1392</v>
      </c>
      <c r="D294" s="2">
        <v>46210.582326388889</v>
      </c>
      <c r="E294" s="2">
        <f t="shared" si="8"/>
        <v>46210</v>
      </c>
      <c r="F294" t="s">
        <v>1743</v>
      </c>
      <c r="G294">
        <f>_xlfn.XLOOKUP(A294,FTD!A:A,FTD!C:C)</f>
        <v>1000</v>
      </c>
      <c r="H294" cm="1">
        <f t="array" ref="H294">_xlfn.LET(
  _xlpm.s, TRIM(F294),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94" t="str">
        <f>_xlfn.XLOOKUP(E294,Calendar!C:C,Calendar!B:B)</f>
        <v>Working Day</v>
      </c>
      <c r="M294" s="2">
        <v>46217</v>
      </c>
      <c r="N294" t="s">
        <v>1423</v>
      </c>
      <c r="O294" t="s">
        <v>1789</v>
      </c>
      <c r="P294">
        <v>2</v>
      </c>
      <c r="Q294" t="e">
        <f>_xlfn.XLOOKUP(N294,Attendance!F:F,Attendance!J:J)</f>
        <v>#N/A</v>
      </c>
      <c r="R294">
        <f t="shared" si="9"/>
        <v>0</v>
      </c>
    </row>
    <row r="295" spans="1:18" x14ac:dyDescent="0.25">
      <c r="A295" t="s">
        <v>295</v>
      </c>
      <c r="B295" t="s">
        <v>1387</v>
      </c>
      <c r="C295" t="s">
        <v>1399</v>
      </c>
      <c r="D295" s="2">
        <v>46233.475370370368</v>
      </c>
      <c r="E295" s="2">
        <f t="shared" si="8"/>
        <v>46233</v>
      </c>
      <c r="F295" t="s">
        <v>1738</v>
      </c>
      <c r="G295">
        <f>_xlfn.XLOOKUP(A295,FTD!A:A,FTD!C:C)</f>
        <v>50000</v>
      </c>
      <c r="H295" cm="1">
        <f t="array" ref="H295">_xlfn.LET(
  _xlpm.s, TRIM(F295),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95" t="str">
        <f>_xlfn.XLOOKUP(E295,Calendar!C:C,Calendar!B:B)</f>
        <v>Working Day</v>
      </c>
      <c r="M295" s="2">
        <v>46217</v>
      </c>
      <c r="N295" t="s">
        <v>1412</v>
      </c>
      <c r="O295" t="s">
        <v>1789</v>
      </c>
      <c r="P295">
        <v>1</v>
      </c>
      <c r="Q295" t="str">
        <f>_xlfn.XLOOKUP(N295,Attendance!F:F,Attendance!J:J)</f>
        <v>1</v>
      </c>
      <c r="R295">
        <f t="shared" si="9"/>
        <v>0</v>
      </c>
    </row>
    <row r="296" spans="1:18" x14ac:dyDescent="0.25">
      <c r="A296" t="s">
        <v>296</v>
      </c>
      <c r="B296" t="s">
        <v>1387</v>
      </c>
      <c r="C296" t="s">
        <v>1407</v>
      </c>
      <c r="D296" s="2">
        <v>46223.499722222223</v>
      </c>
      <c r="E296" s="2">
        <f t="shared" si="8"/>
        <v>46223</v>
      </c>
      <c r="F296" t="s">
        <v>1760</v>
      </c>
      <c r="G296">
        <f>_xlfn.XLOOKUP(A296,FTD!A:A,FTD!C:C)</f>
        <v>1000</v>
      </c>
      <c r="H296" cm="1">
        <f t="array" ref="H296">_xlfn.LET(
  _xlpm.s, TRIM(F296),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96" t="str">
        <f>_xlfn.XLOOKUP(E296,Calendar!C:C,Calendar!B:B)</f>
        <v>Working Day</v>
      </c>
      <c r="M296" s="2">
        <v>46217</v>
      </c>
      <c r="N296" t="s">
        <v>1404</v>
      </c>
      <c r="O296" t="s">
        <v>1789</v>
      </c>
      <c r="P296">
        <v>1</v>
      </c>
      <c r="Q296" t="str">
        <f>_xlfn.XLOOKUP(N296,Attendance!F:F,Attendance!J:J)</f>
        <v>OLD OJT</v>
      </c>
      <c r="R296">
        <f t="shared" si="9"/>
        <v>0</v>
      </c>
    </row>
    <row r="297" spans="1:18" x14ac:dyDescent="0.25">
      <c r="A297" t="s">
        <v>297</v>
      </c>
      <c r="B297" t="s">
        <v>1387</v>
      </c>
      <c r="C297" t="s">
        <v>1406</v>
      </c>
      <c r="D297" s="2">
        <v>46216.254143518519</v>
      </c>
      <c r="E297" s="2">
        <f t="shared" si="8"/>
        <v>46216</v>
      </c>
      <c r="F297" t="s">
        <v>1738</v>
      </c>
      <c r="G297">
        <f>_xlfn.XLOOKUP(A297,FTD!A:A,FTD!C:C)</f>
        <v>1000</v>
      </c>
      <c r="H297" cm="1">
        <f t="array" ref="H297">_xlfn.LET(
  _xlpm.s, TRIM(F297),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97" t="str">
        <f>_xlfn.XLOOKUP(E297,Calendar!C:C,Calendar!B:B)</f>
        <v>Working Day</v>
      </c>
      <c r="M297" s="2">
        <v>46217</v>
      </c>
      <c r="N297" t="s">
        <v>1406</v>
      </c>
      <c r="O297" t="s">
        <v>1789</v>
      </c>
      <c r="P297">
        <v>6</v>
      </c>
      <c r="Q297" t="str">
        <f>_xlfn.XLOOKUP(N297,Attendance!F:F,Attendance!J:J)</f>
        <v>1</v>
      </c>
      <c r="R297">
        <f t="shared" si="9"/>
        <v>0</v>
      </c>
    </row>
    <row r="298" spans="1:18" x14ac:dyDescent="0.25">
      <c r="A298" t="s">
        <v>298</v>
      </c>
      <c r="B298" t="s">
        <v>1387</v>
      </c>
      <c r="C298" t="s">
        <v>1408</v>
      </c>
      <c r="D298" s="2">
        <v>46224.391516203701</v>
      </c>
      <c r="E298" s="2">
        <f t="shared" si="8"/>
        <v>46224</v>
      </c>
      <c r="F298" t="s">
        <v>1738</v>
      </c>
      <c r="G298">
        <f>_xlfn.XLOOKUP(A298,FTD!A:A,FTD!C:C)</f>
        <v>1000</v>
      </c>
      <c r="H298" cm="1">
        <f t="array" ref="H298">_xlfn.LET(
  _xlpm.s, TRIM(F298),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298" t="str">
        <f>_xlfn.XLOOKUP(E298,Calendar!C:C,Calendar!B:B)</f>
        <v>Working Day</v>
      </c>
      <c r="M298" s="2">
        <v>46217</v>
      </c>
      <c r="N298" t="s">
        <v>1434</v>
      </c>
      <c r="O298" t="s">
        <v>1789</v>
      </c>
      <c r="P298">
        <v>2</v>
      </c>
      <c r="Q298" t="str">
        <f>_xlfn.XLOOKUP(N298,Attendance!F:F,Attendance!J:J)</f>
        <v>OJT 2</v>
      </c>
      <c r="R298">
        <f t="shared" si="9"/>
        <v>0</v>
      </c>
    </row>
    <row r="299" spans="1:18" x14ac:dyDescent="0.25">
      <c r="A299" t="s">
        <v>299</v>
      </c>
      <c r="B299" t="s">
        <v>1385</v>
      </c>
      <c r="C299" t="s">
        <v>1403</v>
      </c>
      <c r="D299" s="2">
        <v>46217.676168981481</v>
      </c>
      <c r="E299" s="2">
        <f t="shared" si="8"/>
        <v>46217</v>
      </c>
      <c r="F299" t="s">
        <v>1747</v>
      </c>
      <c r="G299">
        <f>_xlfn.XLOOKUP(A299,FTD!A:A,FTD!C:C)</f>
        <v>1000</v>
      </c>
      <c r="H299" cm="1">
        <f t="array" ref="H299">_xlfn.LET(
  _xlpm.s, TRIM(F299),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299" t="str">
        <f>_xlfn.XLOOKUP(E299,Calendar!C:C,Calendar!B:B)</f>
        <v>Working Day</v>
      </c>
      <c r="M299" s="2">
        <v>46217</v>
      </c>
      <c r="N299" t="s">
        <v>1426</v>
      </c>
      <c r="O299" t="s">
        <v>1789</v>
      </c>
      <c r="P299">
        <v>1</v>
      </c>
      <c r="Q299" t="str">
        <f>_xlfn.XLOOKUP(N299,Attendance!F:F,Attendance!J:J)</f>
        <v>OJT 2</v>
      </c>
      <c r="R299">
        <f t="shared" si="9"/>
        <v>0</v>
      </c>
    </row>
    <row r="300" spans="1:18" x14ac:dyDescent="0.25">
      <c r="A300" t="s">
        <v>300</v>
      </c>
      <c r="B300" t="s">
        <v>1384</v>
      </c>
      <c r="C300" t="s">
        <v>1398</v>
      </c>
      <c r="D300" s="2">
        <v>46226.586863425924</v>
      </c>
      <c r="E300" s="2">
        <f t="shared" si="8"/>
        <v>46226</v>
      </c>
      <c r="F300" t="s">
        <v>1738</v>
      </c>
      <c r="G300">
        <f>_xlfn.XLOOKUP(A300,FTD!A:A,FTD!C:C)</f>
        <v>17000</v>
      </c>
      <c r="H300" cm="1">
        <f t="array" ref="H300">_xlfn.LET(
  _xlpm.s, TRIM(F300),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0" t="str">
        <f>_xlfn.XLOOKUP(E300,Calendar!C:C,Calendar!B:B)</f>
        <v>Working Day</v>
      </c>
      <c r="M300" s="2">
        <v>46217</v>
      </c>
      <c r="N300" t="s">
        <v>1431</v>
      </c>
      <c r="O300" t="s">
        <v>1789</v>
      </c>
      <c r="P300">
        <v>1</v>
      </c>
      <c r="Q300" t="str">
        <f>_xlfn.XLOOKUP(N300,Attendance!F:F,Attendance!J:J)</f>
        <v>Telegram</v>
      </c>
      <c r="R300">
        <f t="shared" si="9"/>
        <v>0</v>
      </c>
    </row>
    <row r="301" spans="1:18" x14ac:dyDescent="0.25">
      <c r="A301" t="s">
        <v>301</v>
      </c>
      <c r="B301" t="s">
        <v>1384</v>
      </c>
      <c r="C301" t="s">
        <v>1403</v>
      </c>
      <c r="D301" s="2">
        <v>46224.392962962964</v>
      </c>
      <c r="E301" s="2">
        <f t="shared" si="8"/>
        <v>46224</v>
      </c>
      <c r="F301" t="s">
        <v>1738</v>
      </c>
      <c r="G301">
        <f>_xlfn.XLOOKUP(A301,FTD!A:A,FTD!C:C)</f>
        <v>1000</v>
      </c>
      <c r="H301" cm="1">
        <f t="array" ref="H301">_xlfn.LET(
  _xlpm.s, TRIM(F301),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1" t="str">
        <f>_xlfn.XLOOKUP(E301,Calendar!C:C,Calendar!B:B)</f>
        <v>Working Day</v>
      </c>
      <c r="M301" s="2">
        <v>46217</v>
      </c>
      <c r="N301" t="s">
        <v>1430</v>
      </c>
      <c r="O301" t="s">
        <v>1789</v>
      </c>
      <c r="P301">
        <v>1</v>
      </c>
      <c r="Q301" t="str">
        <f>_xlfn.XLOOKUP(N301,Attendance!F:F,Attendance!J:J)</f>
        <v>Telegram</v>
      </c>
      <c r="R301">
        <f t="shared" si="9"/>
        <v>0</v>
      </c>
    </row>
    <row r="302" spans="1:18" x14ac:dyDescent="0.25">
      <c r="A302" t="s">
        <v>302</v>
      </c>
      <c r="B302" t="s">
        <v>1384</v>
      </c>
      <c r="C302" t="s">
        <v>1415</v>
      </c>
      <c r="D302" s="2">
        <v>46205.551458333328</v>
      </c>
      <c r="E302" s="2">
        <f t="shared" si="8"/>
        <v>46205</v>
      </c>
      <c r="F302" t="s">
        <v>1738</v>
      </c>
      <c r="G302">
        <f>_xlfn.XLOOKUP(A302,FTD!A:A,FTD!C:C)</f>
        <v>1000</v>
      </c>
      <c r="H302" cm="1">
        <f t="array" ref="H302">_xlfn.LET(
  _xlpm.s, TRIM(F302),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2" t="str">
        <f>_xlfn.XLOOKUP(E302,Calendar!C:C,Calendar!B:B)</f>
        <v>Working Day</v>
      </c>
      <c r="M302" s="2">
        <v>46217</v>
      </c>
      <c r="N302" t="s">
        <v>1402</v>
      </c>
      <c r="O302" t="s">
        <v>1789</v>
      </c>
      <c r="P302">
        <v>3</v>
      </c>
      <c r="Q302" t="str">
        <f>_xlfn.XLOOKUP(N302,Attendance!F:F,Attendance!J:J)</f>
        <v>1</v>
      </c>
      <c r="R302">
        <f t="shared" si="9"/>
        <v>0</v>
      </c>
    </row>
    <row r="303" spans="1:18" x14ac:dyDescent="0.25">
      <c r="A303" t="s">
        <v>303</v>
      </c>
      <c r="B303" t="s">
        <v>1384</v>
      </c>
      <c r="C303" t="s">
        <v>1412</v>
      </c>
      <c r="D303" s="2">
        <v>46226.561921296292</v>
      </c>
      <c r="E303" s="2">
        <f t="shared" si="8"/>
        <v>46226</v>
      </c>
      <c r="F303" t="s">
        <v>1739</v>
      </c>
      <c r="G303">
        <f>_xlfn.XLOOKUP(A303,FTD!A:A,FTD!C:C)</f>
        <v>1000</v>
      </c>
      <c r="H303" cm="1">
        <f t="array" ref="H303">_xlfn.LET(
  _xlpm.s, TRIM(F303),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03" t="str">
        <f>_xlfn.XLOOKUP(E303,Calendar!C:C,Calendar!B:B)</f>
        <v>Working Day</v>
      </c>
      <c r="M303" s="2">
        <v>46217</v>
      </c>
      <c r="N303" t="s">
        <v>1425</v>
      </c>
      <c r="O303" t="s">
        <v>1789</v>
      </c>
      <c r="P303">
        <v>1</v>
      </c>
      <c r="Q303" t="str">
        <f>_xlfn.XLOOKUP(N303,Attendance!F:F,Attendance!J:J)</f>
        <v>OJT 1</v>
      </c>
      <c r="R303">
        <f t="shared" si="9"/>
        <v>0</v>
      </c>
    </row>
    <row r="304" spans="1:18" x14ac:dyDescent="0.25">
      <c r="A304" t="s">
        <v>304</v>
      </c>
      <c r="B304" t="s">
        <v>1384</v>
      </c>
      <c r="C304" t="s">
        <v>1418</v>
      </c>
      <c r="D304" s="2">
        <v>46224.489837962959</v>
      </c>
      <c r="E304" s="2">
        <f t="shared" si="8"/>
        <v>46224</v>
      </c>
      <c r="F304" t="s">
        <v>1738</v>
      </c>
      <c r="G304">
        <f>_xlfn.XLOOKUP(A304,FTD!A:A,FTD!C:C)</f>
        <v>767</v>
      </c>
      <c r="H304" cm="1">
        <f t="array" ref="H304">_xlfn.LET(
  _xlpm.s, TRIM(F304),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4" t="str">
        <f>_xlfn.XLOOKUP(E304,Calendar!C:C,Calendar!B:B)</f>
        <v>Working Day</v>
      </c>
      <c r="M304" s="2">
        <v>46217</v>
      </c>
      <c r="N304" t="s">
        <v>1391</v>
      </c>
      <c r="O304" t="s">
        <v>1789</v>
      </c>
      <c r="P304">
        <v>1</v>
      </c>
      <c r="Q304" t="str">
        <f>_xlfn.XLOOKUP(N304,Attendance!F:F,Attendance!J:J)</f>
        <v>Dialer</v>
      </c>
      <c r="R304">
        <f t="shared" si="9"/>
        <v>0</v>
      </c>
    </row>
    <row r="305" spans="1:18" x14ac:dyDescent="0.25">
      <c r="A305" t="s">
        <v>305</v>
      </c>
      <c r="B305" t="s">
        <v>1384</v>
      </c>
      <c r="C305" t="s">
        <v>1422</v>
      </c>
      <c r="D305" s="2">
        <v>46222.047835648147</v>
      </c>
      <c r="E305" s="2">
        <f t="shared" si="8"/>
        <v>46222</v>
      </c>
      <c r="F305" t="s">
        <v>1741</v>
      </c>
      <c r="G305">
        <f>_xlfn.XLOOKUP(A305,FTD!A:A,FTD!C:C)</f>
        <v>5156</v>
      </c>
      <c r="H305" cm="1">
        <f t="array" ref="H305">_xlfn.LET(
  _xlpm.s, TRIM(F305),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5" t="str">
        <f>_xlfn.XLOOKUP(E305,Calendar!C:C,Calendar!B:B)</f>
        <v>Sunday</v>
      </c>
      <c r="M305" s="2">
        <v>46217</v>
      </c>
      <c r="N305" t="s">
        <v>1392</v>
      </c>
      <c r="O305" t="s">
        <v>1789</v>
      </c>
      <c r="P305">
        <v>3</v>
      </c>
      <c r="Q305" t="str">
        <f>_xlfn.XLOOKUP(N305,Attendance!F:F,Attendance!J:J)</f>
        <v>Telegram</v>
      </c>
      <c r="R305">
        <f t="shared" si="9"/>
        <v>500</v>
      </c>
    </row>
    <row r="306" spans="1:18" x14ac:dyDescent="0.25">
      <c r="A306" t="s">
        <v>306</v>
      </c>
      <c r="B306" t="s">
        <v>1387</v>
      </c>
      <c r="C306" t="s">
        <v>1402</v>
      </c>
      <c r="D306" s="2">
        <v>46217.797569444439</v>
      </c>
      <c r="E306" s="2">
        <f t="shared" si="8"/>
        <v>46217</v>
      </c>
      <c r="F306" t="s">
        <v>1744</v>
      </c>
      <c r="G306">
        <f>_xlfn.XLOOKUP(A306,FTD!A:A,FTD!C:C)</f>
        <v>2000</v>
      </c>
      <c r="H306" cm="1">
        <f t="array" ref="H306">_xlfn.LET(
  _xlpm.s, TRIM(F306),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6" t="str">
        <f>_xlfn.XLOOKUP(E306,Calendar!C:C,Calendar!B:B)</f>
        <v>Working Day</v>
      </c>
      <c r="M306" s="2">
        <v>46217</v>
      </c>
      <c r="N306" t="s">
        <v>1421</v>
      </c>
      <c r="O306" t="s">
        <v>1789</v>
      </c>
      <c r="P306">
        <v>3</v>
      </c>
      <c r="Q306" t="str">
        <f>_xlfn.XLOOKUP(N306,Attendance!F:F,Attendance!J:J)</f>
        <v>OJT 1</v>
      </c>
      <c r="R306">
        <f t="shared" si="9"/>
        <v>500</v>
      </c>
    </row>
    <row r="307" spans="1:18" x14ac:dyDescent="0.25">
      <c r="A307" t="s">
        <v>307</v>
      </c>
      <c r="B307" t="s">
        <v>1387</v>
      </c>
      <c r="C307" t="s">
        <v>1400</v>
      </c>
      <c r="D307" s="2">
        <v>46225.748564814814</v>
      </c>
      <c r="E307" s="2">
        <f t="shared" si="8"/>
        <v>46225</v>
      </c>
      <c r="F307" t="s">
        <v>1739</v>
      </c>
      <c r="G307">
        <f>_xlfn.XLOOKUP(A307,FTD!A:A,FTD!C:C)</f>
        <v>1000</v>
      </c>
      <c r="H307" cm="1">
        <f t="array" ref="H307">_xlfn.LET(
  _xlpm.s, TRIM(F307),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07" t="str">
        <f>_xlfn.XLOOKUP(E307,Calendar!C:C,Calendar!B:B)</f>
        <v>Working Day</v>
      </c>
      <c r="M307" s="2">
        <v>46217</v>
      </c>
      <c r="N307" t="s">
        <v>1429</v>
      </c>
      <c r="O307" t="s">
        <v>1789</v>
      </c>
      <c r="P307">
        <v>1</v>
      </c>
      <c r="Q307" t="e">
        <f>_xlfn.XLOOKUP(N307,Attendance!F:F,Attendance!J:J)</f>
        <v>#N/A</v>
      </c>
      <c r="R307">
        <f t="shared" si="9"/>
        <v>0</v>
      </c>
    </row>
    <row r="308" spans="1:18" x14ac:dyDescent="0.25">
      <c r="A308" t="s">
        <v>308</v>
      </c>
      <c r="B308" t="s">
        <v>1387</v>
      </c>
      <c r="C308" t="s">
        <v>1421</v>
      </c>
      <c r="D308" s="2">
        <v>46224.462546296294</v>
      </c>
      <c r="E308" s="2">
        <f t="shared" si="8"/>
        <v>46224</v>
      </c>
      <c r="F308" t="s">
        <v>1738</v>
      </c>
      <c r="G308">
        <f>_xlfn.XLOOKUP(A308,FTD!A:A,FTD!C:C)</f>
        <v>1000</v>
      </c>
      <c r="H308" cm="1">
        <f t="array" ref="H308">_xlfn.LET(
  _xlpm.s, TRIM(F308),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8" t="str">
        <f>_xlfn.XLOOKUP(E308,Calendar!C:C,Calendar!B:B)</f>
        <v>Working Day</v>
      </c>
      <c r="M308" s="2">
        <v>46217</v>
      </c>
      <c r="N308" t="s">
        <v>1399</v>
      </c>
      <c r="O308" t="s">
        <v>1789</v>
      </c>
      <c r="P308">
        <v>5</v>
      </c>
      <c r="Q308" t="str">
        <f>_xlfn.XLOOKUP(N308,Attendance!F:F,Attendance!J:J)</f>
        <v>1</v>
      </c>
      <c r="R308">
        <f t="shared" si="9"/>
        <v>0</v>
      </c>
    </row>
    <row r="309" spans="1:18" x14ac:dyDescent="0.25">
      <c r="A309" t="s">
        <v>309</v>
      </c>
      <c r="B309" t="s">
        <v>1387</v>
      </c>
      <c r="C309" t="s">
        <v>1398</v>
      </c>
      <c r="D309" s="2">
        <v>46212.481122685182</v>
      </c>
      <c r="E309" s="2">
        <f t="shared" si="8"/>
        <v>46212</v>
      </c>
      <c r="F309" t="s">
        <v>1738</v>
      </c>
      <c r="G309">
        <f>_xlfn.XLOOKUP(A309,FTD!A:A,FTD!C:C)</f>
        <v>1000</v>
      </c>
      <c r="H309" cm="1">
        <f t="array" ref="H309">_xlfn.LET(
  _xlpm.s, TRIM(F309),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09" t="str">
        <f>_xlfn.XLOOKUP(E309,Calendar!C:C,Calendar!B:B)</f>
        <v>Working Day</v>
      </c>
      <c r="M309" s="2">
        <v>46217</v>
      </c>
      <c r="N309" t="s">
        <v>1428</v>
      </c>
      <c r="O309" t="s">
        <v>1789</v>
      </c>
      <c r="P309">
        <v>1</v>
      </c>
      <c r="Q309" t="str">
        <f>_xlfn.XLOOKUP(N309,Attendance!F:F,Attendance!J:J)</f>
        <v>OLD OJT</v>
      </c>
      <c r="R309">
        <f t="shared" si="9"/>
        <v>0</v>
      </c>
    </row>
    <row r="310" spans="1:18" x14ac:dyDescent="0.25">
      <c r="A310" t="s">
        <v>310</v>
      </c>
      <c r="B310" t="s">
        <v>1387</v>
      </c>
      <c r="C310" t="s">
        <v>1393</v>
      </c>
      <c r="D310" s="2">
        <v>46223.758888888886</v>
      </c>
      <c r="E310" s="2">
        <f t="shared" si="8"/>
        <v>46223</v>
      </c>
      <c r="F310" t="s">
        <v>1739</v>
      </c>
      <c r="G310">
        <f>_xlfn.XLOOKUP(A310,FTD!A:A,FTD!C:C)</f>
        <v>1200</v>
      </c>
      <c r="H310" cm="1">
        <f t="array" ref="H310">_xlfn.LET(
  _xlpm.s, TRIM(F310),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10" t="str">
        <f>_xlfn.XLOOKUP(E310,Calendar!C:C,Calendar!B:B)</f>
        <v>Working Day</v>
      </c>
      <c r="M310" s="2">
        <v>46217</v>
      </c>
      <c r="N310" t="s">
        <v>1408</v>
      </c>
      <c r="O310" t="s">
        <v>1789</v>
      </c>
      <c r="P310">
        <v>12</v>
      </c>
      <c r="Q310" t="str">
        <f>_xlfn.XLOOKUP(N310,Attendance!F:F,Attendance!J:J)</f>
        <v>1</v>
      </c>
      <c r="R310">
        <f t="shared" si="9"/>
        <v>700</v>
      </c>
    </row>
    <row r="311" spans="1:18" x14ac:dyDescent="0.25">
      <c r="A311" t="s">
        <v>311</v>
      </c>
      <c r="B311" t="s">
        <v>1387</v>
      </c>
      <c r="C311" t="s">
        <v>1408</v>
      </c>
      <c r="D311" s="2">
        <v>46212.931759259256</v>
      </c>
      <c r="E311" s="2">
        <f t="shared" si="8"/>
        <v>46212</v>
      </c>
      <c r="F311" t="s">
        <v>1738</v>
      </c>
      <c r="G311">
        <f>_xlfn.XLOOKUP(A311,FTD!A:A,FTD!C:C)</f>
        <v>3000</v>
      </c>
      <c r="H311" cm="1">
        <f t="array" ref="H311">_xlfn.LET(
  _xlpm.s, TRIM(F311),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1" t="str">
        <f>_xlfn.XLOOKUP(E311,Calendar!C:C,Calendar!B:B)</f>
        <v>Working Day</v>
      </c>
      <c r="M311" s="2">
        <v>46218</v>
      </c>
      <c r="N311" t="s">
        <v>1405</v>
      </c>
      <c r="O311" t="s">
        <v>1789</v>
      </c>
      <c r="P311">
        <v>4</v>
      </c>
      <c r="Q311" t="str">
        <f>_xlfn.XLOOKUP(N311,Attendance!F:F,Attendance!J:J)</f>
        <v>Dialer</v>
      </c>
      <c r="R311">
        <f t="shared" si="9"/>
        <v>500</v>
      </c>
    </row>
    <row r="312" spans="1:18" x14ac:dyDescent="0.25">
      <c r="A312" t="s">
        <v>312</v>
      </c>
      <c r="B312" t="s">
        <v>1387</v>
      </c>
      <c r="C312" t="s">
        <v>1412</v>
      </c>
      <c r="D312" s="2">
        <v>46212.637337962959</v>
      </c>
      <c r="E312" s="2">
        <f t="shared" si="8"/>
        <v>46212</v>
      </c>
      <c r="F312" t="s">
        <v>1738</v>
      </c>
      <c r="G312">
        <f>_xlfn.XLOOKUP(A312,FTD!A:A,FTD!C:C)</f>
        <v>2000</v>
      </c>
      <c r="H312" cm="1">
        <f t="array" ref="H312">_xlfn.LET(
  _xlpm.s, TRIM(F312),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2" t="str">
        <f>_xlfn.XLOOKUP(E312,Calendar!C:C,Calendar!B:B)</f>
        <v>Working Day</v>
      </c>
      <c r="M312" s="2">
        <v>46218</v>
      </c>
      <c r="N312" t="s">
        <v>1415</v>
      </c>
      <c r="O312" t="s">
        <v>1789</v>
      </c>
      <c r="P312">
        <v>2</v>
      </c>
      <c r="Q312" t="str">
        <f>_xlfn.XLOOKUP(N312,Attendance!F:F,Attendance!J:J)</f>
        <v>Meta</v>
      </c>
      <c r="R312">
        <f t="shared" si="9"/>
        <v>0</v>
      </c>
    </row>
    <row r="313" spans="1:18" x14ac:dyDescent="0.25">
      <c r="A313" t="s">
        <v>313</v>
      </c>
      <c r="B313" t="s">
        <v>1387</v>
      </c>
      <c r="C313" t="s">
        <v>1399</v>
      </c>
      <c r="D313" s="2">
        <v>46210.484178240738</v>
      </c>
      <c r="E313" s="2">
        <f t="shared" si="8"/>
        <v>46210</v>
      </c>
      <c r="F313" t="s">
        <v>1738</v>
      </c>
      <c r="G313">
        <f>_xlfn.XLOOKUP(A313,FTD!A:A,FTD!C:C)</f>
        <v>6500</v>
      </c>
      <c r="H313" cm="1">
        <f t="array" ref="H313">_xlfn.LET(
  _xlpm.s, TRIM(F313),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3" t="str">
        <f>_xlfn.XLOOKUP(E313,Calendar!C:C,Calendar!B:B)</f>
        <v>Working Day</v>
      </c>
      <c r="M313" s="2">
        <v>46218</v>
      </c>
      <c r="N313" t="s">
        <v>1398</v>
      </c>
      <c r="O313" t="s">
        <v>1789</v>
      </c>
      <c r="P313">
        <v>5</v>
      </c>
      <c r="Q313" t="str">
        <f>_xlfn.XLOOKUP(N313,Attendance!F:F,Attendance!J:J)</f>
        <v>1</v>
      </c>
      <c r="R313">
        <f t="shared" si="9"/>
        <v>0</v>
      </c>
    </row>
    <row r="314" spans="1:18" x14ac:dyDescent="0.25">
      <c r="A314" t="s">
        <v>314</v>
      </c>
      <c r="B314" t="s">
        <v>1387</v>
      </c>
      <c r="C314" t="s">
        <v>1402</v>
      </c>
      <c r="D314" s="2">
        <v>46227.794999999998</v>
      </c>
      <c r="E314" s="2">
        <f t="shared" si="8"/>
        <v>46227</v>
      </c>
      <c r="F314" t="s">
        <v>1738</v>
      </c>
      <c r="G314">
        <f>_xlfn.XLOOKUP(A314,FTD!A:A,FTD!C:C)</f>
        <v>1000</v>
      </c>
      <c r="H314" cm="1">
        <f t="array" ref="H314">_xlfn.LET(
  _xlpm.s, TRIM(F314),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4" t="str">
        <f>_xlfn.XLOOKUP(E314,Calendar!C:C,Calendar!B:B)</f>
        <v>Working Day</v>
      </c>
      <c r="M314" s="2">
        <v>46218</v>
      </c>
      <c r="N314" t="s">
        <v>1389</v>
      </c>
      <c r="O314" t="s">
        <v>1789</v>
      </c>
      <c r="P314">
        <v>2</v>
      </c>
      <c r="Q314" t="str">
        <f>_xlfn.XLOOKUP(N314,Attendance!F:F,Attendance!J:J)</f>
        <v>Meta</v>
      </c>
      <c r="R314">
        <f t="shared" si="9"/>
        <v>0</v>
      </c>
    </row>
    <row r="315" spans="1:18" x14ac:dyDescent="0.25">
      <c r="A315" t="s">
        <v>315</v>
      </c>
      <c r="B315" t="s">
        <v>1387</v>
      </c>
      <c r="C315" t="s">
        <v>1408</v>
      </c>
      <c r="D315" s="2">
        <v>46223.433402777773</v>
      </c>
      <c r="E315" s="2">
        <f t="shared" si="8"/>
        <v>46223</v>
      </c>
      <c r="F315" t="s">
        <v>1738</v>
      </c>
      <c r="G315">
        <f>_xlfn.XLOOKUP(A315,FTD!A:A,FTD!C:C)</f>
        <v>1000</v>
      </c>
      <c r="H315" cm="1">
        <f t="array" ref="H315">_xlfn.LET(
  _xlpm.s, TRIM(F315),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5" t="str">
        <f>_xlfn.XLOOKUP(E315,Calendar!C:C,Calendar!B:B)</f>
        <v>Working Day</v>
      </c>
      <c r="M315" s="2">
        <v>46218</v>
      </c>
      <c r="N315" t="s">
        <v>1414</v>
      </c>
      <c r="O315" t="s">
        <v>1789</v>
      </c>
      <c r="P315">
        <v>2</v>
      </c>
      <c r="Q315" t="str">
        <f>_xlfn.XLOOKUP(N315,Attendance!F:F,Attendance!J:J)</f>
        <v>New OJT</v>
      </c>
      <c r="R315">
        <f t="shared" si="9"/>
        <v>0</v>
      </c>
    </row>
    <row r="316" spans="1:18" x14ac:dyDescent="0.25">
      <c r="A316" t="s">
        <v>316</v>
      </c>
      <c r="B316" t="s">
        <v>1387</v>
      </c>
      <c r="C316" t="s">
        <v>1406</v>
      </c>
      <c r="D316" s="2">
        <v>46217.6562037037</v>
      </c>
      <c r="E316" s="2">
        <f t="shared" si="8"/>
        <v>46217</v>
      </c>
      <c r="F316" t="s">
        <v>1739</v>
      </c>
      <c r="G316">
        <f>_xlfn.XLOOKUP(A316,FTD!A:A,FTD!C:C)</f>
        <v>1000</v>
      </c>
      <c r="H316" cm="1">
        <f t="array" ref="H316">_xlfn.LET(
  _xlpm.s, TRIM(F316),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16" t="str">
        <f>_xlfn.XLOOKUP(E316,Calendar!C:C,Calendar!B:B)</f>
        <v>Working Day</v>
      </c>
      <c r="M316" s="2">
        <v>46218</v>
      </c>
      <c r="N316" t="s">
        <v>1417</v>
      </c>
      <c r="O316" t="s">
        <v>1789</v>
      </c>
      <c r="P316">
        <v>1</v>
      </c>
      <c r="Q316" t="str">
        <f>_xlfn.XLOOKUP(N316,Attendance!F:F,Attendance!J:J)</f>
        <v>Meta</v>
      </c>
      <c r="R316">
        <f t="shared" si="9"/>
        <v>0</v>
      </c>
    </row>
    <row r="317" spans="1:18" x14ac:dyDescent="0.25">
      <c r="A317" t="s">
        <v>317</v>
      </c>
      <c r="B317" t="s">
        <v>1387</v>
      </c>
      <c r="C317" t="s">
        <v>1402</v>
      </c>
      <c r="D317" s="2">
        <v>46219.45680555555</v>
      </c>
      <c r="E317" s="2">
        <f t="shared" si="8"/>
        <v>46219</v>
      </c>
      <c r="F317" t="s">
        <v>1738</v>
      </c>
      <c r="G317">
        <f>_xlfn.XLOOKUP(A317,FTD!A:A,FTD!C:C)</f>
        <v>1000</v>
      </c>
      <c r="H317" cm="1">
        <f t="array" ref="H317">_xlfn.LET(
  _xlpm.s, TRIM(F317),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7" t="str">
        <f>_xlfn.XLOOKUP(E317,Calendar!C:C,Calendar!B:B)</f>
        <v>Working Day</v>
      </c>
      <c r="M317" s="2">
        <v>46218</v>
      </c>
      <c r="N317" t="s">
        <v>1400</v>
      </c>
      <c r="O317" t="s">
        <v>1789</v>
      </c>
      <c r="P317">
        <v>2</v>
      </c>
      <c r="Q317" t="str">
        <f>_xlfn.XLOOKUP(N317,Attendance!F:F,Attendance!J:J)</f>
        <v>Meta</v>
      </c>
      <c r="R317">
        <f t="shared" si="9"/>
        <v>0</v>
      </c>
    </row>
    <row r="318" spans="1:18" x14ac:dyDescent="0.25">
      <c r="A318" t="s">
        <v>318</v>
      </c>
      <c r="B318" t="s">
        <v>1387</v>
      </c>
      <c r="C318" t="s">
        <v>1413</v>
      </c>
      <c r="D318" s="2">
        <v>46225.465266203704</v>
      </c>
      <c r="E318" s="2">
        <f t="shared" si="8"/>
        <v>46225</v>
      </c>
      <c r="F318" t="s">
        <v>1743</v>
      </c>
      <c r="G318">
        <f>_xlfn.XLOOKUP(A318,FTD!A:A,FTD!C:C)</f>
        <v>1000</v>
      </c>
      <c r="H318" cm="1">
        <f t="array" ref="H318">_xlfn.LET(
  _xlpm.s, TRIM(F318),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18" t="str">
        <f>_xlfn.XLOOKUP(E318,Calendar!C:C,Calendar!B:B)</f>
        <v>Working Day</v>
      </c>
      <c r="M318" s="2">
        <v>46218</v>
      </c>
      <c r="N318" t="s">
        <v>1407</v>
      </c>
      <c r="O318" t="s">
        <v>1789</v>
      </c>
      <c r="P318">
        <v>3</v>
      </c>
      <c r="Q318" t="str">
        <f>_xlfn.XLOOKUP(N318,Attendance!F:F,Attendance!J:J)</f>
        <v>Meta</v>
      </c>
      <c r="R318">
        <f t="shared" si="9"/>
        <v>0</v>
      </c>
    </row>
    <row r="319" spans="1:18" x14ac:dyDescent="0.25">
      <c r="A319" t="s">
        <v>319</v>
      </c>
      <c r="B319" t="s">
        <v>1387</v>
      </c>
      <c r="C319" t="s">
        <v>1408</v>
      </c>
      <c r="D319" s="2">
        <v>46226.538460648146</v>
      </c>
      <c r="E319" s="2">
        <f t="shared" si="8"/>
        <v>46226</v>
      </c>
      <c r="F319" t="s">
        <v>1739</v>
      </c>
      <c r="G319">
        <f>_xlfn.XLOOKUP(A319,FTD!A:A,FTD!C:C)</f>
        <v>1000</v>
      </c>
      <c r="H319" cm="1">
        <f t="array" ref="H319">_xlfn.LET(
  _xlpm.s, TRIM(F319),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19" t="str">
        <f>_xlfn.XLOOKUP(E319,Calendar!C:C,Calendar!B:B)</f>
        <v>Working Day</v>
      </c>
      <c r="M319" s="2">
        <v>46218</v>
      </c>
      <c r="N319" t="s">
        <v>1396</v>
      </c>
      <c r="O319" t="s">
        <v>1789</v>
      </c>
      <c r="P319">
        <v>1</v>
      </c>
      <c r="Q319" t="str">
        <f>_xlfn.XLOOKUP(N319,Attendance!F:F,Attendance!J:J)</f>
        <v>Telegram</v>
      </c>
      <c r="R319">
        <f t="shared" si="9"/>
        <v>0</v>
      </c>
    </row>
    <row r="320" spans="1:18" x14ac:dyDescent="0.25">
      <c r="A320" t="s">
        <v>320</v>
      </c>
      <c r="B320" t="s">
        <v>1387</v>
      </c>
      <c r="C320" t="s">
        <v>1407</v>
      </c>
      <c r="D320" s="2">
        <v>46231.729259259257</v>
      </c>
      <c r="E320" s="2">
        <f t="shared" si="8"/>
        <v>46231</v>
      </c>
      <c r="F320" t="s">
        <v>1745</v>
      </c>
      <c r="G320">
        <f>_xlfn.XLOOKUP(A320,FTD!A:A,FTD!C:C)</f>
        <v>2000</v>
      </c>
      <c r="H320" cm="1">
        <f t="array" ref="H320">_xlfn.LET(
  _xlpm.s, TRIM(F320),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20" t="str">
        <f>_xlfn.XLOOKUP(E320,Calendar!C:C,Calendar!B:B)</f>
        <v>Working Day</v>
      </c>
      <c r="M320" s="2">
        <v>46218</v>
      </c>
      <c r="N320" t="s">
        <v>1412</v>
      </c>
      <c r="O320" t="s">
        <v>1789</v>
      </c>
      <c r="P320">
        <v>1</v>
      </c>
      <c r="Q320" t="str">
        <f>_xlfn.XLOOKUP(N320,Attendance!F:F,Attendance!J:J)</f>
        <v>1</v>
      </c>
      <c r="R320">
        <f t="shared" si="9"/>
        <v>0</v>
      </c>
    </row>
    <row r="321" spans="1:18" x14ac:dyDescent="0.25">
      <c r="A321" t="s">
        <v>321</v>
      </c>
      <c r="B321" t="s">
        <v>1387</v>
      </c>
      <c r="C321" t="s">
        <v>1390</v>
      </c>
      <c r="D321" s="2">
        <v>46208.842638888884</v>
      </c>
      <c r="E321" s="2">
        <f t="shared" si="8"/>
        <v>46208</v>
      </c>
      <c r="F321" t="s">
        <v>1739</v>
      </c>
      <c r="G321">
        <f>_xlfn.XLOOKUP(A321,FTD!A:A,FTD!C:C)</f>
        <v>1000</v>
      </c>
      <c r="H321" cm="1">
        <f t="array" ref="H321">_xlfn.LET(
  _xlpm.s, TRIM(F321),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21" t="str">
        <f>_xlfn.XLOOKUP(E321,Calendar!C:C,Calendar!B:B)</f>
        <v>Sunday</v>
      </c>
      <c r="M321" s="2">
        <v>46218</v>
      </c>
      <c r="N321" t="s">
        <v>1424</v>
      </c>
      <c r="O321" t="s">
        <v>1789</v>
      </c>
      <c r="P321">
        <v>2</v>
      </c>
      <c r="Q321" t="str">
        <f>_xlfn.XLOOKUP(N321,Attendance!F:F,Attendance!J:J)</f>
        <v>New OJT</v>
      </c>
      <c r="R321">
        <f t="shared" si="9"/>
        <v>0</v>
      </c>
    </row>
    <row r="322" spans="1:18" x14ac:dyDescent="0.25">
      <c r="A322" t="s">
        <v>322</v>
      </c>
      <c r="B322" t="s">
        <v>1385</v>
      </c>
      <c r="C322" t="s">
        <v>1409</v>
      </c>
      <c r="D322" s="2">
        <v>46214.864803240736</v>
      </c>
      <c r="E322" s="2">
        <f t="shared" si="8"/>
        <v>46214</v>
      </c>
      <c r="F322" t="s">
        <v>1738</v>
      </c>
      <c r="G322">
        <f>_xlfn.XLOOKUP(A322,FTD!A:A,FTD!C:C)</f>
        <v>500</v>
      </c>
      <c r="H322" cm="1">
        <f t="array" ref="H322">_xlfn.LET(
  _xlpm.s, TRIM(F322),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2" t="str">
        <f>_xlfn.XLOOKUP(E322,Calendar!C:C,Calendar!B:B)</f>
        <v>Saturday</v>
      </c>
      <c r="M322" s="2">
        <v>46218</v>
      </c>
      <c r="N322" t="s">
        <v>1404</v>
      </c>
      <c r="O322" t="s">
        <v>1789</v>
      </c>
      <c r="P322">
        <v>1</v>
      </c>
      <c r="Q322" t="str">
        <f>_xlfn.XLOOKUP(N322,Attendance!F:F,Attendance!J:J)</f>
        <v>OLD OJT</v>
      </c>
      <c r="R322">
        <f t="shared" si="9"/>
        <v>0</v>
      </c>
    </row>
    <row r="323" spans="1:18" x14ac:dyDescent="0.25">
      <c r="A323" t="s">
        <v>323</v>
      </c>
      <c r="B323" t="s">
        <v>1384</v>
      </c>
      <c r="C323" t="s">
        <v>1409</v>
      </c>
      <c r="D323" s="2">
        <v>46210.63890046296</v>
      </c>
      <c r="E323" s="2">
        <f t="shared" ref="E323:E386" si="10">INT(D323)</f>
        <v>46210</v>
      </c>
      <c r="F323" t="s">
        <v>1741</v>
      </c>
      <c r="G323">
        <f>_xlfn.XLOOKUP(A323,FTD!A:A,FTD!C:C)</f>
        <v>2000</v>
      </c>
      <c r="H323" cm="1">
        <f t="array" ref="H323">_xlfn.LET(
  _xlpm.s, TRIM(F323),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3" t="str">
        <f>_xlfn.XLOOKUP(E323,Calendar!C:C,Calendar!B:B)</f>
        <v>Working Day</v>
      </c>
      <c r="M323" s="2">
        <v>46218</v>
      </c>
      <c r="N323" t="s">
        <v>1406</v>
      </c>
      <c r="O323" t="s">
        <v>1789</v>
      </c>
      <c r="P323">
        <v>2</v>
      </c>
      <c r="Q323" t="str">
        <f>_xlfn.XLOOKUP(N323,Attendance!F:F,Attendance!J:J)</f>
        <v>1</v>
      </c>
      <c r="R323">
        <f t="shared" si="9"/>
        <v>0</v>
      </c>
    </row>
    <row r="324" spans="1:18" x14ac:dyDescent="0.25">
      <c r="A324" t="s">
        <v>324</v>
      </c>
      <c r="B324" t="s">
        <v>1384</v>
      </c>
      <c r="C324" t="s">
        <v>1400</v>
      </c>
      <c r="D324" s="2">
        <v>46225.453043981477</v>
      </c>
      <c r="E324" s="2">
        <f t="shared" si="10"/>
        <v>46225</v>
      </c>
      <c r="F324" t="s">
        <v>1739</v>
      </c>
      <c r="G324">
        <f>_xlfn.XLOOKUP(A324,FTD!A:A,FTD!C:C)</f>
        <v>1000</v>
      </c>
      <c r="H324" cm="1">
        <f t="array" ref="H324">_xlfn.LET(
  _xlpm.s, TRIM(F324),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24" t="str">
        <f>_xlfn.XLOOKUP(E324,Calendar!C:C,Calendar!B:B)</f>
        <v>Working Day</v>
      </c>
      <c r="M324" s="2">
        <v>46218</v>
      </c>
      <c r="N324" t="s">
        <v>1434</v>
      </c>
      <c r="O324" t="s">
        <v>1789</v>
      </c>
      <c r="P324">
        <v>1</v>
      </c>
      <c r="Q324" t="str">
        <f>_xlfn.XLOOKUP(N324,Attendance!F:F,Attendance!J:J)</f>
        <v>OJT 2</v>
      </c>
      <c r="R324">
        <f t="shared" ref="R324:R387" si="11">_xlfn.LET(
  _xlpm.pool, IFERROR(Q324&amp;"", ""),
  _xlpm.conv, IFERROR(--P324, 0),
  _xlpm.mkt,  O325="Working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325" spans="1:18" x14ac:dyDescent="0.25">
      <c r="A325" t="s">
        <v>325</v>
      </c>
      <c r="B325" t="s">
        <v>1384</v>
      </c>
      <c r="C325" t="s">
        <v>1392</v>
      </c>
      <c r="D325" s="2">
        <v>46227.747349537036</v>
      </c>
      <c r="E325" s="2">
        <f t="shared" si="10"/>
        <v>46227</v>
      </c>
      <c r="F325" t="s">
        <v>1740</v>
      </c>
      <c r="G325">
        <f>_xlfn.XLOOKUP(A325,FTD!A:A,FTD!C:C)</f>
        <v>645</v>
      </c>
      <c r="H325" cm="1">
        <f t="array" ref="H325">_xlfn.LET(
  _xlpm.s, TRIM(F325),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25" t="str">
        <f>_xlfn.XLOOKUP(E325,Calendar!C:C,Calendar!B:B)</f>
        <v>Working Day</v>
      </c>
      <c r="M325" s="2">
        <v>46218</v>
      </c>
      <c r="N325" t="s">
        <v>1402</v>
      </c>
      <c r="O325" t="s">
        <v>1789</v>
      </c>
      <c r="P325">
        <v>4</v>
      </c>
      <c r="Q325" t="str">
        <f>_xlfn.XLOOKUP(N325,Attendance!F:F,Attendance!J:J)</f>
        <v>1</v>
      </c>
      <c r="R325">
        <f t="shared" si="11"/>
        <v>0</v>
      </c>
    </row>
    <row r="326" spans="1:18" x14ac:dyDescent="0.25">
      <c r="A326" t="s">
        <v>326</v>
      </c>
      <c r="B326" t="s">
        <v>1387</v>
      </c>
      <c r="C326" t="s">
        <v>1435</v>
      </c>
      <c r="D326" s="2">
        <v>46215.603900462964</v>
      </c>
      <c r="E326" s="2">
        <f t="shared" si="10"/>
        <v>46215</v>
      </c>
      <c r="F326" t="s">
        <v>1744</v>
      </c>
      <c r="G326">
        <f>_xlfn.XLOOKUP(A326,FTD!A:A,FTD!C:C)</f>
        <v>4000</v>
      </c>
      <c r="H326" cm="1">
        <f t="array" ref="H326">_xlfn.LET(
  _xlpm.s, TRIM(F326),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6" t="str">
        <f>_xlfn.XLOOKUP(E326,Calendar!C:C,Calendar!B:B)</f>
        <v>Sunday</v>
      </c>
      <c r="M326" s="2">
        <v>46218</v>
      </c>
      <c r="N326" t="s">
        <v>1425</v>
      </c>
      <c r="O326" t="s">
        <v>1789</v>
      </c>
      <c r="P326">
        <v>1</v>
      </c>
      <c r="Q326" t="str">
        <f>_xlfn.XLOOKUP(N326,Attendance!F:F,Attendance!J:J)</f>
        <v>OJT 1</v>
      </c>
      <c r="R326">
        <f t="shared" si="11"/>
        <v>0</v>
      </c>
    </row>
    <row r="327" spans="1:18" x14ac:dyDescent="0.25">
      <c r="A327" t="s">
        <v>327</v>
      </c>
      <c r="B327" t="s">
        <v>1387</v>
      </c>
      <c r="C327" t="s">
        <v>1397</v>
      </c>
      <c r="D327" s="2">
        <v>46204.404421296291</v>
      </c>
      <c r="E327" s="2">
        <f t="shared" si="10"/>
        <v>46204</v>
      </c>
      <c r="F327" t="s">
        <v>1743</v>
      </c>
      <c r="G327">
        <f>_xlfn.XLOOKUP(A327,FTD!A:A,FTD!C:C)</f>
        <v>1500</v>
      </c>
      <c r="H327" cm="1">
        <f t="array" ref="H327">_xlfn.LET(
  _xlpm.s, TRIM(F327),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7" t="str">
        <f>_xlfn.XLOOKUP(E327,Calendar!C:C,Calendar!B:B)</f>
        <v>Working Day</v>
      </c>
      <c r="M327" s="2">
        <v>46218</v>
      </c>
      <c r="N327" t="s">
        <v>1391</v>
      </c>
      <c r="O327" t="s">
        <v>1789</v>
      </c>
      <c r="P327">
        <v>1</v>
      </c>
      <c r="Q327" t="str">
        <f>_xlfn.XLOOKUP(N327,Attendance!F:F,Attendance!J:J)</f>
        <v>Dialer</v>
      </c>
      <c r="R327">
        <f t="shared" si="11"/>
        <v>0</v>
      </c>
    </row>
    <row r="328" spans="1:18" x14ac:dyDescent="0.25">
      <c r="A328" t="s">
        <v>328</v>
      </c>
      <c r="B328" t="s">
        <v>1387</v>
      </c>
      <c r="C328" t="s">
        <v>1406</v>
      </c>
      <c r="D328" s="2">
        <v>46205.885960648149</v>
      </c>
      <c r="E328" s="2">
        <f t="shared" si="10"/>
        <v>46205</v>
      </c>
      <c r="F328" t="s">
        <v>1738</v>
      </c>
      <c r="G328">
        <f>_xlfn.XLOOKUP(A328,FTD!A:A,FTD!C:C)</f>
        <v>1000</v>
      </c>
      <c r="H328" cm="1">
        <f t="array" ref="H328">_xlfn.LET(
  _xlpm.s, TRIM(F328),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8" t="str">
        <f>_xlfn.XLOOKUP(E328,Calendar!C:C,Calendar!B:B)</f>
        <v>Working Day</v>
      </c>
      <c r="M328" s="2">
        <v>46218</v>
      </c>
      <c r="N328" t="s">
        <v>1421</v>
      </c>
      <c r="O328" t="s">
        <v>1789</v>
      </c>
      <c r="P328">
        <v>1</v>
      </c>
      <c r="Q328" t="str">
        <f>_xlfn.XLOOKUP(N328,Attendance!F:F,Attendance!J:J)</f>
        <v>OJT 1</v>
      </c>
      <c r="R328">
        <f t="shared" si="11"/>
        <v>0</v>
      </c>
    </row>
    <row r="329" spans="1:18" x14ac:dyDescent="0.25">
      <c r="A329" t="s">
        <v>329</v>
      </c>
      <c r="B329" t="s">
        <v>1387</v>
      </c>
      <c r="C329" t="s">
        <v>1425</v>
      </c>
      <c r="D329" s="2">
        <v>46211.587951388887</v>
      </c>
      <c r="E329" s="2">
        <f t="shared" si="10"/>
        <v>46211</v>
      </c>
      <c r="F329" t="s">
        <v>1738</v>
      </c>
      <c r="G329">
        <f>_xlfn.XLOOKUP(A329,FTD!A:A,FTD!C:C)</f>
        <v>3000</v>
      </c>
      <c r="H329" cm="1">
        <f t="array" ref="H329">_xlfn.LET(
  _xlpm.s, TRIM(F329),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29" t="str">
        <f>_xlfn.XLOOKUP(E329,Calendar!C:C,Calendar!B:B)</f>
        <v>Working Day</v>
      </c>
      <c r="M329" s="2">
        <v>46218</v>
      </c>
      <c r="N329" t="s">
        <v>1410</v>
      </c>
      <c r="O329" t="s">
        <v>1789</v>
      </c>
      <c r="P329">
        <v>1</v>
      </c>
      <c r="Q329" t="str">
        <f>_xlfn.XLOOKUP(N329,Attendance!F:F,Attendance!J:J)</f>
        <v>New OJT</v>
      </c>
      <c r="R329">
        <f t="shared" si="11"/>
        <v>0</v>
      </c>
    </row>
    <row r="330" spans="1:18" x14ac:dyDescent="0.25">
      <c r="A330" t="s">
        <v>330</v>
      </c>
      <c r="B330" t="s">
        <v>1387</v>
      </c>
      <c r="C330" t="s">
        <v>1420</v>
      </c>
      <c r="D330" s="2">
        <v>46207.680868055555</v>
      </c>
      <c r="E330" s="2">
        <f t="shared" si="10"/>
        <v>46207</v>
      </c>
      <c r="F330" t="s">
        <v>1743</v>
      </c>
      <c r="G330">
        <f>_xlfn.XLOOKUP(A330,FTD!A:A,FTD!C:C)</f>
        <v>1000</v>
      </c>
      <c r="H330" cm="1">
        <f t="array" ref="H330">_xlfn.LET(
  _xlpm.s, TRIM(F330),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30" t="str">
        <f>_xlfn.XLOOKUP(E330,Calendar!C:C,Calendar!B:B)</f>
        <v>Saturday</v>
      </c>
      <c r="M330" s="2">
        <v>46218</v>
      </c>
      <c r="N330" t="s">
        <v>1409</v>
      </c>
      <c r="O330" t="s">
        <v>1789</v>
      </c>
      <c r="P330">
        <v>2</v>
      </c>
      <c r="Q330" t="str">
        <f>_xlfn.XLOOKUP(N330,Attendance!F:F,Attendance!J:J)</f>
        <v>Dialer</v>
      </c>
      <c r="R330">
        <f t="shared" si="11"/>
        <v>0</v>
      </c>
    </row>
    <row r="331" spans="1:18" x14ac:dyDescent="0.25">
      <c r="A331" t="s">
        <v>331</v>
      </c>
      <c r="B331" t="s">
        <v>1387</v>
      </c>
      <c r="C331" t="s">
        <v>1425</v>
      </c>
      <c r="D331" s="2">
        <v>46210.452858796292</v>
      </c>
      <c r="E331" s="2">
        <f t="shared" si="10"/>
        <v>46210</v>
      </c>
      <c r="F331" t="s">
        <v>1739</v>
      </c>
      <c r="G331">
        <f>_xlfn.XLOOKUP(A331,FTD!A:A,FTD!C:C)</f>
        <v>4000</v>
      </c>
      <c r="H331" cm="1">
        <f t="array" ref="H331">_xlfn.LET(
  _xlpm.s, TRIM(F331),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31" t="str">
        <f>_xlfn.XLOOKUP(E331,Calendar!C:C,Calendar!B:B)</f>
        <v>Working Day</v>
      </c>
      <c r="M331" s="2">
        <v>46218</v>
      </c>
      <c r="N331" t="s">
        <v>1399</v>
      </c>
      <c r="O331" t="s">
        <v>1789</v>
      </c>
      <c r="P331">
        <v>2</v>
      </c>
      <c r="Q331" t="str">
        <f>_xlfn.XLOOKUP(N331,Attendance!F:F,Attendance!J:J)</f>
        <v>1</v>
      </c>
      <c r="R331">
        <f t="shared" si="11"/>
        <v>0</v>
      </c>
    </row>
    <row r="332" spans="1:18" x14ac:dyDescent="0.25">
      <c r="A332" t="s">
        <v>332</v>
      </c>
      <c r="B332" t="s">
        <v>1387</v>
      </c>
      <c r="C332" t="s">
        <v>1430</v>
      </c>
      <c r="D332" s="2">
        <v>46234.829999999994</v>
      </c>
      <c r="E332" s="2">
        <f t="shared" si="10"/>
        <v>46234</v>
      </c>
      <c r="F332" t="s">
        <v>1751</v>
      </c>
      <c r="G332">
        <f>_xlfn.XLOOKUP(A332,FTD!A:A,FTD!C:C)</f>
        <v>1000</v>
      </c>
      <c r="H332" cm="1">
        <f t="array" ref="H332">_xlfn.LET(
  _xlpm.s, TRIM(F332),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32" t="str">
        <f>_xlfn.XLOOKUP(E332,Calendar!C:C,Calendar!B:B)</f>
        <v>Working Day</v>
      </c>
      <c r="M332" s="2">
        <v>46218</v>
      </c>
      <c r="N332" t="s">
        <v>1418</v>
      </c>
      <c r="O332" t="s">
        <v>1789</v>
      </c>
      <c r="P332">
        <v>2</v>
      </c>
      <c r="Q332" t="str">
        <f>_xlfn.XLOOKUP(N332,Attendance!F:F,Attendance!J:J)</f>
        <v>OJT 1</v>
      </c>
      <c r="R332">
        <f t="shared" si="11"/>
        <v>0</v>
      </c>
    </row>
    <row r="333" spans="1:18" x14ac:dyDescent="0.25">
      <c r="A333" t="s">
        <v>333</v>
      </c>
      <c r="B333" t="s">
        <v>1387</v>
      </c>
      <c r="C333" t="s">
        <v>1401</v>
      </c>
      <c r="D333" s="2">
        <v>46219.613842592589</v>
      </c>
      <c r="E333" s="2">
        <f t="shared" si="10"/>
        <v>46219</v>
      </c>
      <c r="F333" t="s">
        <v>1761</v>
      </c>
      <c r="G333">
        <f>_xlfn.XLOOKUP(A333,FTD!A:A,FTD!C:C)</f>
        <v>1000</v>
      </c>
      <c r="H333" cm="1">
        <f t="array" ref="H333">_xlfn.LET(
  _xlpm.s, TRIM(F333),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33" t="str">
        <f>_xlfn.XLOOKUP(E333,Calendar!C:C,Calendar!B:B)</f>
        <v>Working Day</v>
      </c>
      <c r="M333" s="2">
        <v>46218</v>
      </c>
      <c r="N333" t="s">
        <v>1408</v>
      </c>
      <c r="O333" t="s">
        <v>1789</v>
      </c>
      <c r="P333">
        <v>5</v>
      </c>
      <c r="Q333" t="str">
        <f>_xlfn.XLOOKUP(N333,Attendance!F:F,Attendance!J:J)</f>
        <v>1</v>
      </c>
      <c r="R333">
        <f t="shared" si="11"/>
        <v>0</v>
      </c>
    </row>
    <row r="334" spans="1:18" x14ac:dyDescent="0.25">
      <c r="A334" t="s">
        <v>334</v>
      </c>
      <c r="B334" t="s">
        <v>1387</v>
      </c>
      <c r="C334" t="s">
        <v>1412</v>
      </c>
      <c r="D334" s="2">
        <v>46220.594525462962</v>
      </c>
      <c r="E334" s="2">
        <f t="shared" si="10"/>
        <v>46220</v>
      </c>
      <c r="F334" t="s">
        <v>1738</v>
      </c>
      <c r="G334">
        <f>_xlfn.XLOOKUP(A334,FTD!A:A,FTD!C:C)</f>
        <v>1000</v>
      </c>
      <c r="H334" cm="1">
        <f t="array" ref="H334">_xlfn.LET(
  _xlpm.s, TRIM(F334),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34" t="str">
        <f>_xlfn.XLOOKUP(E334,Calendar!C:C,Calendar!B:B)</f>
        <v>Working Day</v>
      </c>
      <c r="M334" s="2">
        <v>46219</v>
      </c>
      <c r="N334" t="s">
        <v>1405</v>
      </c>
      <c r="O334" t="s">
        <v>1789</v>
      </c>
      <c r="P334">
        <v>3</v>
      </c>
      <c r="Q334" t="str">
        <f>_xlfn.XLOOKUP(N334,Attendance!F:F,Attendance!J:J)</f>
        <v>Dialer</v>
      </c>
      <c r="R334">
        <f t="shared" si="11"/>
        <v>500</v>
      </c>
    </row>
    <row r="335" spans="1:18" x14ac:dyDescent="0.25">
      <c r="A335" t="s">
        <v>335</v>
      </c>
      <c r="B335" t="s">
        <v>1387</v>
      </c>
      <c r="C335" t="s">
        <v>1430</v>
      </c>
      <c r="D335" s="2">
        <v>46216.575648148144</v>
      </c>
      <c r="E335" s="2">
        <f t="shared" si="10"/>
        <v>46216</v>
      </c>
      <c r="F335" t="s">
        <v>1745</v>
      </c>
      <c r="G335">
        <f>_xlfn.XLOOKUP(A335,FTD!A:A,FTD!C:C)</f>
        <v>2000</v>
      </c>
      <c r="H335" cm="1">
        <f t="array" ref="H335">_xlfn.LET(
  _xlpm.s, TRIM(F335),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35" t="str">
        <f>_xlfn.XLOOKUP(E335,Calendar!C:C,Calendar!B:B)</f>
        <v>Working Day</v>
      </c>
      <c r="M335" s="2">
        <v>46219</v>
      </c>
      <c r="N335" t="s">
        <v>1403</v>
      </c>
      <c r="O335" t="s">
        <v>1789</v>
      </c>
      <c r="P335">
        <v>2</v>
      </c>
      <c r="Q335" t="str">
        <f>_xlfn.XLOOKUP(N335,Attendance!F:F,Attendance!J:J)</f>
        <v>Meta</v>
      </c>
      <c r="R335">
        <f t="shared" si="11"/>
        <v>0</v>
      </c>
    </row>
    <row r="336" spans="1:18" x14ac:dyDescent="0.25">
      <c r="A336" t="s">
        <v>336</v>
      </c>
      <c r="B336" t="s">
        <v>1384</v>
      </c>
      <c r="C336" t="s">
        <v>1399</v>
      </c>
      <c r="D336" s="2">
        <v>46233.487037037034</v>
      </c>
      <c r="E336" s="2">
        <f t="shared" si="10"/>
        <v>46233</v>
      </c>
      <c r="F336" t="s">
        <v>1740</v>
      </c>
      <c r="G336">
        <f>_xlfn.XLOOKUP(A336,FTD!A:A,FTD!C:C)</f>
        <v>46</v>
      </c>
      <c r="H336" cm="1">
        <f t="array" ref="H336">_xlfn.LET(
  _xlpm.s, TRIM(F336),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36" t="str">
        <f>_xlfn.XLOOKUP(E336,Calendar!C:C,Calendar!B:B)</f>
        <v>Working Day</v>
      </c>
      <c r="M336" s="2">
        <v>46219</v>
      </c>
      <c r="N336" t="s">
        <v>1436</v>
      </c>
      <c r="O336" t="s">
        <v>1789</v>
      </c>
      <c r="P336">
        <v>1</v>
      </c>
      <c r="Q336" t="str">
        <f>_xlfn.XLOOKUP(N336,Attendance!F:F,Attendance!J:J)</f>
        <v>Telegram</v>
      </c>
      <c r="R336">
        <f t="shared" si="11"/>
        <v>0</v>
      </c>
    </row>
    <row r="337" spans="1:18" x14ac:dyDescent="0.25">
      <c r="A337" t="s">
        <v>337</v>
      </c>
      <c r="B337" t="s">
        <v>1384</v>
      </c>
      <c r="C337" t="s">
        <v>1408</v>
      </c>
      <c r="D337" s="2">
        <v>46220.391018518516</v>
      </c>
      <c r="E337" s="2">
        <f t="shared" si="10"/>
        <v>46220</v>
      </c>
      <c r="F337" t="s">
        <v>1741</v>
      </c>
      <c r="G337">
        <f>_xlfn.XLOOKUP(A337,FTD!A:A,FTD!C:C)</f>
        <v>5000</v>
      </c>
      <c r="H337" cm="1">
        <f t="array" ref="H337">_xlfn.LET(
  _xlpm.s, TRIM(F337),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37" t="str">
        <f>_xlfn.XLOOKUP(E337,Calendar!C:C,Calendar!B:B)</f>
        <v>Working Day</v>
      </c>
      <c r="M337" s="2">
        <v>46219</v>
      </c>
      <c r="N337" t="s">
        <v>1432</v>
      </c>
      <c r="O337" t="s">
        <v>1789</v>
      </c>
      <c r="P337">
        <v>5</v>
      </c>
      <c r="Q337" t="str">
        <f>_xlfn.XLOOKUP(N337,Attendance!F:F,Attendance!J:J)</f>
        <v>New OJT</v>
      </c>
      <c r="R337">
        <f t="shared" si="11"/>
        <v>700</v>
      </c>
    </row>
    <row r="338" spans="1:18" x14ac:dyDescent="0.25">
      <c r="A338" t="s">
        <v>338</v>
      </c>
      <c r="B338" t="s">
        <v>1387</v>
      </c>
      <c r="C338" t="s">
        <v>1418</v>
      </c>
      <c r="D338" s="2">
        <v>46225.550509259258</v>
      </c>
      <c r="E338" s="2">
        <f t="shared" si="10"/>
        <v>46225</v>
      </c>
      <c r="F338" t="s">
        <v>1738</v>
      </c>
      <c r="G338">
        <f>_xlfn.XLOOKUP(A338,FTD!A:A,FTD!C:C)</f>
        <v>5000</v>
      </c>
      <c r="H338" cm="1">
        <f t="array" ref="H338">_xlfn.LET(
  _xlpm.s, TRIM(F338),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38" t="str">
        <f>_xlfn.XLOOKUP(E338,Calendar!C:C,Calendar!B:B)</f>
        <v>Working Day</v>
      </c>
      <c r="M338" s="2">
        <v>46219</v>
      </c>
      <c r="N338" t="s">
        <v>1388</v>
      </c>
      <c r="O338" t="s">
        <v>1789</v>
      </c>
      <c r="P338">
        <v>1</v>
      </c>
      <c r="Q338" t="str">
        <f>_xlfn.XLOOKUP(N338,Attendance!F:F,Attendance!J:J)</f>
        <v>Telegram</v>
      </c>
      <c r="R338">
        <f t="shared" si="11"/>
        <v>0</v>
      </c>
    </row>
    <row r="339" spans="1:18" x14ac:dyDescent="0.25">
      <c r="A339" t="s">
        <v>339</v>
      </c>
      <c r="B339" t="s">
        <v>1387</v>
      </c>
      <c r="C339" t="s">
        <v>1418</v>
      </c>
      <c r="D339" s="2">
        <v>46211.648252314815</v>
      </c>
      <c r="E339" s="2">
        <f t="shared" si="10"/>
        <v>46211</v>
      </c>
      <c r="F339" t="s">
        <v>1745</v>
      </c>
      <c r="G339">
        <f>_xlfn.XLOOKUP(A339,FTD!A:A,FTD!C:C)</f>
        <v>1000</v>
      </c>
      <c r="H339" cm="1">
        <f t="array" ref="H339">_xlfn.LET(
  _xlpm.s, TRIM(F339),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39" t="str">
        <f>_xlfn.XLOOKUP(E339,Calendar!C:C,Calendar!B:B)</f>
        <v>Working Day</v>
      </c>
      <c r="M339" s="2">
        <v>46219</v>
      </c>
      <c r="N339" t="s">
        <v>1415</v>
      </c>
      <c r="O339" t="s">
        <v>1789</v>
      </c>
      <c r="P339">
        <v>2</v>
      </c>
      <c r="Q339" t="str">
        <f>_xlfn.XLOOKUP(N339,Attendance!F:F,Attendance!J:J)</f>
        <v>Meta</v>
      </c>
      <c r="R339">
        <f t="shared" si="11"/>
        <v>0</v>
      </c>
    </row>
    <row r="340" spans="1:18" x14ac:dyDescent="0.25">
      <c r="A340" t="s">
        <v>340</v>
      </c>
      <c r="B340" t="s">
        <v>1387</v>
      </c>
      <c r="C340" t="s">
        <v>1406</v>
      </c>
      <c r="D340" s="2">
        <v>46231.705671296295</v>
      </c>
      <c r="E340" s="2">
        <f t="shared" si="10"/>
        <v>46231</v>
      </c>
      <c r="F340" t="s">
        <v>1738</v>
      </c>
      <c r="G340">
        <f>_xlfn.XLOOKUP(A340,FTD!A:A,FTD!C:C)</f>
        <v>1000</v>
      </c>
      <c r="H340" cm="1">
        <f t="array" ref="H340">_xlfn.LET(
  _xlpm.s, TRIM(F340),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0" t="str">
        <f>_xlfn.XLOOKUP(E340,Calendar!C:C,Calendar!B:B)</f>
        <v>Working Day</v>
      </c>
      <c r="M340" s="2">
        <v>46219</v>
      </c>
      <c r="N340" t="s">
        <v>1433</v>
      </c>
      <c r="O340" t="s">
        <v>1789</v>
      </c>
      <c r="P340">
        <v>2</v>
      </c>
      <c r="Q340" t="str">
        <f>_xlfn.XLOOKUP(N340,Attendance!F:F,Attendance!J:J)</f>
        <v>Meta</v>
      </c>
      <c r="R340">
        <f t="shared" si="11"/>
        <v>0</v>
      </c>
    </row>
    <row r="341" spans="1:18" x14ac:dyDescent="0.25">
      <c r="A341" t="s">
        <v>341</v>
      </c>
      <c r="B341" t="s">
        <v>1387</v>
      </c>
      <c r="C341" t="s">
        <v>1408</v>
      </c>
      <c r="D341" s="2">
        <v>46220.46980324074</v>
      </c>
      <c r="E341" s="2">
        <f t="shared" si="10"/>
        <v>46220</v>
      </c>
      <c r="F341" t="s">
        <v>1738</v>
      </c>
      <c r="G341">
        <f>_xlfn.XLOOKUP(A341,FTD!A:A,FTD!C:C)</f>
        <v>10000</v>
      </c>
      <c r="H341" cm="1">
        <f t="array" ref="H341">_xlfn.LET(
  _xlpm.s, TRIM(F341),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1" t="str">
        <f>_xlfn.XLOOKUP(E341,Calendar!C:C,Calendar!B:B)</f>
        <v>Working Day</v>
      </c>
      <c r="M341" s="2">
        <v>46219</v>
      </c>
      <c r="N341" t="s">
        <v>1398</v>
      </c>
      <c r="O341" t="s">
        <v>1789</v>
      </c>
      <c r="P341">
        <v>2</v>
      </c>
      <c r="Q341" t="str">
        <f>_xlfn.XLOOKUP(N341,Attendance!F:F,Attendance!J:J)</f>
        <v>1</v>
      </c>
      <c r="R341">
        <f t="shared" si="11"/>
        <v>0</v>
      </c>
    </row>
    <row r="342" spans="1:18" x14ac:dyDescent="0.25">
      <c r="A342" t="s">
        <v>342</v>
      </c>
      <c r="B342" t="s">
        <v>1387</v>
      </c>
      <c r="C342" t="s">
        <v>1397</v>
      </c>
      <c r="D342" s="2">
        <v>46233.4840625</v>
      </c>
      <c r="E342" s="2">
        <f t="shared" si="10"/>
        <v>46233</v>
      </c>
      <c r="F342" t="s">
        <v>1743</v>
      </c>
      <c r="G342">
        <f>_xlfn.XLOOKUP(A342,FTD!A:A,FTD!C:C)</f>
        <v>1000</v>
      </c>
      <c r="H342" cm="1">
        <f t="array" ref="H342">_xlfn.LET(
  _xlpm.s, TRIM(F342),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2" t="str">
        <f>_xlfn.XLOOKUP(E342,Calendar!C:C,Calendar!B:B)</f>
        <v>Working Day</v>
      </c>
      <c r="M342" s="2">
        <v>46219</v>
      </c>
      <c r="N342" t="s">
        <v>1389</v>
      </c>
      <c r="O342" t="s">
        <v>1789</v>
      </c>
      <c r="P342">
        <v>2</v>
      </c>
      <c r="Q342" t="str">
        <f>_xlfn.XLOOKUP(N342,Attendance!F:F,Attendance!J:J)</f>
        <v>Meta</v>
      </c>
      <c r="R342">
        <f t="shared" si="11"/>
        <v>0</v>
      </c>
    </row>
    <row r="343" spans="1:18" x14ac:dyDescent="0.25">
      <c r="A343" t="s">
        <v>343</v>
      </c>
      <c r="B343" t="s">
        <v>1384</v>
      </c>
      <c r="C343" t="s">
        <v>1418</v>
      </c>
      <c r="D343" s="2">
        <v>46209.628981481481</v>
      </c>
      <c r="E343" s="2">
        <f t="shared" si="10"/>
        <v>46209</v>
      </c>
      <c r="F343" t="s">
        <v>1739</v>
      </c>
      <c r="G343">
        <f>_xlfn.XLOOKUP(A343,FTD!A:A,FTD!C:C)</f>
        <v>1000</v>
      </c>
      <c r="H343" cm="1">
        <f t="array" ref="H343">_xlfn.LET(
  _xlpm.s, TRIM(F343),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43" t="str">
        <f>_xlfn.XLOOKUP(E343,Calendar!C:C,Calendar!B:B)</f>
        <v>Working Day</v>
      </c>
      <c r="M343" s="2">
        <v>46219</v>
      </c>
      <c r="N343" t="s">
        <v>1422</v>
      </c>
      <c r="O343" t="s">
        <v>1789</v>
      </c>
      <c r="P343">
        <v>1</v>
      </c>
      <c r="Q343" t="str">
        <f>_xlfn.XLOOKUP(N343,Attendance!F:F,Attendance!J:J)</f>
        <v>New OJT</v>
      </c>
      <c r="R343">
        <f t="shared" si="11"/>
        <v>0</v>
      </c>
    </row>
    <row r="344" spans="1:18" x14ac:dyDescent="0.25">
      <c r="A344" t="s">
        <v>344</v>
      </c>
      <c r="B344" t="s">
        <v>1384</v>
      </c>
      <c r="C344" t="s">
        <v>1400</v>
      </c>
      <c r="D344" s="2">
        <v>46227.942581018513</v>
      </c>
      <c r="E344" s="2">
        <f t="shared" si="10"/>
        <v>46227</v>
      </c>
      <c r="F344" t="s">
        <v>1758</v>
      </c>
      <c r="G344">
        <f>_xlfn.XLOOKUP(A344,FTD!A:A,FTD!C:C)</f>
        <v>1000</v>
      </c>
      <c r="H344" cm="1">
        <f t="array" ref="H344">_xlfn.LET(
  _xlpm.s, TRIM(F344),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4" t="str">
        <f>_xlfn.XLOOKUP(E344,Calendar!C:C,Calendar!B:B)</f>
        <v>Working Day</v>
      </c>
      <c r="M344" s="2">
        <v>46219</v>
      </c>
      <c r="N344" t="s">
        <v>1400</v>
      </c>
      <c r="O344" t="s">
        <v>1789</v>
      </c>
      <c r="P344">
        <v>1</v>
      </c>
      <c r="Q344" t="str">
        <f>_xlfn.XLOOKUP(N344,Attendance!F:F,Attendance!J:J)</f>
        <v>Meta</v>
      </c>
      <c r="R344">
        <f t="shared" si="11"/>
        <v>0</v>
      </c>
    </row>
    <row r="345" spans="1:18" x14ac:dyDescent="0.25">
      <c r="A345" t="s">
        <v>345</v>
      </c>
      <c r="B345" t="s">
        <v>1384</v>
      </c>
      <c r="C345" t="s">
        <v>1398</v>
      </c>
      <c r="D345" s="2">
        <v>46223.50818287037</v>
      </c>
      <c r="E345" s="2">
        <f t="shared" si="10"/>
        <v>46223</v>
      </c>
      <c r="F345" t="s">
        <v>1738</v>
      </c>
      <c r="G345">
        <f>_xlfn.XLOOKUP(A345,FTD!A:A,FTD!C:C)</f>
        <v>1000</v>
      </c>
      <c r="H345" cm="1">
        <f t="array" ref="H345">_xlfn.LET(
  _xlpm.s, TRIM(F345),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5" t="str">
        <f>_xlfn.XLOOKUP(E345,Calendar!C:C,Calendar!B:B)</f>
        <v>Working Day</v>
      </c>
      <c r="M345" s="2">
        <v>46219</v>
      </c>
      <c r="N345" t="s">
        <v>1401</v>
      </c>
      <c r="O345" t="s">
        <v>1789</v>
      </c>
      <c r="P345">
        <v>4</v>
      </c>
      <c r="Q345" t="str">
        <f>_xlfn.XLOOKUP(N345,Attendance!F:F,Attendance!J:J)</f>
        <v>OJT 2</v>
      </c>
      <c r="R345">
        <f t="shared" si="11"/>
        <v>500</v>
      </c>
    </row>
    <row r="346" spans="1:18" x14ac:dyDescent="0.25">
      <c r="A346" t="s">
        <v>346</v>
      </c>
      <c r="B346" t="s">
        <v>1384</v>
      </c>
      <c r="C346" t="s">
        <v>1410</v>
      </c>
      <c r="D346" s="2">
        <v>46231.586608796293</v>
      </c>
      <c r="E346" s="2">
        <f t="shared" si="10"/>
        <v>46231</v>
      </c>
      <c r="F346" t="s">
        <v>1741</v>
      </c>
      <c r="G346">
        <f>_xlfn.XLOOKUP(A346,FTD!A:A,FTD!C:C)</f>
        <v>1000</v>
      </c>
      <c r="H346" cm="1">
        <f t="array" ref="H346">_xlfn.LET(
  _xlpm.s, TRIM(F346),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6" t="str">
        <f>_xlfn.XLOOKUP(E346,Calendar!C:C,Calendar!B:B)</f>
        <v>Working Day</v>
      </c>
      <c r="M346" s="2">
        <v>46219</v>
      </c>
      <c r="N346" t="s">
        <v>1395</v>
      </c>
      <c r="O346" t="s">
        <v>1789</v>
      </c>
      <c r="P346">
        <v>1</v>
      </c>
      <c r="Q346" t="str">
        <f>_xlfn.XLOOKUP(N346,Attendance!F:F,Attendance!J:J)</f>
        <v>OJT 1</v>
      </c>
      <c r="R346">
        <f t="shared" si="11"/>
        <v>0</v>
      </c>
    </row>
    <row r="347" spans="1:18" x14ac:dyDescent="0.25">
      <c r="A347" t="s">
        <v>347</v>
      </c>
      <c r="B347" t="s">
        <v>1384</v>
      </c>
      <c r="C347" t="s">
        <v>1391</v>
      </c>
      <c r="D347" s="2">
        <v>46224.678043981483</v>
      </c>
      <c r="E347" s="2">
        <f t="shared" si="10"/>
        <v>46224</v>
      </c>
      <c r="F347" t="s">
        <v>1706</v>
      </c>
      <c r="G347">
        <f>_xlfn.XLOOKUP(A347,FTD!A:A,FTD!C:C)</f>
        <v>10000</v>
      </c>
      <c r="H347" cm="1">
        <f t="array" ref="H347">_xlfn.LET(
  _xlpm.s, TRIM(F347),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47" t="str">
        <f>_xlfn.XLOOKUP(E347,Calendar!C:C,Calendar!B:B)</f>
        <v>Working Day</v>
      </c>
      <c r="M347" s="2">
        <v>46219</v>
      </c>
      <c r="N347" t="s">
        <v>1407</v>
      </c>
      <c r="O347" t="s">
        <v>1789</v>
      </c>
      <c r="P347">
        <v>1</v>
      </c>
      <c r="Q347" t="str">
        <f>_xlfn.XLOOKUP(N347,Attendance!F:F,Attendance!J:J)</f>
        <v>Meta</v>
      </c>
      <c r="R347">
        <f t="shared" si="11"/>
        <v>0</v>
      </c>
    </row>
    <row r="348" spans="1:18" x14ac:dyDescent="0.25">
      <c r="A348" t="s">
        <v>348</v>
      </c>
      <c r="B348" t="s">
        <v>1384</v>
      </c>
      <c r="C348" t="s">
        <v>1412</v>
      </c>
      <c r="D348" s="2">
        <v>46216.191284722219</v>
      </c>
      <c r="E348" s="2">
        <f t="shared" si="10"/>
        <v>46216</v>
      </c>
      <c r="F348" t="s">
        <v>1738</v>
      </c>
      <c r="G348">
        <f>_xlfn.XLOOKUP(A348,FTD!A:A,FTD!C:C)</f>
        <v>2000</v>
      </c>
      <c r="H348" cm="1">
        <f t="array" ref="H348">_xlfn.LET(
  _xlpm.s, TRIM(F348),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48" t="str">
        <f>_xlfn.XLOOKUP(E348,Calendar!C:C,Calendar!B:B)</f>
        <v>Working Day</v>
      </c>
      <c r="M348" s="2">
        <v>46219</v>
      </c>
      <c r="N348" t="s">
        <v>1396</v>
      </c>
      <c r="O348" t="s">
        <v>1789</v>
      </c>
      <c r="P348">
        <v>2</v>
      </c>
      <c r="Q348" t="str">
        <f>_xlfn.XLOOKUP(N348,Attendance!F:F,Attendance!J:J)</f>
        <v>Telegram</v>
      </c>
      <c r="R348">
        <f t="shared" si="11"/>
        <v>0</v>
      </c>
    </row>
    <row r="349" spans="1:18" x14ac:dyDescent="0.25">
      <c r="A349" t="s">
        <v>349</v>
      </c>
      <c r="B349" t="s">
        <v>1384</v>
      </c>
      <c r="C349" t="s">
        <v>1400</v>
      </c>
      <c r="D349" s="2">
        <v>46232.46398148148</v>
      </c>
      <c r="E349" s="2">
        <f t="shared" si="10"/>
        <v>46232</v>
      </c>
      <c r="F349" t="s">
        <v>1746</v>
      </c>
      <c r="G349">
        <f>_xlfn.XLOOKUP(A349,FTD!A:A,FTD!C:C)</f>
        <v>1000</v>
      </c>
      <c r="H349" cm="1">
        <f t="array" ref="H349">_xlfn.LET(
  _xlpm.s, TRIM(F349),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49" t="str">
        <f>_xlfn.XLOOKUP(E349,Calendar!C:C,Calendar!B:B)</f>
        <v>Working Day</v>
      </c>
      <c r="M349" s="2">
        <v>46219</v>
      </c>
      <c r="N349" t="s">
        <v>1412</v>
      </c>
      <c r="O349" t="s">
        <v>1789</v>
      </c>
      <c r="P349">
        <v>2</v>
      </c>
      <c r="Q349" t="str">
        <f>_xlfn.XLOOKUP(N349,Attendance!F:F,Attendance!J:J)</f>
        <v>1</v>
      </c>
      <c r="R349">
        <f t="shared" si="11"/>
        <v>0</v>
      </c>
    </row>
    <row r="350" spans="1:18" x14ac:dyDescent="0.25">
      <c r="A350" t="s">
        <v>350</v>
      </c>
      <c r="B350" t="s">
        <v>1384</v>
      </c>
      <c r="C350" t="s">
        <v>1410</v>
      </c>
      <c r="D350" s="2">
        <v>46218.863206018519</v>
      </c>
      <c r="E350" s="2">
        <f t="shared" si="10"/>
        <v>46218</v>
      </c>
      <c r="F350" t="s">
        <v>1738</v>
      </c>
      <c r="G350">
        <f>_xlfn.XLOOKUP(A350,FTD!A:A,FTD!C:C)</f>
        <v>5000</v>
      </c>
      <c r="H350" cm="1">
        <f t="array" ref="H350">_xlfn.LET(
  _xlpm.s, TRIM(F350),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0" t="str">
        <f>_xlfn.XLOOKUP(E350,Calendar!C:C,Calendar!B:B)</f>
        <v>Working Day</v>
      </c>
      <c r="M350" s="2">
        <v>46219</v>
      </c>
      <c r="N350" t="s">
        <v>1424</v>
      </c>
      <c r="O350" t="s">
        <v>1789</v>
      </c>
      <c r="P350">
        <v>2</v>
      </c>
      <c r="Q350" t="str">
        <f>_xlfn.XLOOKUP(N350,Attendance!F:F,Attendance!J:J)</f>
        <v>New OJT</v>
      </c>
      <c r="R350">
        <f t="shared" si="11"/>
        <v>0</v>
      </c>
    </row>
    <row r="351" spans="1:18" x14ac:dyDescent="0.25">
      <c r="A351" t="s">
        <v>351</v>
      </c>
      <c r="B351" t="s">
        <v>1384</v>
      </c>
      <c r="C351" t="s">
        <v>1393</v>
      </c>
      <c r="D351" s="2">
        <v>46226.597777777773</v>
      </c>
      <c r="E351" s="2">
        <f t="shared" si="10"/>
        <v>46226</v>
      </c>
      <c r="F351" t="s">
        <v>1738</v>
      </c>
      <c r="G351">
        <f>_xlfn.XLOOKUP(A351,FTD!A:A,FTD!C:C)</f>
        <v>1000</v>
      </c>
      <c r="H351" cm="1">
        <f t="array" ref="H351">_xlfn.LET(
  _xlpm.s, TRIM(F351),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1" t="str">
        <f>_xlfn.XLOOKUP(E351,Calendar!C:C,Calendar!B:B)</f>
        <v>Working Day</v>
      </c>
      <c r="M351" s="2">
        <v>46219</v>
      </c>
      <c r="N351" t="s">
        <v>1406</v>
      </c>
      <c r="O351" t="s">
        <v>1789</v>
      </c>
      <c r="P351">
        <v>2</v>
      </c>
      <c r="Q351" t="str">
        <f>_xlfn.XLOOKUP(N351,Attendance!F:F,Attendance!J:J)</f>
        <v>1</v>
      </c>
      <c r="R351">
        <f t="shared" si="11"/>
        <v>0</v>
      </c>
    </row>
    <row r="352" spans="1:18" x14ac:dyDescent="0.25">
      <c r="A352" t="s">
        <v>352</v>
      </c>
      <c r="B352" t="s">
        <v>1384</v>
      </c>
      <c r="C352" t="s">
        <v>1431</v>
      </c>
      <c r="D352" s="2">
        <v>46212.661585648144</v>
      </c>
      <c r="E352" s="2">
        <f t="shared" si="10"/>
        <v>46212</v>
      </c>
      <c r="F352" t="s">
        <v>1758</v>
      </c>
      <c r="G352">
        <f>_xlfn.XLOOKUP(A352,FTD!A:A,FTD!C:C)</f>
        <v>20000</v>
      </c>
      <c r="H352" cm="1">
        <f t="array" ref="H352">_xlfn.LET(
  _xlpm.s, TRIM(F352),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2" t="str">
        <f>_xlfn.XLOOKUP(E352,Calendar!C:C,Calendar!B:B)</f>
        <v>Working Day</v>
      </c>
      <c r="M352" s="2">
        <v>46219</v>
      </c>
      <c r="N352" t="s">
        <v>1434</v>
      </c>
      <c r="O352" t="s">
        <v>1789</v>
      </c>
      <c r="P352">
        <v>1</v>
      </c>
      <c r="Q352" t="str">
        <f>_xlfn.XLOOKUP(N352,Attendance!F:F,Attendance!J:J)</f>
        <v>OJT 2</v>
      </c>
      <c r="R352">
        <f t="shared" si="11"/>
        <v>0</v>
      </c>
    </row>
    <row r="353" spans="1:18" x14ac:dyDescent="0.25">
      <c r="A353" t="s">
        <v>353</v>
      </c>
      <c r="B353" t="s">
        <v>1384</v>
      </c>
      <c r="C353" t="s">
        <v>1390</v>
      </c>
      <c r="D353" s="2">
        <v>46232.46256944444</v>
      </c>
      <c r="E353" s="2">
        <f t="shared" si="10"/>
        <v>46232</v>
      </c>
      <c r="F353" t="s">
        <v>1738</v>
      </c>
      <c r="G353">
        <f>_xlfn.XLOOKUP(A353,FTD!A:A,FTD!C:C)</f>
        <v>27000</v>
      </c>
      <c r="H353" cm="1">
        <f t="array" ref="H353">_xlfn.LET(
  _xlpm.s, TRIM(F353),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3" t="str">
        <f>_xlfn.XLOOKUP(E353,Calendar!C:C,Calendar!B:B)</f>
        <v>Working Day</v>
      </c>
      <c r="M353" s="2">
        <v>46219</v>
      </c>
      <c r="N353" t="s">
        <v>1426</v>
      </c>
      <c r="O353" t="s">
        <v>1789</v>
      </c>
      <c r="P353">
        <v>2</v>
      </c>
      <c r="Q353" t="str">
        <f>_xlfn.XLOOKUP(N353,Attendance!F:F,Attendance!J:J)</f>
        <v>OJT 2</v>
      </c>
      <c r="R353">
        <f t="shared" si="11"/>
        <v>0</v>
      </c>
    </row>
    <row r="354" spans="1:18" x14ac:dyDescent="0.25">
      <c r="A354" t="s">
        <v>354</v>
      </c>
      <c r="B354" t="s">
        <v>1384</v>
      </c>
      <c r="C354" t="s">
        <v>1396</v>
      </c>
      <c r="D354" s="2">
        <v>46217.503645833334</v>
      </c>
      <c r="E354" s="2">
        <f t="shared" si="10"/>
        <v>46217</v>
      </c>
      <c r="F354" t="s">
        <v>1746</v>
      </c>
      <c r="G354">
        <f>_xlfn.XLOOKUP(A354,FTD!A:A,FTD!C:C)</f>
        <v>3000</v>
      </c>
      <c r="H354" cm="1">
        <f t="array" ref="H354">_xlfn.LET(
  _xlpm.s, TRIM(F354),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54" t="str">
        <f>_xlfn.XLOOKUP(E354,Calendar!C:C,Calendar!B:B)</f>
        <v>Working Day</v>
      </c>
      <c r="M354" s="2">
        <v>46219</v>
      </c>
      <c r="N354" t="s">
        <v>1431</v>
      </c>
      <c r="O354" t="s">
        <v>1789</v>
      </c>
      <c r="P354">
        <v>1</v>
      </c>
      <c r="Q354" t="str">
        <f>_xlfn.XLOOKUP(N354,Attendance!F:F,Attendance!J:J)</f>
        <v>Telegram</v>
      </c>
      <c r="R354">
        <f t="shared" si="11"/>
        <v>0</v>
      </c>
    </row>
    <row r="355" spans="1:18" x14ac:dyDescent="0.25">
      <c r="A355" t="s">
        <v>355</v>
      </c>
      <c r="B355" t="s">
        <v>1387</v>
      </c>
      <c r="C355" t="s">
        <v>1406</v>
      </c>
      <c r="D355" s="2">
        <v>46204.787731481483</v>
      </c>
      <c r="E355" s="2">
        <f t="shared" si="10"/>
        <v>46204</v>
      </c>
      <c r="F355" t="s">
        <v>1738</v>
      </c>
      <c r="G355">
        <f>_xlfn.XLOOKUP(A355,FTD!A:A,FTD!C:C)</f>
        <v>1000</v>
      </c>
      <c r="H355" cm="1">
        <f t="array" ref="H355">_xlfn.LET(
  _xlpm.s, TRIM(F355),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5" t="str">
        <f>_xlfn.XLOOKUP(E355,Calendar!C:C,Calendar!B:B)</f>
        <v>Working Day</v>
      </c>
      <c r="M355" s="2">
        <v>46219</v>
      </c>
      <c r="N355" t="s">
        <v>1430</v>
      </c>
      <c r="O355" t="s">
        <v>1789</v>
      </c>
      <c r="P355">
        <v>1</v>
      </c>
      <c r="Q355" t="str">
        <f>_xlfn.XLOOKUP(N355,Attendance!F:F,Attendance!J:J)</f>
        <v>Telegram</v>
      </c>
      <c r="R355">
        <f t="shared" si="11"/>
        <v>0</v>
      </c>
    </row>
    <row r="356" spans="1:18" x14ac:dyDescent="0.25">
      <c r="A356" t="s">
        <v>356</v>
      </c>
      <c r="B356" t="s">
        <v>1387</v>
      </c>
      <c r="C356" t="s">
        <v>1430</v>
      </c>
      <c r="D356" s="2">
        <v>46204.82677083333</v>
      </c>
      <c r="E356" s="2">
        <f t="shared" si="10"/>
        <v>46204</v>
      </c>
      <c r="F356" t="s">
        <v>1743</v>
      </c>
      <c r="G356">
        <f>_xlfn.XLOOKUP(A356,FTD!A:A,FTD!C:C)</f>
        <v>1000</v>
      </c>
      <c r="H356" cm="1">
        <f t="array" ref="H356">_xlfn.LET(
  _xlpm.s, TRIM(F356),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6" t="str">
        <f>_xlfn.XLOOKUP(E356,Calendar!C:C,Calendar!B:B)</f>
        <v>Working Day</v>
      </c>
      <c r="M356" s="2">
        <v>46219</v>
      </c>
      <c r="N356" t="s">
        <v>1402</v>
      </c>
      <c r="O356" t="s">
        <v>1789</v>
      </c>
      <c r="P356">
        <v>5</v>
      </c>
      <c r="Q356" t="str">
        <f>_xlfn.XLOOKUP(N356,Attendance!F:F,Attendance!J:J)</f>
        <v>1</v>
      </c>
      <c r="R356">
        <f t="shared" si="11"/>
        <v>0</v>
      </c>
    </row>
    <row r="357" spans="1:18" x14ac:dyDescent="0.25">
      <c r="A357" t="s">
        <v>357</v>
      </c>
      <c r="B357" t="s">
        <v>1387</v>
      </c>
      <c r="C357" t="s">
        <v>1397</v>
      </c>
      <c r="D357" s="2">
        <v>46205.572974537034</v>
      </c>
      <c r="E357" s="2">
        <f t="shared" si="10"/>
        <v>46205</v>
      </c>
      <c r="F357" t="s">
        <v>1738</v>
      </c>
      <c r="G357">
        <f>_xlfn.XLOOKUP(A357,FTD!A:A,FTD!C:C)</f>
        <v>2500</v>
      </c>
      <c r="H357" cm="1">
        <f t="array" ref="H357">_xlfn.LET(
  _xlpm.s, TRIM(F357),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7" t="str">
        <f>_xlfn.XLOOKUP(E357,Calendar!C:C,Calendar!B:B)</f>
        <v>Working Day</v>
      </c>
      <c r="M357" s="2">
        <v>46219</v>
      </c>
      <c r="N357" t="s">
        <v>1391</v>
      </c>
      <c r="O357" t="s">
        <v>1789</v>
      </c>
      <c r="P357">
        <v>3</v>
      </c>
      <c r="Q357" t="str">
        <f>_xlfn.XLOOKUP(N357,Attendance!F:F,Attendance!J:J)</f>
        <v>Dialer</v>
      </c>
      <c r="R357">
        <f t="shared" si="11"/>
        <v>500</v>
      </c>
    </row>
    <row r="358" spans="1:18" x14ac:dyDescent="0.25">
      <c r="A358" t="s">
        <v>358</v>
      </c>
      <c r="B358" t="s">
        <v>1387</v>
      </c>
      <c r="C358" t="s">
        <v>1433</v>
      </c>
      <c r="D358" s="2">
        <v>46211.634155092594</v>
      </c>
      <c r="E358" s="2">
        <f t="shared" si="10"/>
        <v>46211</v>
      </c>
      <c r="F358" t="s">
        <v>1738</v>
      </c>
      <c r="G358">
        <f>_xlfn.XLOOKUP(A358,FTD!A:A,FTD!C:C)</f>
        <v>2000</v>
      </c>
      <c r="H358" cm="1">
        <f t="array" ref="H358">_xlfn.LET(
  _xlpm.s, TRIM(F358),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8" t="str">
        <f>_xlfn.XLOOKUP(E358,Calendar!C:C,Calendar!B:B)</f>
        <v>Working Day</v>
      </c>
      <c r="M358" s="2">
        <v>46219</v>
      </c>
      <c r="N358" t="s">
        <v>1392</v>
      </c>
      <c r="O358" t="s">
        <v>1789</v>
      </c>
      <c r="P358">
        <v>1</v>
      </c>
      <c r="Q358" t="str">
        <f>_xlfn.XLOOKUP(N358,Attendance!F:F,Attendance!J:J)</f>
        <v>Telegram</v>
      </c>
      <c r="R358">
        <f t="shared" si="11"/>
        <v>0</v>
      </c>
    </row>
    <row r="359" spans="1:18" x14ac:dyDescent="0.25">
      <c r="A359" t="s">
        <v>359</v>
      </c>
      <c r="B359" t="s">
        <v>1387</v>
      </c>
      <c r="C359" t="s">
        <v>1412</v>
      </c>
      <c r="D359" s="2">
        <v>46216.490243055552</v>
      </c>
      <c r="E359" s="2">
        <f t="shared" si="10"/>
        <v>46216</v>
      </c>
      <c r="F359" t="s">
        <v>1738</v>
      </c>
      <c r="G359">
        <f>_xlfn.XLOOKUP(A359,FTD!A:A,FTD!C:C)</f>
        <v>2000</v>
      </c>
      <c r="H359" cm="1">
        <f t="array" ref="H359">_xlfn.LET(
  _xlpm.s, TRIM(F359),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59" t="str">
        <f>_xlfn.XLOOKUP(E359,Calendar!C:C,Calendar!B:B)</f>
        <v>Working Day</v>
      </c>
      <c r="M359" s="2">
        <v>46219</v>
      </c>
      <c r="N359" t="s">
        <v>1410</v>
      </c>
      <c r="O359" t="s">
        <v>1789</v>
      </c>
      <c r="P359">
        <v>1</v>
      </c>
      <c r="Q359" t="str">
        <f>_xlfn.XLOOKUP(N359,Attendance!F:F,Attendance!J:J)</f>
        <v>New OJT</v>
      </c>
      <c r="R359">
        <f t="shared" si="11"/>
        <v>0</v>
      </c>
    </row>
    <row r="360" spans="1:18" x14ac:dyDescent="0.25">
      <c r="A360" t="s">
        <v>360</v>
      </c>
      <c r="B360" t="s">
        <v>1387</v>
      </c>
      <c r="C360" t="s">
        <v>1398</v>
      </c>
      <c r="D360" s="2">
        <v>46234.599895833329</v>
      </c>
      <c r="E360" s="2">
        <f t="shared" si="10"/>
        <v>46234</v>
      </c>
      <c r="F360" t="s">
        <v>1738</v>
      </c>
      <c r="G360">
        <f>_xlfn.XLOOKUP(A360,FTD!A:A,FTD!C:C)</f>
        <v>1000</v>
      </c>
      <c r="H360" cm="1">
        <f t="array" ref="H360">_xlfn.LET(
  _xlpm.s, TRIM(F360),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0" t="str">
        <f>_xlfn.XLOOKUP(E360,Calendar!C:C,Calendar!B:B)</f>
        <v>Working Day</v>
      </c>
      <c r="M360" s="2">
        <v>46219</v>
      </c>
      <c r="N360" t="s">
        <v>1409</v>
      </c>
      <c r="O360" t="s">
        <v>1789</v>
      </c>
      <c r="P360">
        <v>1</v>
      </c>
      <c r="Q360" t="str">
        <f>_xlfn.XLOOKUP(N360,Attendance!F:F,Attendance!J:J)</f>
        <v>Dialer</v>
      </c>
      <c r="R360">
        <f t="shared" si="11"/>
        <v>0</v>
      </c>
    </row>
    <row r="361" spans="1:18" x14ac:dyDescent="0.25">
      <c r="A361" t="s">
        <v>361</v>
      </c>
      <c r="B361" t="s">
        <v>1387</v>
      </c>
      <c r="C361" t="s">
        <v>1412</v>
      </c>
      <c r="D361" s="2">
        <v>46211.575601851851</v>
      </c>
      <c r="E361" s="2">
        <f t="shared" si="10"/>
        <v>46211</v>
      </c>
      <c r="F361" t="s">
        <v>1738</v>
      </c>
      <c r="G361">
        <f>_xlfn.XLOOKUP(A361,FTD!A:A,FTD!C:C)</f>
        <v>1000</v>
      </c>
      <c r="H361" cm="1">
        <f t="array" ref="H361">_xlfn.LET(
  _xlpm.s, TRIM(F361),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1" t="str">
        <f>_xlfn.XLOOKUP(E361,Calendar!C:C,Calendar!B:B)</f>
        <v>Working Day</v>
      </c>
      <c r="M361" s="2">
        <v>46219</v>
      </c>
      <c r="N361" t="s">
        <v>1399</v>
      </c>
      <c r="O361" t="s">
        <v>1789</v>
      </c>
      <c r="P361">
        <v>4</v>
      </c>
      <c r="Q361" t="str">
        <f>_xlfn.XLOOKUP(N361,Attendance!F:F,Attendance!J:J)</f>
        <v>1</v>
      </c>
      <c r="R361">
        <f t="shared" si="11"/>
        <v>0</v>
      </c>
    </row>
    <row r="362" spans="1:18" x14ac:dyDescent="0.25">
      <c r="A362" t="s">
        <v>362</v>
      </c>
      <c r="B362" t="s">
        <v>1387</v>
      </c>
      <c r="C362" t="s">
        <v>1402</v>
      </c>
      <c r="D362" s="2">
        <v>46231.392511574071</v>
      </c>
      <c r="E362" s="2">
        <f t="shared" si="10"/>
        <v>46231</v>
      </c>
      <c r="F362" t="s">
        <v>1738</v>
      </c>
      <c r="G362">
        <f>_xlfn.XLOOKUP(A362,FTD!A:A,FTD!C:C)</f>
        <v>1000</v>
      </c>
      <c r="H362" cm="1">
        <f t="array" ref="H362">_xlfn.LET(
  _xlpm.s, TRIM(F362),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2" t="str">
        <f>_xlfn.XLOOKUP(E362,Calendar!C:C,Calendar!B:B)</f>
        <v>Working Day</v>
      </c>
      <c r="M362" s="2">
        <v>46219</v>
      </c>
      <c r="N362" t="s">
        <v>1437</v>
      </c>
      <c r="O362" t="s">
        <v>1789</v>
      </c>
      <c r="P362">
        <v>1</v>
      </c>
      <c r="Q362" t="str">
        <f>_xlfn.XLOOKUP(N362,Attendance!F:F,Attendance!J:J)</f>
        <v>OJT4</v>
      </c>
      <c r="R362">
        <f t="shared" si="11"/>
        <v>0</v>
      </c>
    </row>
    <row r="363" spans="1:18" x14ac:dyDescent="0.25">
      <c r="A363" t="s">
        <v>363</v>
      </c>
      <c r="B363" t="s">
        <v>1387</v>
      </c>
      <c r="C363" t="s">
        <v>1408</v>
      </c>
      <c r="D363" s="2">
        <v>46226.862534722219</v>
      </c>
      <c r="E363" s="2">
        <f t="shared" si="10"/>
        <v>46226</v>
      </c>
      <c r="F363" t="s">
        <v>1738</v>
      </c>
      <c r="G363">
        <f>_xlfn.XLOOKUP(A363,FTD!A:A,FTD!C:C)</f>
        <v>1000</v>
      </c>
      <c r="H363" cm="1">
        <f t="array" ref="H363">_xlfn.LET(
  _xlpm.s, TRIM(F363),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3" t="str">
        <f>_xlfn.XLOOKUP(E363,Calendar!C:C,Calendar!B:B)</f>
        <v>Working Day</v>
      </c>
      <c r="M363" s="2">
        <v>46219</v>
      </c>
      <c r="N363" t="s">
        <v>1428</v>
      </c>
      <c r="O363" t="s">
        <v>1789</v>
      </c>
      <c r="P363">
        <v>2</v>
      </c>
      <c r="Q363" t="str">
        <f>_xlfn.XLOOKUP(N363,Attendance!F:F,Attendance!J:J)</f>
        <v>OLD OJT</v>
      </c>
      <c r="R363">
        <f t="shared" si="11"/>
        <v>0</v>
      </c>
    </row>
    <row r="364" spans="1:18" x14ac:dyDescent="0.25">
      <c r="A364" t="s">
        <v>364</v>
      </c>
      <c r="B364" t="s">
        <v>1387</v>
      </c>
      <c r="C364" t="s">
        <v>1408</v>
      </c>
      <c r="D364" s="2">
        <v>46217.583391203705</v>
      </c>
      <c r="E364" s="2">
        <f t="shared" si="10"/>
        <v>46217</v>
      </c>
      <c r="F364" t="s">
        <v>1738</v>
      </c>
      <c r="G364">
        <f>_xlfn.XLOOKUP(A364,FTD!A:A,FTD!C:C)</f>
        <v>38480</v>
      </c>
      <c r="H364" cm="1">
        <f t="array" ref="H364">_xlfn.LET(
  _xlpm.s, TRIM(F364),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4" t="str">
        <f>_xlfn.XLOOKUP(E364,Calendar!C:C,Calendar!B:B)</f>
        <v>Working Day</v>
      </c>
      <c r="M364" s="2">
        <v>46219</v>
      </c>
      <c r="N364" t="s">
        <v>1408</v>
      </c>
      <c r="O364" t="s">
        <v>1789</v>
      </c>
      <c r="P364">
        <v>2</v>
      </c>
      <c r="Q364" t="str">
        <f>_xlfn.XLOOKUP(N364,Attendance!F:F,Attendance!J:J)</f>
        <v>1</v>
      </c>
      <c r="R364">
        <f t="shared" si="11"/>
        <v>0</v>
      </c>
    </row>
    <row r="365" spans="1:18" x14ac:dyDescent="0.25">
      <c r="A365" t="s">
        <v>365</v>
      </c>
      <c r="B365" t="s">
        <v>1387</v>
      </c>
      <c r="C365" t="s">
        <v>1398</v>
      </c>
      <c r="D365" s="2">
        <v>46225.791365740741</v>
      </c>
      <c r="E365" s="2">
        <f t="shared" si="10"/>
        <v>46225</v>
      </c>
      <c r="F365" t="s">
        <v>1738</v>
      </c>
      <c r="G365">
        <f>_xlfn.XLOOKUP(A365,FTD!A:A,FTD!C:C)</f>
        <v>1000</v>
      </c>
      <c r="H365" cm="1">
        <f t="array" ref="H365">_xlfn.LET(
  _xlpm.s, TRIM(F365),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5" t="str">
        <f>_xlfn.XLOOKUP(E365,Calendar!C:C,Calendar!B:B)</f>
        <v>Working Day</v>
      </c>
      <c r="M365" s="2">
        <v>46220</v>
      </c>
      <c r="N365" t="s">
        <v>1403</v>
      </c>
      <c r="O365" t="s">
        <v>1789</v>
      </c>
      <c r="P365">
        <v>1</v>
      </c>
      <c r="Q365" t="str">
        <f>_xlfn.XLOOKUP(N365,Attendance!F:F,Attendance!J:J)</f>
        <v>Meta</v>
      </c>
      <c r="R365">
        <f t="shared" si="11"/>
        <v>0</v>
      </c>
    </row>
    <row r="366" spans="1:18" x14ac:dyDescent="0.25">
      <c r="A366" t="s">
        <v>366</v>
      </c>
      <c r="B366" t="s">
        <v>1387</v>
      </c>
      <c r="C366" t="s">
        <v>1389</v>
      </c>
      <c r="D366" s="2">
        <v>46209.547071759254</v>
      </c>
      <c r="E366" s="2">
        <f t="shared" si="10"/>
        <v>46209</v>
      </c>
      <c r="F366" t="s">
        <v>1743</v>
      </c>
      <c r="G366">
        <f>_xlfn.XLOOKUP(A366,FTD!A:A,FTD!C:C)</f>
        <v>1000</v>
      </c>
      <c r="H366" cm="1">
        <f t="array" ref="H366">_xlfn.LET(
  _xlpm.s, TRIM(F366),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6" t="str">
        <f>_xlfn.XLOOKUP(E366,Calendar!C:C,Calendar!B:B)</f>
        <v>Working Day</v>
      </c>
      <c r="M366" s="2">
        <v>46220</v>
      </c>
      <c r="N366" t="s">
        <v>1436</v>
      </c>
      <c r="O366" t="s">
        <v>1789</v>
      </c>
      <c r="P366">
        <v>2</v>
      </c>
      <c r="Q366" t="str">
        <f>_xlfn.XLOOKUP(N366,Attendance!F:F,Attendance!J:J)</f>
        <v>Telegram</v>
      </c>
      <c r="R366">
        <f t="shared" si="11"/>
        <v>0</v>
      </c>
    </row>
    <row r="367" spans="1:18" x14ac:dyDescent="0.25">
      <c r="A367" t="s">
        <v>367</v>
      </c>
      <c r="B367" t="s">
        <v>1387</v>
      </c>
      <c r="C367" t="s">
        <v>1408</v>
      </c>
      <c r="D367" s="2">
        <v>46212.391736111109</v>
      </c>
      <c r="E367" s="2">
        <f t="shared" si="10"/>
        <v>46212</v>
      </c>
      <c r="F367" t="s">
        <v>1738</v>
      </c>
      <c r="G367">
        <f>_xlfn.XLOOKUP(A367,FTD!A:A,FTD!C:C)</f>
        <v>1000</v>
      </c>
      <c r="H367" cm="1">
        <f t="array" ref="H367">_xlfn.LET(
  _xlpm.s, TRIM(F367),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7" t="str">
        <f>_xlfn.XLOOKUP(E367,Calendar!C:C,Calendar!B:B)</f>
        <v>Working Day</v>
      </c>
      <c r="M367" s="2">
        <v>46220</v>
      </c>
      <c r="N367" t="s">
        <v>1388</v>
      </c>
      <c r="O367" t="s">
        <v>1789</v>
      </c>
      <c r="P367">
        <v>2</v>
      </c>
      <c r="Q367" t="str">
        <f>_xlfn.XLOOKUP(N367,Attendance!F:F,Attendance!J:J)</f>
        <v>Telegram</v>
      </c>
      <c r="R367">
        <f t="shared" si="11"/>
        <v>0</v>
      </c>
    </row>
    <row r="368" spans="1:18" x14ac:dyDescent="0.25">
      <c r="A368" t="s">
        <v>368</v>
      </c>
      <c r="B368" t="s">
        <v>1387</v>
      </c>
      <c r="C368" t="s">
        <v>1436</v>
      </c>
      <c r="D368" s="2">
        <v>46231.275173611109</v>
      </c>
      <c r="E368" s="2">
        <f t="shared" si="10"/>
        <v>46231</v>
      </c>
      <c r="F368" t="s">
        <v>1739</v>
      </c>
      <c r="G368">
        <f>_xlfn.XLOOKUP(A368,FTD!A:A,FTD!C:C)</f>
        <v>1001</v>
      </c>
      <c r="H368" cm="1">
        <f t="array" ref="H368">_xlfn.LET(
  _xlpm.s, TRIM(F368),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68" t="str">
        <f>_xlfn.XLOOKUP(E368,Calendar!C:C,Calendar!B:B)</f>
        <v>Working Day</v>
      </c>
      <c r="M368" s="2">
        <v>46220</v>
      </c>
      <c r="N368" t="s">
        <v>1415</v>
      </c>
      <c r="O368" t="s">
        <v>1789</v>
      </c>
      <c r="P368">
        <v>2</v>
      </c>
      <c r="Q368" t="str">
        <f>_xlfn.XLOOKUP(N368,Attendance!F:F,Attendance!J:J)</f>
        <v>Meta</v>
      </c>
      <c r="R368">
        <f t="shared" si="11"/>
        <v>0</v>
      </c>
    </row>
    <row r="369" spans="1:18" x14ac:dyDescent="0.25">
      <c r="A369" t="s">
        <v>369</v>
      </c>
      <c r="B369" t="s">
        <v>1387</v>
      </c>
      <c r="C369" t="s">
        <v>1408</v>
      </c>
      <c r="D369" s="2">
        <v>46224.389687499999</v>
      </c>
      <c r="E369" s="2">
        <f t="shared" si="10"/>
        <v>46224</v>
      </c>
      <c r="F369" t="s">
        <v>1738</v>
      </c>
      <c r="G369">
        <f>_xlfn.XLOOKUP(A369,FTD!A:A,FTD!C:C)</f>
        <v>3000</v>
      </c>
      <c r="H369" cm="1">
        <f t="array" ref="H369">_xlfn.LET(
  _xlpm.s, TRIM(F369),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69" t="str">
        <f>_xlfn.XLOOKUP(E369,Calendar!C:C,Calendar!B:B)</f>
        <v>Working Day</v>
      </c>
      <c r="M369" s="2">
        <v>46220</v>
      </c>
      <c r="N369" t="s">
        <v>1433</v>
      </c>
      <c r="O369" t="s">
        <v>1789</v>
      </c>
      <c r="P369">
        <v>2</v>
      </c>
      <c r="Q369" t="str">
        <f>_xlfn.XLOOKUP(N369,Attendance!F:F,Attendance!J:J)</f>
        <v>Meta</v>
      </c>
      <c r="R369">
        <f t="shared" si="11"/>
        <v>0</v>
      </c>
    </row>
    <row r="370" spans="1:18" x14ac:dyDescent="0.25">
      <c r="A370" t="s">
        <v>370</v>
      </c>
      <c r="B370" t="s">
        <v>1387</v>
      </c>
      <c r="C370" t="s">
        <v>1407</v>
      </c>
      <c r="D370" s="2">
        <v>46227.871516203704</v>
      </c>
      <c r="E370" s="2">
        <f t="shared" si="10"/>
        <v>46227</v>
      </c>
      <c r="F370" t="s">
        <v>1739</v>
      </c>
      <c r="G370">
        <f>_xlfn.XLOOKUP(A370,FTD!A:A,FTD!C:C)</f>
        <v>1000</v>
      </c>
      <c r="H370" cm="1">
        <f t="array" ref="H370">_xlfn.LET(
  _xlpm.s, TRIM(F370),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70" t="str">
        <f>_xlfn.XLOOKUP(E370,Calendar!C:C,Calendar!B:B)</f>
        <v>Working Day</v>
      </c>
      <c r="M370" s="2">
        <v>46220</v>
      </c>
      <c r="N370" t="s">
        <v>1398</v>
      </c>
      <c r="O370" t="s">
        <v>1789</v>
      </c>
      <c r="P370">
        <v>1</v>
      </c>
      <c r="Q370" t="str">
        <f>_xlfn.XLOOKUP(N370,Attendance!F:F,Attendance!J:J)</f>
        <v>1</v>
      </c>
      <c r="R370">
        <f t="shared" si="11"/>
        <v>0</v>
      </c>
    </row>
    <row r="371" spans="1:18" x14ac:dyDescent="0.25">
      <c r="A371" t="s">
        <v>371</v>
      </c>
      <c r="B371" t="s">
        <v>1387</v>
      </c>
      <c r="C371" t="s">
        <v>1398</v>
      </c>
      <c r="D371" s="2">
        <v>46230.855381944442</v>
      </c>
      <c r="E371" s="2">
        <f t="shared" si="10"/>
        <v>46230</v>
      </c>
      <c r="F371" t="s">
        <v>1739</v>
      </c>
      <c r="G371">
        <f>_xlfn.XLOOKUP(A371,FTD!A:A,FTD!C:C)</f>
        <v>20000</v>
      </c>
      <c r="H371" cm="1">
        <f t="array" ref="H371">_xlfn.LET(
  _xlpm.s, TRIM(F371),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71" t="str">
        <f>_xlfn.XLOOKUP(E371,Calendar!C:C,Calendar!B:B)</f>
        <v>Working Day</v>
      </c>
      <c r="M371" s="2">
        <v>46220</v>
      </c>
      <c r="N371" t="s">
        <v>1413</v>
      </c>
      <c r="O371" t="s">
        <v>1789</v>
      </c>
      <c r="P371">
        <v>2</v>
      </c>
      <c r="Q371" t="str">
        <f>_xlfn.XLOOKUP(N371,Attendance!F:F,Attendance!J:J)</f>
        <v>Dialer</v>
      </c>
      <c r="R371">
        <f t="shared" si="11"/>
        <v>0</v>
      </c>
    </row>
    <row r="372" spans="1:18" x14ac:dyDescent="0.25">
      <c r="A372" t="s">
        <v>372</v>
      </c>
      <c r="B372" t="s">
        <v>1387</v>
      </c>
      <c r="C372" t="s">
        <v>1412</v>
      </c>
      <c r="D372" s="2">
        <v>46225.521643518514</v>
      </c>
      <c r="E372" s="2">
        <f t="shared" si="10"/>
        <v>46225</v>
      </c>
      <c r="F372" t="s">
        <v>1738</v>
      </c>
      <c r="G372">
        <f>_xlfn.XLOOKUP(A372,FTD!A:A,FTD!C:C)</f>
        <v>10000</v>
      </c>
      <c r="H372" cm="1">
        <f t="array" ref="H372">_xlfn.LET(
  _xlpm.s, TRIM(F372),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72" t="str">
        <f>_xlfn.XLOOKUP(E372,Calendar!C:C,Calendar!B:B)</f>
        <v>Working Day</v>
      </c>
      <c r="M372" s="2">
        <v>46220</v>
      </c>
      <c r="N372" t="s">
        <v>1389</v>
      </c>
      <c r="O372" t="s">
        <v>1789</v>
      </c>
      <c r="P372">
        <v>2</v>
      </c>
      <c r="Q372" t="str">
        <f>_xlfn.XLOOKUP(N372,Attendance!F:F,Attendance!J:J)</f>
        <v>Meta</v>
      </c>
      <c r="R372">
        <f t="shared" si="11"/>
        <v>0</v>
      </c>
    </row>
    <row r="373" spans="1:18" x14ac:dyDescent="0.25">
      <c r="A373" t="s">
        <v>373</v>
      </c>
      <c r="B373" t="s">
        <v>1387</v>
      </c>
      <c r="C373" t="s">
        <v>1406</v>
      </c>
      <c r="D373" s="2">
        <v>46225.641782407409</v>
      </c>
      <c r="E373" s="2">
        <f t="shared" si="10"/>
        <v>46225</v>
      </c>
      <c r="F373" t="s">
        <v>1738</v>
      </c>
      <c r="G373">
        <f>_xlfn.XLOOKUP(A373,FTD!A:A,FTD!C:C)</f>
        <v>10000</v>
      </c>
      <c r="H373" cm="1">
        <f t="array" ref="H373">_xlfn.LET(
  _xlpm.s, TRIM(F373),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73" t="str">
        <f>_xlfn.XLOOKUP(E373,Calendar!C:C,Calendar!B:B)</f>
        <v>Working Day</v>
      </c>
      <c r="M373" s="2">
        <v>46220</v>
      </c>
      <c r="N373" t="s">
        <v>1422</v>
      </c>
      <c r="O373" t="s">
        <v>1789</v>
      </c>
      <c r="P373">
        <v>2</v>
      </c>
      <c r="Q373" t="str">
        <f>_xlfn.XLOOKUP(N373,Attendance!F:F,Attendance!J:J)</f>
        <v>New OJT</v>
      </c>
      <c r="R373">
        <f t="shared" si="11"/>
        <v>0</v>
      </c>
    </row>
    <row r="374" spans="1:18" x14ac:dyDescent="0.25">
      <c r="A374" t="s">
        <v>374</v>
      </c>
      <c r="B374" t="s">
        <v>1387</v>
      </c>
      <c r="C374" t="s">
        <v>1429</v>
      </c>
      <c r="D374" s="2">
        <v>46232.390196759254</v>
      </c>
      <c r="E374" s="2">
        <f t="shared" si="10"/>
        <v>46232</v>
      </c>
      <c r="F374" t="s">
        <v>1739</v>
      </c>
      <c r="G374">
        <f>_xlfn.XLOOKUP(A374,FTD!A:A,FTD!C:C)</f>
        <v>3000</v>
      </c>
      <c r="H374" cm="1">
        <f t="array" ref="H374">_xlfn.LET(
  _xlpm.s, TRIM(F374),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74" t="str">
        <f>_xlfn.XLOOKUP(E374,Calendar!C:C,Calendar!B:B)</f>
        <v>Working Day</v>
      </c>
      <c r="M374" s="2">
        <v>46220</v>
      </c>
      <c r="N374" t="s">
        <v>1417</v>
      </c>
      <c r="O374" t="s">
        <v>1789</v>
      </c>
      <c r="P374">
        <v>2</v>
      </c>
      <c r="Q374" t="str">
        <f>_xlfn.XLOOKUP(N374,Attendance!F:F,Attendance!J:J)</f>
        <v>Meta</v>
      </c>
      <c r="R374">
        <f t="shared" si="11"/>
        <v>0</v>
      </c>
    </row>
    <row r="375" spans="1:18" x14ac:dyDescent="0.25">
      <c r="A375" t="s">
        <v>375</v>
      </c>
      <c r="B375" t="s">
        <v>1387</v>
      </c>
      <c r="C375" t="s">
        <v>1399</v>
      </c>
      <c r="D375" s="2">
        <v>46226.547476851847</v>
      </c>
      <c r="E375" s="2">
        <f t="shared" si="10"/>
        <v>46226</v>
      </c>
      <c r="F375" t="s">
        <v>1739</v>
      </c>
      <c r="G375">
        <f>_xlfn.XLOOKUP(A375,FTD!A:A,FTD!C:C)</f>
        <v>5000</v>
      </c>
      <c r="H375" cm="1">
        <f t="array" ref="H375">_xlfn.LET(
  _xlpm.s, TRIM(F375),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75" t="str">
        <f>_xlfn.XLOOKUP(E375,Calendar!C:C,Calendar!B:B)</f>
        <v>Working Day</v>
      </c>
      <c r="M375" s="2">
        <v>46220</v>
      </c>
      <c r="N375" t="s">
        <v>1395</v>
      </c>
      <c r="O375" t="s">
        <v>1789</v>
      </c>
      <c r="P375">
        <v>1</v>
      </c>
      <c r="Q375" t="str">
        <f>_xlfn.XLOOKUP(N375,Attendance!F:F,Attendance!J:J)</f>
        <v>OJT 1</v>
      </c>
      <c r="R375">
        <f t="shared" si="11"/>
        <v>0</v>
      </c>
    </row>
    <row r="376" spans="1:18" x14ac:dyDescent="0.25">
      <c r="A376" t="s">
        <v>376</v>
      </c>
      <c r="B376" t="s">
        <v>1387</v>
      </c>
      <c r="C376" t="s">
        <v>1402</v>
      </c>
      <c r="D376" s="2">
        <v>46225.390555555554</v>
      </c>
      <c r="E376" s="2">
        <f t="shared" si="10"/>
        <v>46225</v>
      </c>
      <c r="F376" t="s">
        <v>1738</v>
      </c>
      <c r="G376">
        <f>_xlfn.XLOOKUP(A376,FTD!A:A,FTD!C:C)</f>
        <v>7000</v>
      </c>
      <c r="H376" cm="1">
        <f t="array" ref="H376">_xlfn.LET(
  _xlpm.s, TRIM(F376),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76" t="str">
        <f>_xlfn.XLOOKUP(E376,Calendar!C:C,Calendar!B:B)</f>
        <v>Working Day</v>
      </c>
      <c r="M376" s="2">
        <v>46220</v>
      </c>
      <c r="N376" t="s">
        <v>1407</v>
      </c>
      <c r="O376" t="s">
        <v>1789</v>
      </c>
      <c r="P376">
        <v>1</v>
      </c>
      <c r="Q376" t="str">
        <f>_xlfn.XLOOKUP(N376,Attendance!F:F,Attendance!J:J)</f>
        <v>Meta</v>
      </c>
      <c r="R376">
        <f t="shared" si="11"/>
        <v>0</v>
      </c>
    </row>
    <row r="377" spans="1:18" x14ac:dyDescent="0.25">
      <c r="A377" t="s">
        <v>377</v>
      </c>
      <c r="B377" t="s">
        <v>1387</v>
      </c>
      <c r="C377" t="s">
        <v>1392</v>
      </c>
      <c r="D377" s="2">
        <v>46216.647268518514</v>
      </c>
      <c r="E377" s="2">
        <f t="shared" si="10"/>
        <v>46216</v>
      </c>
      <c r="F377" t="s">
        <v>1739</v>
      </c>
      <c r="G377">
        <f>_xlfn.XLOOKUP(A377,FTD!A:A,FTD!C:C)</f>
        <v>1000</v>
      </c>
      <c r="H377" cm="1">
        <f t="array" ref="H377">_xlfn.LET(
  _xlpm.s, TRIM(F377),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77" t="str">
        <f>_xlfn.XLOOKUP(E377,Calendar!C:C,Calendar!B:B)</f>
        <v>Working Day</v>
      </c>
      <c r="M377" s="2">
        <v>46220</v>
      </c>
      <c r="N377" t="s">
        <v>1396</v>
      </c>
      <c r="O377" t="s">
        <v>1789</v>
      </c>
      <c r="P377">
        <v>2</v>
      </c>
      <c r="Q377" t="str">
        <f>_xlfn.XLOOKUP(N377,Attendance!F:F,Attendance!J:J)</f>
        <v>Telegram</v>
      </c>
      <c r="R377">
        <f t="shared" si="11"/>
        <v>0</v>
      </c>
    </row>
    <row r="378" spans="1:18" x14ac:dyDescent="0.25">
      <c r="A378" t="s">
        <v>378</v>
      </c>
      <c r="B378" t="s">
        <v>1387</v>
      </c>
      <c r="C378" t="s">
        <v>1398</v>
      </c>
      <c r="D378" s="2">
        <v>46216.973912037036</v>
      </c>
      <c r="E378" s="2">
        <f t="shared" si="10"/>
        <v>46216</v>
      </c>
      <c r="F378" t="s">
        <v>1738</v>
      </c>
      <c r="G378">
        <f>_xlfn.XLOOKUP(A378,FTD!A:A,FTD!C:C)</f>
        <v>35000</v>
      </c>
      <c r="H378" cm="1">
        <f t="array" ref="H378">_xlfn.LET(
  _xlpm.s, TRIM(F378),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78" t="str">
        <f>_xlfn.XLOOKUP(E378,Calendar!C:C,Calendar!B:B)</f>
        <v>Working Day</v>
      </c>
      <c r="M378" s="2">
        <v>46220</v>
      </c>
      <c r="N378" t="s">
        <v>1412</v>
      </c>
      <c r="O378" t="s">
        <v>1789</v>
      </c>
      <c r="P378">
        <v>3</v>
      </c>
      <c r="Q378" t="str">
        <f>_xlfn.XLOOKUP(N378,Attendance!F:F,Attendance!J:J)</f>
        <v>1</v>
      </c>
      <c r="R378">
        <f t="shared" si="11"/>
        <v>0</v>
      </c>
    </row>
    <row r="379" spans="1:18" x14ac:dyDescent="0.25">
      <c r="A379" t="s">
        <v>379</v>
      </c>
      <c r="B379" t="s">
        <v>1387</v>
      </c>
      <c r="C379" t="s">
        <v>1437</v>
      </c>
      <c r="D379" s="2">
        <v>46219.068692129629</v>
      </c>
      <c r="E379" s="2">
        <f t="shared" si="10"/>
        <v>46219</v>
      </c>
      <c r="F379" t="s">
        <v>1744</v>
      </c>
      <c r="G379">
        <f>_xlfn.XLOOKUP(A379,FTD!A:A,FTD!C:C)</f>
        <v>1000</v>
      </c>
      <c r="H379" cm="1">
        <f t="array" ref="H379">_xlfn.LET(
  _xlpm.s, TRIM(F379),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79" t="str">
        <f>_xlfn.XLOOKUP(E379,Calendar!C:C,Calendar!B:B)</f>
        <v>Working Day</v>
      </c>
      <c r="M379" s="2">
        <v>46220</v>
      </c>
      <c r="N379" t="s">
        <v>1424</v>
      </c>
      <c r="O379" t="s">
        <v>1789</v>
      </c>
      <c r="P379">
        <v>2</v>
      </c>
      <c r="Q379" t="str">
        <f>_xlfn.XLOOKUP(N379,Attendance!F:F,Attendance!J:J)</f>
        <v>New OJT</v>
      </c>
      <c r="R379">
        <f t="shared" si="11"/>
        <v>0</v>
      </c>
    </row>
    <row r="380" spans="1:18" x14ac:dyDescent="0.25">
      <c r="A380" t="s">
        <v>380</v>
      </c>
      <c r="B380" t="s">
        <v>1387</v>
      </c>
      <c r="C380" t="s">
        <v>1402</v>
      </c>
      <c r="D380" s="2">
        <v>46217.52542824074</v>
      </c>
      <c r="E380" s="2">
        <f t="shared" si="10"/>
        <v>46217</v>
      </c>
      <c r="F380" t="s">
        <v>1745</v>
      </c>
      <c r="G380">
        <f>_xlfn.XLOOKUP(A380,FTD!A:A,FTD!C:C)</f>
        <v>2000</v>
      </c>
      <c r="H380" cm="1">
        <f t="array" ref="H380">_xlfn.LET(
  _xlpm.s, TRIM(F380),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80" t="str">
        <f>_xlfn.XLOOKUP(E380,Calendar!C:C,Calendar!B:B)</f>
        <v>Working Day</v>
      </c>
      <c r="M380" s="2">
        <v>46220</v>
      </c>
      <c r="N380" t="s">
        <v>1404</v>
      </c>
      <c r="O380" t="s">
        <v>1789</v>
      </c>
      <c r="P380">
        <v>1</v>
      </c>
      <c r="Q380" t="str">
        <f>_xlfn.XLOOKUP(N380,Attendance!F:F,Attendance!J:J)</f>
        <v>OLD OJT</v>
      </c>
      <c r="R380">
        <f t="shared" si="11"/>
        <v>0</v>
      </c>
    </row>
    <row r="381" spans="1:18" x14ac:dyDescent="0.25">
      <c r="A381" t="s">
        <v>381</v>
      </c>
      <c r="B381" t="s">
        <v>1387</v>
      </c>
      <c r="C381" t="s">
        <v>1395</v>
      </c>
      <c r="D381" s="2">
        <v>46216.400381944441</v>
      </c>
      <c r="E381" s="2">
        <f t="shared" si="10"/>
        <v>46216</v>
      </c>
      <c r="F381" t="s">
        <v>1743</v>
      </c>
      <c r="G381">
        <f>_xlfn.XLOOKUP(A381,FTD!A:A,FTD!C:C)</f>
        <v>35000</v>
      </c>
      <c r="H381" cm="1">
        <f t="array" ref="H381">_xlfn.LET(
  _xlpm.s, TRIM(F381),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1" t="str">
        <f>_xlfn.XLOOKUP(E381,Calendar!C:C,Calendar!B:B)</f>
        <v>Working Day</v>
      </c>
      <c r="M381" s="2">
        <v>46220</v>
      </c>
      <c r="N381" t="s">
        <v>1406</v>
      </c>
      <c r="O381" t="s">
        <v>1789</v>
      </c>
      <c r="P381">
        <v>4</v>
      </c>
      <c r="Q381" t="str">
        <f>_xlfn.XLOOKUP(N381,Attendance!F:F,Attendance!J:J)</f>
        <v>1</v>
      </c>
      <c r="R381">
        <f t="shared" si="11"/>
        <v>0</v>
      </c>
    </row>
    <row r="382" spans="1:18" x14ac:dyDescent="0.25">
      <c r="A382" t="s">
        <v>382</v>
      </c>
      <c r="B382" t="s">
        <v>1387</v>
      </c>
      <c r="C382" t="s">
        <v>1414</v>
      </c>
      <c r="D382" s="2">
        <v>46216.924166666664</v>
      </c>
      <c r="E382" s="2">
        <f t="shared" si="10"/>
        <v>46216</v>
      </c>
      <c r="F382" t="s">
        <v>1738</v>
      </c>
      <c r="G382">
        <f>_xlfn.XLOOKUP(A382,FTD!A:A,FTD!C:C)</f>
        <v>1000</v>
      </c>
      <c r="H382" cm="1">
        <f t="array" ref="H382">_xlfn.LET(
  _xlpm.s, TRIM(F382),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2" t="str">
        <f>_xlfn.XLOOKUP(E382,Calendar!C:C,Calendar!B:B)</f>
        <v>Working Day</v>
      </c>
      <c r="M382" s="2">
        <v>46220</v>
      </c>
      <c r="N382" t="s">
        <v>1434</v>
      </c>
      <c r="O382" t="s">
        <v>1789</v>
      </c>
      <c r="P382">
        <v>2</v>
      </c>
      <c r="Q382" t="str">
        <f>_xlfn.XLOOKUP(N382,Attendance!F:F,Attendance!J:J)</f>
        <v>OJT 2</v>
      </c>
      <c r="R382">
        <f t="shared" si="11"/>
        <v>0</v>
      </c>
    </row>
    <row r="383" spans="1:18" x14ac:dyDescent="0.25">
      <c r="A383" t="s">
        <v>383</v>
      </c>
      <c r="B383" t="s">
        <v>1387</v>
      </c>
      <c r="C383" t="s">
        <v>1413</v>
      </c>
      <c r="D383" s="2">
        <v>46211.789525462962</v>
      </c>
      <c r="E383" s="2">
        <f t="shared" si="10"/>
        <v>46211</v>
      </c>
      <c r="F383" t="s">
        <v>1738</v>
      </c>
      <c r="G383">
        <f>_xlfn.XLOOKUP(A383,FTD!A:A,FTD!C:C)</f>
        <v>1000</v>
      </c>
      <c r="H383" cm="1">
        <f t="array" ref="H383">_xlfn.LET(
  _xlpm.s, TRIM(F383),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3" t="str">
        <f>_xlfn.XLOOKUP(E383,Calendar!C:C,Calendar!B:B)</f>
        <v>Working Day</v>
      </c>
      <c r="M383" s="2">
        <v>46220</v>
      </c>
      <c r="N383" t="s">
        <v>1438</v>
      </c>
      <c r="O383" t="s">
        <v>1789</v>
      </c>
      <c r="P383">
        <v>2</v>
      </c>
      <c r="Q383" t="e">
        <f>_xlfn.XLOOKUP(N383,Attendance!F:F,Attendance!J:J)</f>
        <v>#N/A</v>
      </c>
      <c r="R383">
        <f t="shared" si="11"/>
        <v>0</v>
      </c>
    </row>
    <row r="384" spans="1:18" x14ac:dyDescent="0.25">
      <c r="A384" t="s">
        <v>384</v>
      </c>
      <c r="B384" t="s">
        <v>1387</v>
      </c>
      <c r="C384" t="s">
        <v>1400</v>
      </c>
      <c r="D384" s="2">
        <v>46234.584305555552</v>
      </c>
      <c r="E384" s="2">
        <f t="shared" si="10"/>
        <v>46234</v>
      </c>
      <c r="F384" t="s">
        <v>1739</v>
      </c>
      <c r="G384">
        <f>_xlfn.XLOOKUP(A384,FTD!A:A,FTD!C:C)</f>
        <v>1500</v>
      </c>
      <c r="H384" cm="1">
        <f t="array" ref="H384">_xlfn.LET(
  _xlpm.s, TRIM(F384),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84" t="str">
        <f>_xlfn.XLOOKUP(E384,Calendar!C:C,Calendar!B:B)</f>
        <v>Working Day</v>
      </c>
      <c r="M384" s="2">
        <v>46220</v>
      </c>
      <c r="N384" t="s">
        <v>1426</v>
      </c>
      <c r="O384" t="s">
        <v>1789</v>
      </c>
      <c r="P384">
        <v>1</v>
      </c>
      <c r="Q384" t="str">
        <f>_xlfn.XLOOKUP(N384,Attendance!F:F,Attendance!J:J)</f>
        <v>OJT 2</v>
      </c>
      <c r="R384">
        <f t="shared" si="11"/>
        <v>0</v>
      </c>
    </row>
    <row r="385" spans="1:18" x14ac:dyDescent="0.25">
      <c r="A385" t="s">
        <v>385</v>
      </c>
      <c r="B385" t="s">
        <v>1387</v>
      </c>
      <c r="C385" t="s">
        <v>1406</v>
      </c>
      <c r="D385" s="2">
        <v>46234.560312499998</v>
      </c>
      <c r="E385" s="2">
        <f t="shared" si="10"/>
        <v>46234</v>
      </c>
      <c r="F385" t="s">
        <v>1738</v>
      </c>
      <c r="G385">
        <f>_xlfn.XLOOKUP(A385,FTD!A:A,FTD!C:C)</f>
        <v>2000</v>
      </c>
      <c r="H385" cm="1">
        <f t="array" ref="H385">_xlfn.LET(
  _xlpm.s, TRIM(F385),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5" t="str">
        <f>_xlfn.XLOOKUP(E385,Calendar!C:C,Calendar!B:B)</f>
        <v>Working Day</v>
      </c>
      <c r="M385" s="2">
        <v>46220</v>
      </c>
      <c r="N385" t="s">
        <v>1430</v>
      </c>
      <c r="O385" t="s">
        <v>1789</v>
      </c>
      <c r="P385">
        <v>3</v>
      </c>
      <c r="Q385" t="str">
        <f>_xlfn.XLOOKUP(N385,Attendance!F:F,Attendance!J:J)</f>
        <v>Telegram</v>
      </c>
      <c r="R385">
        <f t="shared" si="11"/>
        <v>500</v>
      </c>
    </row>
    <row r="386" spans="1:18" x14ac:dyDescent="0.25">
      <c r="A386" t="s">
        <v>386</v>
      </c>
      <c r="B386" t="s">
        <v>1387</v>
      </c>
      <c r="C386" t="s">
        <v>1402</v>
      </c>
      <c r="D386" s="2">
        <v>46220.404386574075</v>
      </c>
      <c r="E386" s="2">
        <f t="shared" si="10"/>
        <v>46220</v>
      </c>
      <c r="F386" t="s">
        <v>1738</v>
      </c>
      <c r="G386">
        <f>_xlfn.XLOOKUP(A386,FTD!A:A,FTD!C:C)</f>
        <v>38837</v>
      </c>
      <c r="H386" cm="1">
        <f t="array" ref="H386">_xlfn.LET(
  _xlpm.s, TRIM(F386),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6" t="str">
        <f>_xlfn.XLOOKUP(E386,Calendar!C:C,Calendar!B:B)</f>
        <v>Working Day</v>
      </c>
      <c r="M386" s="2">
        <v>46220</v>
      </c>
      <c r="N386" t="s">
        <v>1402</v>
      </c>
      <c r="O386" t="s">
        <v>1789</v>
      </c>
      <c r="P386">
        <v>4</v>
      </c>
      <c r="Q386" t="str">
        <f>_xlfn.XLOOKUP(N386,Attendance!F:F,Attendance!J:J)</f>
        <v>1</v>
      </c>
      <c r="R386">
        <f t="shared" si="11"/>
        <v>0</v>
      </c>
    </row>
    <row r="387" spans="1:18" x14ac:dyDescent="0.25">
      <c r="A387" t="s">
        <v>387</v>
      </c>
      <c r="B387" t="s">
        <v>1387</v>
      </c>
      <c r="C387" t="s">
        <v>1399</v>
      </c>
      <c r="D387" s="2">
        <v>46224.396481481483</v>
      </c>
      <c r="E387" s="2">
        <f t="shared" ref="E387:E450" si="12">INT(D387)</f>
        <v>46224</v>
      </c>
      <c r="F387" t="s">
        <v>1738</v>
      </c>
      <c r="G387">
        <f>_xlfn.XLOOKUP(A387,FTD!A:A,FTD!C:C)</f>
        <v>1000</v>
      </c>
      <c r="H387" cm="1">
        <f t="array" ref="H387">_xlfn.LET(
  _xlpm.s, TRIM(F387),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7" t="str">
        <f>_xlfn.XLOOKUP(E387,Calendar!C:C,Calendar!B:B)</f>
        <v>Working Day</v>
      </c>
      <c r="M387" s="2">
        <v>46220</v>
      </c>
      <c r="N387" t="s">
        <v>1425</v>
      </c>
      <c r="O387" t="s">
        <v>1789</v>
      </c>
      <c r="P387">
        <v>1</v>
      </c>
      <c r="Q387" t="str">
        <f>_xlfn.XLOOKUP(N387,Attendance!F:F,Attendance!J:J)</f>
        <v>OJT 1</v>
      </c>
      <c r="R387">
        <f t="shared" si="11"/>
        <v>0</v>
      </c>
    </row>
    <row r="388" spans="1:18" x14ac:dyDescent="0.25">
      <c r="A388" t="s">
        <v>388</v>
      </c>
      <c r="B388" t="s">
        <v>1387</v>
      </c>
      <c r="C388" t="s">
        <v>1396</v>
      </c>
      <c r="D388" s="2">
        <v>46213.462141203701</v>
      </c>
      <c r="E388" s="2">
        <f t="shared" si="12"/>
        <v>46213</v>
      </c>
      <c r="F388" t="s">
        <v>1740</v>
      </c>
      <c r="G388">
        <f>_xlfn.XLOOKUP(A388,FTD!A:A,FTD!C:C)</f>
        <v>1000</v>
      </c>
      <c r="H388" cm="1">
        <f t="array" ref="H388">_xlfn.LET(
  _xlpm.s, TRIM(F388),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88" t="str">
        <f>_xlfn.XLOOKUP(E388,Calendar!C:C,Calendar!B:B)</f>
        <v>Working Day</v>
      </c>
      <c r="M388" s="2">
        <v>46220</v>
      </c>
      <c r="N388" t="s">
        <v>1392</v>
      </c>
      <c r="O388" t="s">
        <v>1789</v>
      </c>
      <c r="P388">
        <v>1</v>
      </c>
      <c r="Q388" t="str">
        <f>_xlfn.XLOOKUP(N388,Attendance!F:F,Attendance!J:J)</f>
        <v>Telegram</v>
      </c>
      <c r="R388">
        <f t="shared" ref="R388:R451" si="13">_xlfn.LET(
  _xlpm.pool, IFERROR(Q388&amp;"", ""),
  _xlpm.conv, IFERROR(--P388, 0),
  _xlpm.mkt,  O389="Working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389" spans="1:18" x14ac:dyDescent="0.25">
      <c r="A389" t="s">
        <v>389</v>
      </c>
      <c r="B389" t="s">
        <v>1387</v>
      </c>
      <c r="C389" t="s">
        <v>1412</v>
      </c>
      <c r="D389" s="2">
        <v>46212.855358796296</v>
      </c>
      <c r="E389" s="2">
        <f t="shared" si="12"/>
        <v>46212</v>
      </c>
      <c r="F389" t="s">
        <v>1738</v>
      </c>
      <c r="G389">
        <f>_xlfn.XLOOKUP(A389,FTD!A:A,FTD!C:C)</f>
        <v>1000</v>
      </c>
      <c r="H389" cm="1">
        <f t="array" ref="H389">_xlfn.LET(
  _xlpm.s, TRIM(F389),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89" t="str">
        <f>_xlfn.XLOOKUP(E389,Calendar!C:C,Calendar!B:B)</f>
        <v>Working Day</v>
      </c>
      <c r="M389" s="2">
        <v>46220</v>
      </c>
      <c r="N389" t="s">
        <v>1421</v>
      </c>
      <c r="O389" t="s">
        <v>1789</v>
      </c>
      <c r="P389">
        <v>2</v>
      </c>
      <c r="Q389" t="str">
        <f>_xlfn.XLOOKUP(N389,Attendance!F:F,Attendance!J:J)</f>
        <v>OJT 1</v>
      </c>
      <c r="R389">
        <f t="shared" si="13"/>
        <v>0</v>
      </c>
    </row>
    <row r="390" spans="1:18" x14ac:dyDescent="0.25">
      <c r="A390" t="s">
        <v>390</v>
      </c>
      <c r="B390" t="s">
        <v>1387</v>
      </c>
      <c r="C390" t="s">
        <v>1412</v>
      </c>
      <c r="D390" s="2">
        <v>46220.621817129628</v>
      </c>
      <c r="E390" s="2">
        <f t="shared" si="12"/>
        <v>46220</v>
      </c>
      <c r="F390" t="s">
        <v>1738</v>
      </c>
      <c r="G390">
        <f>_xlfn.XLOOKUP(A390,FTD!A:A,FTD!C:C)</f>
        <v>2000</v>
      </c>
      <c r="H390" cm="1">
        <f t="array" ref="H390">_xlfn.LET(
  _xlpm.s, TRIM(F390),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0" t="str">
        <f>_xlfn.XLOOKUP(E390,Calendar!C:C,Calendar!B:B)</f>
        <v>Working Day</v>
      </c>
      <c r="M390" s="2">
        <v>46220</v>
      </c>
      <c r="N390" t="s">
        <v>1410</v>
      </c>
      <c r="O390" t="s">
        <v>1789</v>
      </c>
      <c r="P390">
        <v>1</v>
      </c>
      <c r="Q390" t="str">
        <f>_xlfn.XLOOKUP(N390,Attendance!F:F,Attendance!J:J)</f>
        <v>New OJT</v>
      </c>
      <c r="R390">
        <f t="shared" si="13"/>
        <v>0</v>
      </c>
    </row>
    <row r="391" spans="1:18" x14ac:dyDescent="0.25">
      <c r="A391" t="s">
        <v>391</v>
      </c>
      <c r="B391" t="s">
        <v>1387</v>
      </c>
      <c r="C391" t="s">
        <v>1398</v>
      </c>
      <c r="D391" s="2">
        <v>46211.440115740741</v>
      </c>
      <c r="E391" s="2">
        <f t="shared" si="12"/>
        <v>46211</v>
      </c>
      <c r="F391" t="s">
        <v>1738</v>
      </c>
      <c r="G391">
        <f>_xlfn.XLOOKUP(A391,FTD!A:A,FTD!C:C)</f>
        <v>1000</v>
      </c>
      <c r="H391" cm="1">
        <f t="array" ref="H391">_xlfn.LET(
  _xlpm.s, TRIM(F391),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1" t="str">
        <f>_xlfn.XLOOKUP(E391,Calendar!C:C,Calendar!B:B)</f>
        <v>Working Day</v>
      </c>
      <c r="M391" s="2">
        <v>46220</v>
      </c>
      <c r="N391" t="s">
        <v>1399</v>
      </c>
      <c r="O391" t="s">
        <v>1789</v>
      </c>
      <c r="P391">
        <v>5</v>
      </c>
      <c r="Q391" t="str">
        <f>_xlfn.XLOOKUP(N391,Attendance!F:F,Attendance!J:J)</f>
        <v>1</v>
      </c>
      <c r="R391">
        <f t="shared" si="13"/>
        <v>0</v>
      </c>
    </row>
    <row r="392" spans="1:18" x14ac:dyDescent="0.25">
      <c r="A392" t="s">
        <v>392</v>
      </c>
      <c r="B392" t="s">
        <v>1387</v>
      </c>
      <c r="C392" t="s">
        <v>1412</v>
      </c>
      <c r="D392" s="2">
        <v>46210.546990740739</v>
      </c>
      <c r="E392" s="2">
        <f t="shared" si="12"/>
        <v>46210</v>
      </c>
      <c r="F392" t="s">
        <v>1738</v>
      </c>
      <c r="G392">
        <f>_xlfn.XLOOKUP(A392,FTD!A:A,FTD!C:C)</f>
        <v>1000</v>
      </c>
      <c r="H392" cm="1">
        <f t="array" ref="H392">_xlfn.LET(
  _xlpm.s, TRIM(F392),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2" t="str">
        <f>_xlfn.XLOOKUP(E392,Calendar!C:C,Calendar!B:B)</f>
        <v>Working Day</v>
      </c>
      <c r="M392" s="2">
        <v>46220</v>
      </c>
      <c r="N392" t="s">
        <v>1427</v>
      </c>
      <c r="O392" t="s">
        <v>1789</v>
      </c>
      <c r="P392">
        <v>2</v>
      </c>
      <c r="Q392" t="str">
        <f>_xlfn.XLOOKUP(N392,Attendance!F:F,Attendance!J:J)</f>
        <v>New OJT</v>
      </c>
      <c r="R392">
        <f t="shared" si="13"/>
        <v>0</v>
      </c>
    </row>
    <row r="393" spans="1:18" x14ac:dyDescent="0.25">
      <c r="A393" t="s">
        <v>393</v>
      </c>
      <c r="B393" t="s">
        <v>1387</v>
      </c>
      <c r="C393" t="s">
        <v>1403</v>
      </c>
      <c r="D393" s="2">
        <v>46206.758969907409</v>
      </c>
      <c r="E393" s="2">
        <f t="shared" si="12"/>
        <v>46206</v>
      </c>
      <c r="F393" t="s">
        <v>1743</v>
      </c>
      <c r="G393">
        <f>_xlfn.XLOOKUP(A393,FTD!A:A,FTD!C:C)</f>
        <v>1000</v>
      </c>
      <c r="H393" cm="1">
        <f t="array" ref="H393">_xlfn.LET(
  _xlpm.s, TRIM(F393),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3" t="str">
        <f>_xlfn.XLOOKUP(E393,Calendar!C:C,Calendar!B:B)</f>
        <v>Working Day</v>
      </c>
      <c r="M393" s="2">
        <v>46220</v>
      </c>
      <c r="N393" t="s">
        <v>1418</v>
      </c>
      <c r="O393" t="s">
        <v>1789</v>
      </c>
      <c r="P393">
        <v>2</v>
      </c>
      <c r="Q393" t="str">
        <f>_xlfn.XLOOKUP(N393,Attendance!F:F,Attendance!J:J)</f>
        <v>OJT 1</v>
      </c>
      <c r="R393">
        <f t="shared" si="13"/>
        <v>0</v>
      </c>
    </row>
    <row r="394" spans="1:18" x14ac:dyDescent="0.25">
      <c r="A394" t="s">
        <v>394</v>
      </c>
      <c r="B394" t="s">
        <v>1387</v>
      </c>
      <c r="C394" t="s">
        <v>1407</v>
      </c>
      <c r="D394" s="2">
        <v>46212.440312499995</v>
      </c>
      <c r="E394" s="2">
        <f t="shared" si="12"/>
        <v>46212</v>
      </c>
      <c r="F394" t="s">
        <v>81</v>
      </c>
      <c r="G394">
        <f>_xlfn.XLOOKUP(A394,FTD!A:A,FTD!C:C)</f>
        <v>2000</v>
      </c>
      <c r="H394" cm="1">
        <f t="array" ref="H394">_xlfn.LET(
  _xlpm.s, TRIM(F394),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394" t="str">
        <f>_xlfn.XLOOKUP(E394,Calendar!C:C,Calendar!B:B)</f>
        <v>Working Day</v>
      </c>
      <c r="M394" s="2">
        <v>46220</v>
      </c>
      <c r="N394" t="s">
        <v>1428</v>
      </c>
      <c r="O394" t="s">
        <v>1789</v>
      </c>
      <c r="P394">
        <v>2</v>
      </c>
      <c r="Q394" t="str">
        <f>_xlfn.XLOOKUP(N394,Attendance!F:F,Attendance!J:J)</f>
        <v>OLD OJT</v>
      </c>
      <c r="R394">
        <f t="shared" si="13"/>
        <v>0</v>
      </c>
    </row>
    <row r="395" spans="1:18" x14ac:dyDescent="0.25">
      <c r="A395" t="s">
        <v>395</v>
      </c>
      <c r="B395" t="s">
        <v>1387</v>
      </c>
      <c r="C395" t="s">
        <v>1402</v>
      </c>
      <c r="D395" s="2">
        <v>46232.980254629627</v>
      </c>
      <c r="E395" s="2">
        <f t="shared" si="12"/>
        <v>46232</v>
      </c>
      <c r="F395" t="s">
        <v>1738</v>
      </c>
      <c r="G395">
        <f>_xlfn.XLOOKUP(A395,FTD!A:A,FTD!C:C)</f>
        <v>1000</v>
      </c>
      <c r="H395" cm="1">
        <f t="array" ref="H395">_xlfn.LET(
  _xlpm.s, TRIM(F395),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5" t="str">
        <f>_xlfn.XLOOKUP(E395,Calendar!C:C,Calendar!B:B)</f>
        <v>Working Day</v>
      </c>
      <c r="M395" s="2">
        <v>46220</v>
      </c>
      <c r="N395" t="s">
        <v>1408</v>
      </c>
      <c r="O395" t="s">
        <v>1789</v>
      </c>
      <c r="P395">
        <v>2</v>
      </c>
      <c r="Q395" t="str">
        <f>_xlfn.XLOOKUP(N395,Attendance!F:F,Attendance!J:J)</f>
        <v>1</v>
      </c>
      <c r="R395">
        <f t="shared" si="13"/>
        <v>0</v>
      </c>
    </row>
    <row r="396" spans="1:18" x14ac:dyDescent="0.25">
      <c r="A396" t="s">
        <v>396</v>
      </c>
      <c r="B396" t="s">
        <v>1387</v>
      </c>
      <c r="C396" t="s">
        <v>1405</v>
      </c>
      <c r="D396" s="2">
        <v>46217.64267361111</v>
      </c>
      <c r="E396" s="2">
        <f t="shared" si="12"/>
        <v>46217</v>
      </c>
      <c r="F396" t="s">
        <v>1739</v>
      </c>
      <c r="G396">
        <f>_xlfn.XLOOKUP(A396,FTD!A:A,FTD!C:C)</f>
        <v>5000</v>
      </c>
      <c r="H396" cm="1">
        <f t="array" ref="H396">_xlfn.LET(
  _xlpm.s, TRIM(F396),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96" t="str">
        <f>_xlfn.XLOOKUP(E396,Calendar!C:C,Calendar!B:B)</f>
        <v>Working Day</v>
      </c>
      <c r="M396" s="2">
        <v>46221</v>
      </c>
      <c r="N396" t="s">
        <v>1436</v>
      </c>
      <c r="O396" t="s">
        <v>1783</v>
      </c>
      <c r="P396">
        <v>2</v>
      </c>
      <c r="Q396" t="str">
        <f>_xlfn.XLOOKUP(N396,Attendance!F:F,Attendance!J:J)</f>
        <v>Telegram</v>
      </c>
      <c r="R396">
        <f t="shared" si="13"/>
        <v>500</v>
      </c>
    </row>
    <row r="397" spans="1:18" x14ac:dyDescent="0.25">
      <c r="A397" t="s">
        <v>397</v>
      </c>
      <c r="B397" t="s">
        <v>1387</v>
      </c>
      <c r="C397" t="s">
        <v>1409</v>
      </c>
      <c r="D397" s="2">
        <v>46218.701064814813</v>
      </c>
      <c r="E397" s="2">
        <f t="shared" si="12"/>
        <v>46218</v>
      </c>
      <c r="F397" t="s">
        <v>1761</v>
      </c>
      <c r="G397">
        <f>_xlfn.XLOOKUP(A397,FTD!A:A,FTD!C:C)</f>
        <v>1000</v>
      </c>
      <c r="H397" cm="1">
        <f t="array" ref="H397">_xlfn.LET(
  _xlpm.s, TRIM(F397),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97" t="str">
        <f>_xlfn.XLOOKUP(E397,Calendar!C:C,Calendar!B:B)</f>
        <v>Working Day</v>
      </c>
      <c r="M397" s="2">
        <v>46221</v>
      </c>
      <c r="N397" t="s">
        <v>1388</v>
      </c>
      <c r="O397" t="s">
        <v>1783</v>
      </c>
      <c r="P397">
        <v>1</v>
      </c>
      <c r="Q397" t="str">
        <f>_xlfn.XLOOKUP(N397,Attendance!F:F,Attendance!J:J)</f>
        <v>Telegram</v>
      </c>
      <c r="R397">
        <f t="shared" si="13"/>
        <v>0</v>
      </c>
    </row>
    <row r="398" spans="1:18" x14ac:dyDescent="0.25">
      <c r="A398" t="s">
        <v>398</v>
      </c>
      <c r="B398" t="s">
        <v>1387</v>
      </c>
      <c r="C398" t="s">
        <v>1407</v>
      </c>
      <c r="D398" s="2">
        <v>46217.548842592594</v>
      </c>
      <c r="E398" s="2">
        <f t="shared" si="12"/>
        <v>46217</v>
      </c>
      <c r="F398" t="s">
        <v>1739</v>
      </c>
      <c r="G398">
        <f>_xlfn.XLOOKUP(A398,FTD!A:A,FTD!C:C)</f>
        <v>1000</v>
      </c>
      <c r="H398" cm="1">
        <f t="array" ref="H398">_xlfn.LET(
  _xlpm.s, TRIM(F398),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398" t="str">
        <f>_xlfn.XLOOKUP(E398,Calendar!C:C,Calendar!B:B)</f>
        <v>Working Day</v>
      </c>
      <c r="M398" s="2">
        <v>46221</v>
      </c>
      <c r="N398" t="s">
        <v>1396</v>
      </c>
      <c r="O398" t="s">
        <v>1783</v>
      </c>
      <c r="P398">
        <v>1</v>
      </c>
      <c r="Q398" t="str">
        <f>_xlfn.XLOOKUP(N398,Attendance!F:F,Attendance!J:J)</f>
        <v>Telegram</v>
      </c>
      <c r="R398">
        <f t="shared" si="13"/>
        <v>0</v>
      </c>
    </row>
    <row r="399" spans="1:18" x14ac:dyDescent="0.25">
      <c r="A399" t="s">
        <v>399</v>
      </c>
      <c r="B399" t="s">
        <v>1387</v>
      </c>
      <c r="C399" t="s">
        <v>1396</v>
      </c>
      <c r="D399" s="2">
        <v>46226.495775462958</v>
      </c>
      <c r="E399" s="2">
        <f t="shared" si="12"/>
        <v>46226</v>
      </c>
      <c r="F399" t="s">
        <v>1743</v>
      </c>
      <c r="G399">
        <f>_xlfn.XLOOKUP(A399,FTD!A:A,FTD!C:C)</f>
        <v>1000</v>
      </c>
      <c r="H399" cm="1">
        <f t="array" ref="H399">_xlfn.LET(
  _xlpm.s, TRIM(F399),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399" t="str">
        <f>_xlfn.XLOOKUP(E399,Calendar!C:C,Calendar!B:B)</f>
        <v>Working Day</v>
      </c>
      <c r="M399" s="2">
        <v>46221</v>
      </c>
      <c r="N399" t="s">
        <v>1406</v>
      </c>
      <c r="O399" t="s">
        <v>1783</v>
      </c>
      <c r="P399">
        <v>2</v>
      </c>
      <c r="Q399" t="str">
        <f>_xlfn.XLOOKUP(N399,Attendance!F:F,Attendance!J:J)</f>
        <v>1</v>
      </c>
      <c r="R399">
        <f t="shared" si="13"/>
        <v>0</v>
      </c>
    </row>
    <row r="400" spans="1:18" x14ac:dyDescent="0.25">
      <c r="A400" t="s">
        <v>400</v>
      </c>
      <c r="B400" t="s">
        <v>1387</v>
      </c>
      <c r="C400" t="s">
        <v>1393</v>
      </c>
      <c r="D400" s="2">
        <v>46212.392037037032</v>
      </c>
      <c r="E400" s="2">
        <f t="shared" si="12"/>
        <v>46212</v>
      </c>
      <c r="F400" t="s">
        <v>1739</v>
      </c>
      <c r="G400">
        <f>_xlfn.XLOOKUP(A400,FTD!A:A,FTD!C:C)</f>
        <v>20000</v>
      </c>
      <c r="H400" cm="1">
        <f t="array" ref="H400">_xlfn.LET(
  _xlpm.s, TRIM(F400),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00" t="str">
        <f>_xlfn.XLOOKUP(E400,Calendar!C:C,Calendar!B:B)</f>
        <v>Working Day</v>
      </c>
      <c r="M400" s="2">
        <v>46221</v>
      </c>
      <c r="N400" t="s">
        <v>1392</v>
      </c>
      <c r="O400" t="s">
        <v>1783</v>
      </c>
      <c r="P400">
        <v>1</v>
      </c>
      <c r="Q400" t="str">
        <f>_xlfn.XLOOKUP(N400,Attendance!F:F,Attendance!J:J)</f>
        <v>Telegram</v>
      </c>
      <c r="R400">
        <f t="shared" si="13"/>
        <v>0</v>
      </c>
    </row>
    <row r="401" spans="1:18" x14ac:dyDescent="0.25">
      <c r="A401" t="s">
        <v>401</v>
      </c>
      <c r="B401" t="s">
        <v>1387</v>
      </c>
      <c r="C401" t="s">
        <v>1407</v>
      </c>
      <c r="D401" s="2">
        <v>46211.549942129626</v>
      </c>
      <c r="E401" s="2">
        <f t="shared" si="12"/>
        <v>46211</v>
      </c>
      <c r="F401" t="s">
        <v>1743</v>
      </c>
      <c r="G401">
        <f>_xlfn.XLOOKUP(A401,FTD!A:A,FTD!C:C)</f>
        <v>1000</v>
      </c>
      <c r="H401" cm="1">
        <f t="array" ref="H401">_xlfn.LET(
  _xlpm.s, TRIM(F401),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1" t="str">
        <f>_xlfn.XLOOKUP(E401,Calendar!C:C,Calendar!B:B)</f>
        <v>Working Day</v>
      </c>
      <c r="M401" s="2">
        <v>46221</v>
      </c>
      <c r="N401" t="s">
        <v>1428</v>
      </c>
      <c r="O401" t="s">
        <v>1783</v>
      </c>
      <c r="P401">
        <v>1</v>
      </c>
      <c r="Q401" t="str">
        <f>_xlfn.XLOOKUP(N401,Attendance!F:F,Attendance!J:J)</f>
        <v>OLD OJT</v>
      </c>
      <c r="R401">
        <f t="shared" si="13"/>
        <v>0</v>
      </c>
    </row>
    <row r="402" spans="1:18" x14ac:dyDescent="0.25">
      <c r="A402" t="s">
        <v>402</v>
      </c>
      <c r="B402" t="s">
        <v>1387</v>
      </c>
      <c r="C402" t="s">
        <v>1433</v>
      </c>
      <c r="D402" s="2">
        <v>46212.71806712963</v>
      </c>
      <c r="E402" s="2">
        <f t="shared" si="12"/>
        <v>46212</v>
      </c>
      <c r="F402" t="s">
        <v>1743</v>
      </c>
      <c r="G402">
        <f>_xlfn.XLOOKUP(A402,FTD!A:A,FTD!C:C)</f>
        <v>1100</v>
      </c>
      <c r="H402" cm="1">
        <f t="array" ref="H402">_xlfn.LET(
  _xlpm.s, TRIM(F402),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2" t="str">
        <f>_xlfn.XLOOKUP(E402,Calendar!C:C,Calendar!B:B)</f>
        <v>Working Day</v>
      </c>
      <c r="M402" s="2">
        <v>46221</v>
      </c>
      <c r="N402" t="s">
        <v>1408</v>
      </c>
      <c r="O402" t="s">
        <v>1783</v>
      </c>
      <c r="P402">
        <v>2</v>
      </c>
      <c r="Q402" t="str">
        <f>_xlfn.XLOOKUP(N402,Attendance!F:F,Attendance!J:J)</f>
        <v>1</v>
      </c>
      <c r="R402">
        <f t="shared" si="13"/>
        <v>0</v>
      </c>
    </row>
    <row r="403" spans="1:18" x14ac:dyDescent="0.25">
      <c r="A403" t="s">
        <v>403</v>
      </c>
      <c r="B403" t="s">
        <v>1387</v>
      </c>
      <c r="C403" t="s">
        <v>1426</v>
      </c>
      <c r="D403" s="2">
        <v>46224.700092592589</v>
      </c>
      <c r="E403" s="2">
        <f t="shared" si="12"/>
        <v>46224</v>
      </c>
      <c r="F403" t="s">
        <v>1738</v>
      </c>
      <c r="G403">
        <f>_xlfn.XLOOKUP(A403,FTD!A:A,FTD!C:C)</f>
        <v>1000</v>
      </c>
      <c r="H403" cm="1">
        <f t="array" ref="H403">_xlfn.LET(
  _xlpm.s, TRIM(F403),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3" t="str">
        <f>_xlfn.XLOOKUP(E403,Calendar!C:C,Calendar!B:B)</f>
        <v>Working Day</v>
      </c>
      <c r="M403" s="2">
        <v>46222</v>
      </c>
      <c r="N403" t="s">
        <v>1436</v>
      </c>
      <c r="O403" t="s">
        <v>1784</v>
      </c>
      <c r="P403">
        <v>1</v>
      </c>
      <c r="Q403" t="str">
        <f>_xlfn.XLOOKUP(N403,Attendance!F:F,Attendance!J:J)</f>
        <v>Telegram</v>
      </c>
      <c r="R403">
        <f t="shared" si="13"/>
        <v>0</v>
      </c>
    </row>
    <row r="404" spans="1:18" x14ac:dyDescent="0.25">
      <c r="A404" t="s">
        <v>404</v>
      </c>
      <c r="B404" t="s">
        <v>1384</v>
      </c>
      <c r="C404" t="s">
        <v>1406</v>
      </c>
      <c r="D404" s="2">
        <v>46211.493807870371</v>
      </c>
      <c r="E404" s="2">
        <f t="shared" si="12"/>
        <v>46211</v>
      </c>
      <c r="F404" t="s">
        <v>1741</v>
      </c>
      <c r="G404">
        <f>_xlfn.XLOOKUP(A404,FTD!A:A,FTD!C:C)</f>
        <v>1000</v>
      </c>
      <c r="H404" cm="1">
        <f t="array" ref="H404">_xlfn.LET(
  _xlpm.s, TRIM(F404),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4" t="str">
        <f>_xlfn.XLOOKUP(E404,Calendar!C:C,Calendar!B:B)</f>
        <v>Working Day</v>
      </c>
      <c r="M404" s="2">
        <v>46222</v>
      </c>
      <c r="N404" t="s">
        <v>1433</v>
      </c>
      <c r="O404" t="s">
        <v>1784</v>
      </c>
      <c r="P404">
        <v>1</v>
      </c>
      <c r="Q404" t="str">
        <f>_xlfn.XLOOKUP(N404,Attendance!F:F,Attendance!J:J)</f>
        <v>Meta</v>
      </c>
      <c r="R404">
        <f t="shared" si="13"/>
        <v>0</v>
      </c>
    </row>
    <row r="405" spans="1:18" x14ac:dyDescent="0.25">
      <c r="A405" t="s">
        <v>405</v>
      </c>
      <c r="B405" t="s">
        <v>1384</v>
      </c>
      <c r="C405" t="s">
        <v>1434</v>
      </c>
      <c r="D405" s="2">
        <v>46204.401273148149</v>
      </c>
      <c r="E405" s="2">
        <f t="shared" si="12"/>
        <v>46204</v>
      </c>
      <c r="F405" t="s">
        <v>1740</v>
      </c>
      <c r="G405">
        <f>_xlfn.XLOOKUP(A405,FTD!A:A,FTD!C:C)</f>
        <v>2200</v>
      </c>
      <c r="H405" cm="1">
        <f t="array" ref="H405">_xlfn.LET(
  _xlpm.s, TRIM(F405),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05" t="str">
        <f>_xlfn.XLOOKUP(E405,Calendar!C:C,Calendar!B:B)</f>
        <v>Working Day</v>
      </c>
      <c r="M405" s="2">
        <v>46222</v>
      </c>
      <c r="N405" t="s">
        <v>1398</v>
      </c>
      <c r="O405" t="s">
        <v>1784</v>
      </c>
      <c r="P405">
        <v>2</v>
      </c>
      <c r="Q405" t="str">
        <f>_xlfn.XLOOKUP(N405,Attendance!F:F,Attendance!J:J)</f>
        <v>1</v>
      </c>
      <c r="R405">
        <f t="shared" si="13"/>
        <v>0</v>
      </c>
    </row>
    <row r="406" spans="1:18" x14ac:dyDescent="0.25">
      <c r="A406" t="s">
        <v>406</v>
      </c>
      <c r="B406" t="s">
        <v>1384</v>
      </c>
      <c r="C406" t="s">
        <v>1430</v>
      </c>
      <c r="D406" s="2">
        <v>46219.49518518518</v>
      </c>
      <c r="E406" s="2">
        <f t="shared" si="12"/>
        <v>46219</v>
      </c>
      <c r="F406" t="s">
        <v>1738</v>
      </c>
      <c r="G406">
        <f>_xlfn.XLOOKUP(A406,FTD!A:A,FTD!C:C)</f>
        <v>2000</v>
      </c>
      <c r="H406" cm="1">
        <f t="array" ref="H406">_xlfn.LET(
  _xlpm.s, TRIM(F406),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6" t="str">
        <f>_xlfn.XLOOKUP(E406,Calendar!C:C,Calendar!B:B)</f>
        <v>Working Day</v>
      </c>
      <c r="M406" s="2">
        <v>46222</v>
      </c>
      <c r="N406" t="s">
        <v>1422</v>
      </c>
      <c r="O406" t="s">
        <v>1784</v>
      </c>
      <c r="P406">
        <v>2</v>
      </c>
      <c r="Q406" t="str">
        <f>_xlfn.XLOOKUP(N406,Attendance!F:F,Attendance!J:J)</f>
        <v>New OJT</v>
      </c>
      <c r="R406">
        <f t="shared" si="13"/>
        <v>500</v>
      </c>
    </row>
    <row r="407" spans="1:18" x14ac:dyDescent="0.25">
      <c r="A407" t="s">
        <v>407</v>
      </c>
      <c r="B407" t="s">
        <v>1384</v>
      </c>
      <c r="C407" t="s">
        <v>1425</v>
      </c>
      <c r="D407" s="2">
        <v>46233.750740740739</v>
      </c>
      <c r="E407" s="2">
        <f t="shared" si="12"/>
        <v>46233</v>
      </c>
      <c r="F407" t="s">
        <v>1742</v>
      </c>
      <c r="G407">
        <f>_xlfn.XLOOKUP(A407,FTD!A:A,FTD!C:C)</f>
        <v>1000</v>
      </c>
      <c r="H407" cm="1">
        <f t="array" ref="H407">_xlfn.LET(
  _xlpm.s, TRIM(F407),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07" t="str">
        <f>_xlfn.XLOOKUP(E407,Calendar!C:C,Calendar!B:B)</f>
        <v>Working Day</v>
      </c>
      <c r="M407" s="2">
        <v>46222</v>
      </c>
      <c r="N407" t="s">
        <v>1417</v>
      </c>
      <c r="O407" t="s">
        <v>1784</v>
      </c>
      <c r="P407">
        <v>1</v>
      </c>
      <c r="Q407" t="str">
        <f>_xlfn.XLOOKUP(N407,Attendance!F:F,Attendance!J:J)</f>
        <v>Meta</v>
      </c>
      <c r="R407">
        <f t="shared" si="13"/>
        <v>0</v>
      </c>
    </row>
    <row r="408" spans="1:18" x14ac:dyDescent="0.25">
      <c r="A408" t="s">
        <v>408</v>
      </c>
      <c r="B408" t="s">
        <v>1384</v>
      </c>
      <c r="C408" t="s">
        <v>1409</v>
      </c>
      <c r="D408" s="2">
        <v>46209.390810185185</v>
      </c>
      <c r="E408" s="2">
        <f t="shared" si="12"/>
        <v>46209</v>
      </c>
      <c r="F408" t="s">
        <v>1738</v>
      </c>
      <c r="G408">
        <f>_xlfn.XLOOKUP(A408,FTD!A:A,FTD!C:C)</f>
        <v>1000</v>
      </c>
      <c r="H408" cm="1">
        <f t="array" ref="H408">_xlfn.LET(
  _xlpm.s, TRIM(F408),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8" t="str">
        <f>_xlfn.XLOOKUP(E408,Calendar!C:C,Calendar!B:B)</f>
        <v>Working Day</v>
      </c>
      <c r="M408" s="2">
        <v>46222</v>
      </c>
      <c r="N408" t="s">
        <v>1400</v>
      </c>
      <c r="O408" t="s">
        <v>1784</v>
      </c>
      <c r="P408">
        <v>2</v>
      </c>
      <c r="Q408" t="str">
        <f>_xlfn.XLOOKUP(N408,Attendance!F:F,Attendance!J:J)</f>
        <v>Meta</v>
      </c>
      <c r="R408">
        <f t="shared" si="13"/>
        <v>0</v>
      </c>
    </row>
    <row r="409" spans="1:18" x14ac:dyDescent="0.25">
      <c r="A409" t="s">
        <v>409</v>
      </c>
      <c r="B409" t="s">
        <v>1387</v>
      </c>
      <c r="C409" t="s">
        <v>1390</v>
      </c>
      <c r="D409" s="2">
        <v>46209.597511574073</v>
      </c>
      <c r="E409" s="2">
        <f t="shared" si="12"/>
        <v>46209</v>
      </c>
      <c r="F409" t="s">
        <v>1743</v>
      </c>
      <c r="G409">
        <f>_xlfn.XLOOKUP(A409,FTD!A:A,FTD!C:C)</f>
        <v>3000</v>
      </c>
      <c r="H409" cm="1">
        <f t="array" ref="H409">_xlfn.LET(
  _xlpm.s, TRIM(F409),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09" t="str">
        <f>_xlfn.XLOOKUP(E409,Calendar!C:C,Calendar!B:B)</f>
        <v>Working Day</v>
      </c>
      <c r="M409" s="2">
        <v>46222</v>
      </c>
      <c r="N409" t="s">
        <v>1412</v>
      </c>
      <c r="O409" t="s">
        <v>1784</v>
      </c>
      <c r="P409">
        <v>2</v>
      </c>
      <c r="Q409" t="str">
        <f>_xlfn.XLOOKUP(N409,Attendance!F:F,Attendance!J:J)</f>
        <v>1</v>
      </c>
      <c r="R409">
        <f t="shared" si="13"/>
        <v>0</v>
      </c>
    </row>
    <row r="410" spans="1:18" x14ac:dyDescent="0.25">
      <c r="A410" t="s">
        <v>410</v>
      </c>
      <c r="B410" t="s">
        <v>1387</v>
      </c>
      <c r="C410" t="s">
        <v>1391</v>
      </c>
      <c r="D410" s="2">
        <v>46206.283587962964</v>
      </c>
      <c r="E410" s="2">
        <f t="shared" si="12"/>
        <v>46206</v>
      </c>
      <c r="F410" t="s">
        <v>1741</v>
      </c>
      <c r="G410">
        <f>_xlfn.XLOOKUP(A410,FTD!A:A,FTD!C:C)</f>
        <v>1000</v>
      </c>
      <c r="H410" cm="1">
        <f t="array" ref="H410">_xlfn.LET(
  _xlpm.s, TRIM(F410),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0" t="str">
        <f>_xlfn.XLOOKUP(E410,Calendar!C:C,Calendar!B:B)</f>
        <v>Working Day</v>
      </c>
      <c r="M410" s="2">
        <v>46222</v>
      </c>
      <c r="N410" t="s">
        <v>1406</v>
      </c>
      <c r="O410" t="s">
        <v>1784</v>
      </c>
      <c r="P410">
        <v>1</v>
      </c>
      <c r="Q410" t="str">
        <f>_xlfn.XLOOKUP(N410,Attendance!F:F,Attendance!J:J)</f>
        <v>1</v>
      </c>
      <c r="R410">
        <f t="shared" si="13"/>
        <v>0</v>
      </c>
    </row>
    <row r="411" spans="1:18" x14ac:dyDescent="0.25">
      <c r="A411" t="s">
        <v>411</v>
      </c>
      <c r="B411" t="s">
        <v>1387</v>
      </c>
      <c r="C411" t="s">
        <v>1426</v>
      </c>
      <c r="D411" s="2">
        <v>46225.447731481479</v>
      </c>
      <c r="E411" s="2">
        <f t="shared" si="12"/>
        <v>46225</v>
      </c>
      <c r="F411" t="s">
        <v>1738</v>
      </c>
      <c r="G411">
        <f>_xlfn.XLOOKUP(A411,FTD!A:A,FTD!C:C)</f>
        <v>10000</v>
      </c>
      <c r="H411" cm="1">
        <f t="array" ref="H411">_xlfn.LET(
  _xlpm.s, TRIM(F411),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1" t="str">
        <f>_xlfn.XLOOKUP(E411,Calendar!C:C,Calendar!B:B)</f>
        <v>Working Day</v>
      </c>
      <c r="M411" s="2">
        <v>46222</v>
      </c>
      <c r="N411" t="s">
        <v>1425</v>
      </c>
      <c r="O411" t="s">
        <v>1784</v>
      </c>
      <c r="P411">
        <v>1</v>
      </c>
      <c r="Q411" t="str">
        <f>_xlfn.XLOOKUP(N411,Attendance!F:F,Attendance!J:J)</f>
        <v>OJT 1</v>
      </c>
      <c r="R411">
        <f t="shared" si="13"/>
        <v>0</v>
      </c>
    </row>
    <row r="412" spans="1:18" x14ac:dyDescent="0.25">
      <c r="A412" t="s">
        <v>412</v>
      </c>
      <c r="B412" t="s">
        <v>1387</v>
      </c>
      <c r="C412" t="s">
        <v>1402</v>
      </c>
      <c r="D412" s="2">
        <v>46210.576307870368</v>
      </c>
      <c r="E412" s="2">
        <f t="shared" si="12"/>
        <v>46210</v>
      </c>
      <c r="F412" t="s">
        <v>1738</v>
      </c>
      <c r="G412">
        <f>_xlfn.XLOOKUP(A412,FTD!A:A,FTD!C:C)</f>
        <v>2500</v>
      </c>
      <c r="H412" cm="1">
        <f t="array" ref="H412">_xlfn.LET(
  _xlpm.s, TRIM(F412),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2" t="str">
        <f>_xlfn.XLOOKUP(E412,Calendar!C:C,Calendar!B:B)</f>
        <v>Working Day</v>
      </c>
      <c r="M412" s="2">
        <v>46222</v>
      </c>
      <c r="N412" t="s">
        <v>1391</v>
      </c>
      <c r="O412" t="s">
        <v>1784</v>
      </c>
      <c r="P412">
        <v>1</v>
      </c>
      <c r="Q412" t="str">
        <f>_xlfn.XLOOKUP(N412,Attendance!F:F,Attendance!J:J)</f>
        <v>Dialer</v>
      </c>
      <c r="R412">
        <f t="shared" si="13"/>
        <v>0</v>
      </c>
    </row>
    <row r="413" spans="1:18" x14ac:dyDescent="0.25">
      <c r="A413" t="s">
        <v>413</v>
      </c>
      <c r="B413" t="s">
        <v>1387</v>
      </c>
      <c r="C413" t="s">
        <v>1429</v>
      </c>
      <c r="D413" s="2">
        <v>46224.966134259259</v>
      </c>
      <c r="E413" s="2">
        <f t="shared" si="12"/>
        <v>46224</v>
      </c>
      <c r="F413" t="s">
        <v>1739</v>
      </c>
      <c r="G413">
        <f>_xlfn.XLOOKUP(A413,FTD!A:A,FTD!C:C)</f>
        <v>2000</v>
      </c>
      <c r="H413" cm="1">
        <f t="array" ref="H413">_xlfn.LET(
  _xlpm.s, TRIM(F413),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13" t="str">
        <f>_xlfn.XLOOKUP(E413,Calendar!C:C,Calendar!B:B)</f>
        <v>Working Day</v>
      </c>
      <c r="M413" s="2">
        <v>46222</v>
      </c>
      <c r="N413" t="s">
        <v>1428</v>
      </c>
      <c r="O413" t="s">
        <v>1784</v>
      </c>
      <c r="P413">
        <v>2</v>
      </c>
      <c r="Q413" t="str">
        <f>_xlfn.XLOOKUP(N413,Attendance!F:F,Attendance!J:J)</f>
        <v>OLD OJT</v>
      </c>
      <c r="R413">
        <f t="shared" si="13"/>
        <v>500</v>
      </c>
    </row>
    <row r="414" spans="1:18" x14ac:dyDescent="0.25">
      <c r="A414" t="s">
        <v>414</v>
      </c>
      <c r="B414" t="s">
        <v>1387</v>
      </c>
      <c r="C414" t="s">
        <v>1389</v>
      </c>
      <c r="D414" s="2">
        <v>46233.838275462964</v>
      </c>
      <c r="E414" s="2">
        <f t="shared" si="12"/>
        <v>46233</v>
      </c>
      <c r="F414" t="s">
        <v>1743</v>
      </c>
      <c r="G414">
        <f>_xlfn.XLOOKUP(A414,FTD!A:A,FTD!C:C)</f>
        <v>1000</v>
      </c>
      <c r="H414" cm="1">
        <f t="array" ref="H414">_xlfn.LET(
  _xlpm.s, TRIM(F414),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4" t="str">
        <f>_xlfn.XLOOKUP(E414,Calendar!C:C,Calendar!B:B)</f>
        <v>Working Day</v>
      </c>
      <c r="M414" s="2">
        <v>46222</v>
      </c>
      <c r="N414" t="s">
        <v>1408</v>
      </c>
      <c r="O414" t="s">
        <v>1784</v>
      </c>
      <c r="P414">
        <v>1</v>
      </c>
      <c r="Q414" t="str">
        <f>_xlfn.XLOOKUP(N414,Attendance!F:F,Attendance!J:J)</f>
        <v>1</v>
      </c>
      <c r="R414">
        <f t="shared" si="13"/>
        <v>0</v>
      </c>
    </row>
    <row r="415" spans="1:18" x14ac:dyDescent="0.25">
      <c r="A415" t="s">
        <v>415</v>
      </c>
      <c r="B415" t="s">
        <v>1384</v>
      </c>
      <c r="C415" t="s">
        <v>1428</v>
      </c>
      <c r="D415" s="2">
        <v>46223.675937499997</v>
      </c>
      <c r="E415" s="2">
        <f t="shared" si="12"/>
        <v>46223</v>
      </c>
      <c r="F415" t="s">
        <v>1738</v>
      </c>
      <c r="G415">
        <f>_xlfn.XLOOKUP(A415,FTD!A:A,FTD!C:C)</f>
        <v>1000</v>
      </c>
      <c r="H415" cm="1">
        <f t="array" ref="H415">_xlfn.LET(
  _xlpm.s, TRIM(F415),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5" t="str">
        <f>_xlfn.XLOOKUP(E415,Calendar!C:C,Calendar!B:B)</f>
        <v>Working Day</v>
      </c>
      <c r="M415" s="2">
        <v>46223</v>
      </c>
      <c r="N415" t="s">
        <v>1405</v>
      </c>
      <c r="O415" t="s">
        <v>1789</v>
      </c>
      <c r="P415">
        <v>1</v>
      </c>
      <c r="Q415" t="str">
        <f>_xlfn.XLOOKUP(N415,Attendance!F:F,Attendance!J:J)</f>
        <v>Dialer</v>
      </c>
      <c r="R415">
        <f t="shared" si="13"/>
        <v>0</v>
      </c>
    </row>
    <row r="416" spans="1:18" x14ac:dyDescent="0.25">
      <c r="A416" t="s">
        <v>416</v>
      </c>
      <c r="B416" t="s">
        <v>1387</v>
      </c>
      <c r="C416" t="s">
        <v>1435</v>
      </c>
      <c r="D416" s="2">
        <v>46205.515196759254</v>
      </c>
      <c r="E416" s="2">
        <f t="shared" si="12"/>
        <v>46205</v>
      </c>
      <c r="F416" t="s">
        <v>1744</v>
      </c>
      <c r="G416">
        <f>_xlfn.XLOOKUP(A416,FTD!A:A,FTD!C:C)</f>
        <v>1000</v>
      </c>
      <c r="H416" cm="1">
        <f t="array" ref="H416">_xlfn.LET(
  _xlpm.s, TRIM(F416),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6" t="str">
        <f>_xlfn.XLOOKUP(E416,Calendar!C:C,Calendar!B:B)</f>
        <v>Working Day</v>
      </c>
      <c r="M416" s="2">
        <v>46223</v>
      </c>
      <c r="N416" t="s">
        <v>1436</v>
      </c>
      <c r="O416" t="s">
        <v>1789</v>
      </c>
      <c r="P416">
        <v>1</v>
      </c>
      <c r="Q416" t="str">
        <f>_xlfn.XLOOKUP(N416,Attendance!F:F,Attendance!J:J)</f>
        <v>Telegram</v>
      </c>
      <c r="R416">
        <f t="shared" si="13"/>
        <v>0</v>
      </c>
    </row>
    <row r="417" spans="1:18" x14ac:dyDescent="0.25">
      <c r="A417" t="s">
        <v>417</v>
      </c>
      <c r="B417" t="s">
        <v>1387</v>
      </c>
      <c r="C417" t="s">
        <v>1399</v>
      </c>
      <c r="D417" s="2">
        <v>46234.406087962961</v>
      </c>
      <c r="E417" s="2">
        <f t="shared" si="12"/>
        <v>46234</v>
      </c>
      <c r="F417" t="s">
        <v>1739</v>
      </c>
      <c r="G417">
        <f>_xlfn.XLOOKUP(A417,FTD!A:A,FTD!C:C)</f>
        <v>1000</v>
      </c>
      <c r="H417" cm="1">
        <f t="array" ref="H417">_xlfn.LET(
  _xlpm.s, TRIM(F417),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17" t="str">
        <f>_xlfn.XLOOKUP(E417,Calendar!C:C,Calendar!B:B)</f>
        <v>Working Day</v>
      </c>
      <c r="M417" s="2">
        <v>46223</v>
      </c>
      <c r="N417" t="s">
        <v>1415</v>
      </c>
      <c r="O417" t="s">
        <v>1789</v>
      </c>
      <c r="P417">
        <v>2</v>
      </c>
      <c r="Q417" t="str">
        <f>_xlfn.XLOOKUP(N417,Attendance!F:F,Attendance!J:J)</f>
        <v>Meta</v>
      </c>
      <c r="R417">
        <f t="shared" si="13"/>
        <v>0</v>
      </c>
    </row>
    <row r="418" spans="1:18" x14ac:dyDescent="0.25">
      <c r="A418" t="s">
        <v>418</v>
      </c>
      <c r="B418" t="s">
        <v>1387</v>
      </c>
      <c r="C418" t="s">
        <v>1408</v>
      </c>
      <c r="D418" s="2">
        <v>46210.75</v>
      </c>
      <c r="E418" s="2">
        <f t="shared" si="12"/>
        <v>46210</v>
      </c>
      <c r="F418" t="s">
        <v>1739</v>
      </c>
      <c r="G418">
        <f>_xlfn.XLOOKUP(A418,FTD!A:A,FTD!C:C)</f>
        <v>1000</v>
      </c>
      <c r="H418" cm="1">
        <f t="array" ref="H418">_xlfn.LET(
  _xlpm.s, TRIM(F418),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18" t="str">
        <f>_xlfn.XLOOKUP(E418,Calendar!C:C,Calendar!B:B)</f>
        <v>Working Day</v>
      </c>
      <c r="M418" s="2">
        <v>46223</v>
      </c>
      <c r="N418" t="s">
        <v>1398</v>
      </c>
      <c r="O418" t="s">
        <v>1789</v>
      </c>
      <c r="P418">
        <v>6</v>
      </c>
      <c r="Q418" t="str">
        <f>_xlfn.XLOOKUP(N418,Attendance!F:F,Attendance!J:J)</f>
        <v>1</v>
      </c>
      <c r="R418">
        <f t="shared" si="13"/>
        <v>0</v>
      </c>
    </row>
    <row r="419" spans="1:18" x14ac:dyDescent="0.25">
      <c r="A419" t="s">
        <v>419</v>
      </c>
      <c r="B419" t="s">
        <v>1384</v>
      </c>
      <c r="C419" t="s">
        <v>1427</v>
      </c>
      <c r="D419" s="2">
        <v>46220.558819444443</v>
      </c>
      <c r="E419" s="2">
        <f t="shared" si="12"/>
        <v>46220</v>
      </c>
      <c r="F419" t="s">
        <v>1738</v>
      </c>
      <c r="G419">
        <f>_xlfn.XLOOKUP(A419,FTD!A:A,FTD!C:C)</f>
        <v>500</v>
      </c>
      <c r="H419" cm="1">
        <f t="array" ref="H419">_xlfn.LET(
  _xlpm.s, TRIM(F419),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19" t="str">
        <f>_xlfn.XLOOKUP(E419,Calendar!C:C,Calendar!B:B)</f>
        <v>Working Day</v>
      </c>
      <c r="M419" s="2">
        <v>46223</v>
      </c>
      <c r="N419" t="s">
        <v>1413</v>
      </c>
      <c r="O419" t="s">
        <v>1789</v>
      </c>
      <c r="P419">
        <v>2</v>
      </c>
      <c r="Q419" t="str">
        <f>_xlfn.XLOOKUP(N419,Attendance!F:F,Attendance!J:J)</f>
        <v>Dialer</v>
      </c>
      <c r="R419">
        <f t="shared" si="13"/>
        <v>0</v>
      </c>
    </row>
    <row r="420" spans="1:18" x14ac:dyDescent="0.25">
      <c r="A420" t="s">
        <v>420</v>
      </c>
      <c r="B420" t="s">
        <v>1384</v>
      </c>
      <c r="C420" t="s">
        <v>1436</v>
      </c>
      <c r="D420" s="2">
        <v>46220.803206018514</v>
      </c>
      <c r="E420" s="2">
        <f t="shared" si="12"/>
        <v>46220</v>
      </c>
      <c r="F420" t="s">
        <v>1741</v>
      </c>
      <c r="G420">
        <f>_xlfn.XLOOKUP(A420,FTD!A:A,FTD!C:C)</f>
        <v>491</v>
      </c>
      <c r="H420" cm="1">
        <f t="array" ref="H420">_xlfn.LET(
  _xlpm.s, TRIM(F420),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0" t="str">
        <f>_xlfn.XLOOKUP(E420,Calendar!C:C,Calendar!B:B)</f>
        <v>Working Day</v>
      </c>
      <c r="M420" s="2">
        <v>46223</v>
      </c>
      <c r="N420" t="s">
        <v>1420</v>
      </c>
      <c r="O420" t="s">
        <v>1789</v>
      </c>
      <c r="P420">
        <v>1</v>
      </c>
      <c r="Q420" t="e">
        <f>_xlfn.XLOOKUP(N420,Attendance!F:F,Attendance!J:J)</f>
        <v>#N/A</v>
      </c>
      <c r="R420">
        <f t="shared" si="13"/>
        <v>0</v>
      </c>
    </row>
    <row r="421" spans="1:18" x14ac:dyDescent="0.25">
      <c r="A421" t="s">
        <v>421</v>
      </c>
      <c r="B421" t="s">
        <v>1387</v>
      </c>
      <c r="C421" t="s">
        <v>1399</v>
      </c>
      <c r="D421" s="2">
        <v>46217.515023148146</v>
      </c>
      <c r="E421" s="2">
        <f t="shared" si="12"/>
        <v>46217</v>
      </c>
      <c r="F421" t="s">
        <v>1739</v>
      </c>
      <c r="G421">
        <f>_xlfn.XLOOKUP(A421,FTD!A:A,FTD!C:C)</f>
        <v>1000</v>
      </c>
      <c r="H421" cm="1">
        <f t="array" ref="H421">_xlfn.LET(
  _xlpm.s, TRIM(F421),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21" t="str">
        <f>_xlfn.XLOOKUP(E421,Calendar!C:C,Calendar!B:B)</f>
        <v>Working Day</v>
      </c>
      <c r="M421" s="2">
        <v>46223</v>
      </c>
      <c r="N421" t="s">
        <v>1389</v>
      </c>
      <c r="O421" t="s">
        <v>1789</v>
      </c>
      <c r="P421">
        <v>2</v>
      </c>
      <c r="Q421" t="str">
        <f>_xlfn.XLOOKUP(N421,Attendance!F:F,Attendance!J:J)</f>
        <v>Meta</v>
      </c>
      <c r="R421">
        <f t="shared" si="13"/>
        <v>0</v>
      </c>
    </row>
    <row r="422" spans="1:18" x14ac:dyDescent="0.25">
      <c r="A422" t="s">
        <v>422</v>
      </c>
      <c r="B422" t="s">
        <v>1387</v>
      </c>
      <c r="C422" t="s">
        <v>1391</v>
      </c>
      <c r="D422" s="2">
        <v>46223.996076388888</v>
      </c>
      <c r="E422" s="2">
        <f t="shared" si="12"/>
        <v>46223</v>
      </c>
      <c r="F422" t="s">
        <v>1738</v>
      </c>
      <c r="G422">
        <f>_xlfn.XLOOKUP(A422,FTD!A:A,FTD!C:C)</f>
        <v>2000</v>
      </c>
      <c r="H422" cm="1">
        <f t="array" ref="H422">_xlfn.LET(
  _xlpm.s, TRIM(F422),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2" t="str">
        <f>_xlfn.XLOOKUP(E422,Calendar!C:C,Calendar!B:B)</f>
        <v>Working Day</v>
      </c>
      <c r="M422" s="2">
        <v>46223</v>
      </c>
      <c r="N422" t="s">
        <v>1414</v>
      </c>
      <c r="O422" t="s">
        <v>1789</v>
      </c>
      <c r="P422">
        <v>1</v>
      </c>
      <c r="Q422" t="str">
        <f>_xlfn.XLOOKUP(N422,Attendance!F:F,Attendance!J:J)</f>
        <v>New OJT</v>
      </c>
      <c r="R422">
        <f t="shared" si="13"/>
        <v>0</v>
      </c>
    </row>
    <row r="423" spans="1:18" x14ac:dyDescent="0.25">
      <c r="A423" t="s">
        <v>423</v>
      </c>
      <c r="B423" t="s">
        <v>1387</v>
      </c>
      <c r="C423" t="s">
        <v>1400</v>
      </c>
      <c r="D423" s="2">
        <v>46227.633425925924</v>
      </c>
      <c r="E423" s="2">
        <f t="shared" si="12"/>
        <v>46227</v>
      </c>
      <c r="F423" t="s">
        <v>1739</v>
      </c>
      <c r="G423">
        <f>_xlfn.XLOOKUP(A423,FTD!A:A,FTD!C:C)</f>
        <v>1000</v>
      </c>
      <c r="H423" cm="1">
        <f t="array" ref="H423">_xlfn.LET(
  _xlpm.s, TRIM(F423),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23" t="str">
        <f>_xlfn.XLOOKUP(E423,Calendar!C:C,Calendar!B:B)</f>
        <v>Working Day</v>
      </c>
      <c r="M423" s="2">
        <v>46223</v>
      </c>
      <c r="N423" t="s">
        <v>1417</v>
      </c>
      <c r="O423" t="s">
        <v>1789</v>
      </c>
      <c r="P423">
        <v>1</v>
      </c>
      <c r="Q423" t="str">
        <f>_xlfn.XLOOKUP(N423,Attendance!F:F,Attendance!J:J)</f>
        <v>Meta</v>
      </c>
      <c r="R423">
        <f t="shared" si="13"/>
        <v>0</v>
      </c>
    </row>
    <row r="424" spans="1:18" x14ac:dyDescent="0.25">
      <c r="A424" t="s">
        <v>424</v>
      </c>
      <c r="B424" t="s">
        <v>1387</v>
      </c>
      <c r="C424" t="s">
        <v>1408</v>
      </c>
      <c r="D424" s="2">
        <v>46225.795636574076</v>
      </c>
      <c r="E424" s="2">
        <f t="shared" si="12"/>
        <v>46225</v>
      </c>
      <c r="F424" t="s">
        <v>1738</v>
      </c>
      <c r="G424">
        <f>_xlfn.XLOOKUP(A424,FTD!A:A,FTD!C:C)</f>
        <v>2500</v>
      </c>
      <c r="H424" cm="1">
        <f t="array" ref="H424">_xlfn.LET(
  _xlpm.s, TRIM(F424),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4" t="str">
        <f>_xlfn.XLOOKUP(E424,Calendar!C:C,Calendar!B:B)</f>
        <v>Working Day</v>
      </c>
      <c r="M424" s="2">
        <v>46223</v>
      </c>
      <c r="N424" t="s">
        <v>1400</v>
      </c>
      <c r="O424" t="s">
        <v>1789</v>
      </c>
      <c r="P424">
        <v>6</v>
      </c>
      <c r="Q424" t="str">
        <f>_xlfn.XLOOKUP(N424,Attendance!F:F,Attendance!J:J)</f>
        <v>Meta</v>
      </c>
      <c r="R424">
        <f t="shared" si="13"/>
        <v>700</v>
      </c>
    </row>
    <row r="425" spans="1:18" x14ac:dyDescent="0.25">
      <c r="A425" t="s">
        <v>425</v>
      </c>
      <c r="B425" t="s">
        <v>1387</v>
      </c>
      <c r="C425" t="s">
        <v>1398</v>
      </c>
      <c r="D425" s="2">
        <v>46230.958703703705</v>
      </c>
      <c r="E425" s="2">
        <f t="shared" si="12"/>
        <v>46230</v>
      </c>
      <c r="F425" t="s">
        <v>1738</v>
      </c>
      <c r="G425">
        <f>_xlfn.XLOOKUP(A425,FTD!A:A,FTD!C:C)</f>
        <v>20000</v>
      </c>
      <c r="H425" cm="1">
        <f t="array" ref="H425">_xlfn.LET(
  _xlpm.s, TRIM(F425),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5" t="str">
        <f>_xlfn.XLOOKUP(E425,Calendar!C:C,Calendar!B:B)</f>
        <v>Working Day</v>
      </c>
      <c r="M425" s="2">
        <v>46223</v>
      </c>
      <c r="N425" t="s">
        <v>1397</v>
      </c>
      <c r="O425" t="s">
        <v>1789</v>
      </c>
      <c r="P425">
        <v>1</v>
      </c>
      <c r="Q425" t="str">
        <f>_xlfn.XLOOKUP(N425,Attendance!F:F,Attendance!J:J)</f>
        <v>Meta</v>
      </c>
      <c r="R425">
        <f t="shared" si="13"/>
        <v>0</v>
      </c>
    </row>
    <row r="426" spans="1:18" x14ac:dyDescent="0.25">
      <c r="A426" t="s">
        <v>426</v>
      </c>
      <c r="B426" t="s">
        <v>1387</v>
      </c>
      <c r="C426" t="s">
        <v>1431</v>
      </c>
      <c r="D426" s="2">
        <v>46227.998692129629</v>
      </c>
      <c r="E426" s="2">
        <f t="shared" si="12"/>
        <v>46227</v>
      </c>
      <c r="F426" t="s">
        <v>1762</v>
      </c>
      <c r="G426">
        <f>_xlfn.XLOOKUP(A426,FTD!A:A,FTD!C:C)</f>
        <v>35000</v>
      </c>
      <c r="H426" cm="1">
        <f t="array" ref="H426">_xlfn.LET(
  _xlpm.s, TRIM(F426),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26" t="str">
        <f>_xlfn.XLOOKUP(E426,Calendar!C:C,Calendar!B:B)</f>
        <v>Working Day</v>
      </c>
      <c r="M426" s="2">
        <v>46223</v>
      </c>
      <c r="N426" t="s">
        <v>1407</v>
      </c>
      <c r="O426" t="s">
        <v>1789</v>
      </c>
      <c r="P426">
        <v>3</v>
      </c>
      <c r="Q426" t="str">
        <f>_xlfn.XLOOKUP(N426,Attendance!F:F,Attendance!J:J)</f>
        <v>Meta</v>
      </c>
      <c r="R426">
        <f t="shared" si="13"/>
        <v>0</v>
      </c>
    </row>
    <row r="427" spans="1:18" x14ac:dyDescent="0.25">
      <c r="A427" t="s">
        <v>427</v>
      </c>
      <c r="B427" t="s">
        <v>1387</v>
      </c>
      <c r="C427" t="s">
        <v>1399</v>
      </c>
      <c r="D427" s="2">
        <v>46220.820011574069</v>
      </c>
      <c r="E427" s="2">
        <f t="shared" si="12"/>
        <v>46220</v>
      </c>
      <c r="F427" t="s">
        <v>1738</v>
      </c>
      <c r="G427">
        <f>_xlfn.XLOOKUP(A427,FTD!A:A,FTD!C:C)</f>
        <v>5000</v>
      </c>
      <c r="H427" cm="1">
        <f t="array" ref="H427">_xlfn.LET(
  _xlpm.s, TRIM(F427),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7" t="str">
        <f>_xlfn.XLOOKUP(E427,Calendar!C:C,Calendar!B:B)</f>
        <v>Working Day</v>
      </c>
      <c r="M427" s="2">
        <v>46223</v>
      </c>
      <c r="N427" t="s">
        <v>1411</v>
      </c>
      <c r="O427" t="s">
        <v>1789</v>
      </c>
      <c r="P427">
        <v>2</v>
      </c>
      <c r="Q427" t="str">
        <f>_xlfn.XLOOKUP(N427,Attendance!F:F,Attendance!J:J)</f>
        <v>OJT4</v>
      </c>
      <c r="R427">
        <f t="shared" si="13"/>
        <v>0</v>
      </c>
    </row>
    <row r="428" spans="1:18" x14ac:dyDescent="0.25">
      <c r="A428" t="s">
        <v>428</v>
      </c>
      <c r="B428" t="s">
        <v>1387</v>
      </c>
      <c r="C428" t="s">
        <v>1408</v>
      </c>
      <c r="D428" s="2">
        <v>46231.400393518517</v>
      </c>
      <c r="E428" s="2">
        <f t="shared" si="12"/>
        <v>46231</v>
      </c>
      <c r="F428" t="s">
        <v>1738</v>
      </c>
      <c r="G428">
        <f>_xlfn.XLOOKUP(A428,FTD!A:A,FTD!C:C)</f>
        <v>7500</v>
      </c>
      <c r="H428" cm="1">
        <f t="array" ref="H428">_xlfn.LET(
  _xlpm.s, TRIM(F428),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8" t="str">
        <f>_xlfn.XLOOKUP(E428,Calendar!C:C,Calendar!B:B)</f>
        <v>Working Day</v>
      </c>
      <c r="M428" s="2">
        <v>46223</v>
      </c>
      <c r="N428" t="s">
        <v>1396</v>
      </c>
      <c r="O428" t="s">
        <v>1789</v>
      </c>
      <c r="P428">
        <v>1</v>
      </c>
      <c r="Q428" t="str">
        <f>_xlfn.XLOOKUP(N428,Attendance!F:F,Attendance!J:J)</f>
        <v>Telegram</v>
      </c>
      <c r="R428">
        <f t="shared" si="13"/>
        <v>0</v>
      </c>
    </row>
    <row r="429" spans="1:18" x14ac:dyDescent="0.25">
      <c r="A429" t="s">
        <v>429</v>
      </c>
      <c r="B429" t="s">
        <v>1387</v>
      </c>
      <c r="C429" t="s">
        <v>1406</v>
      </c>
      <c r="D429" s="2">
        <v>46226.870011574072</v>
      </c>
      <c r="E429" s="2">
        <f t="shared" si="12"/>
        <v>46226</v>
      </c>
      <c r="F429" t="s">
        <v>1738</v>
      </c>
      <c r="G429">
        <f>_xlfn.XLOOKUP(A429,FTD!A:A,FTD!C:C)</f>
        <v>5000</v>
      </c>
      <c r="H429" cm="1">
        <f t="array" ref="H429">_xlfn.LET(
  _xlpm.s, TRIM(F429),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29" t="str">
        <f>_xlfn.XLOOKUP(E429,Calendar!C:C,Calendar!B:B)</f>
        <v>Working Day</v>
      </c>
      <c r="M429" s="2">
        <v>46223</v>
      </c>
      <c r="N429" t="s">
        <v>1412</v>
      </c>
      <c r="O429" t="s">
        <v>1789</v>
      </c>
      <c r="P429">
        <v>1</v>
      </c>
      <c r="Q429" t="str">
        <f>_xlfn.XLOOKUP(N429,Attendance!F:F,Attendance!J:J)</f>
        <v>1</v>
      </c>
      <c r="R429">
        <f t="shared" si="13"/>
        <v>0</v>
      </c>
    </row>
    <row r="430" spans="1:18" x14ac:dyDescent="0.25">
      <c r="A430" t="s">
        <v>430</v>
      </c>
      <c r="B430" t="s">
        <v>1387</v>
      </c>
      <c r="C430" t="s">
        <v>1406</v>
      </c>
      <c r="D430" s="2">
        <v>46227.730370370366</v>
      </c>
      <c r="E430" s="2">
        <f t="shared" si="12"/>
        <v>46227</v>
      </c>
      <c r="F430" t="s">
        <v>1739</v>
      </c>
      <c r="G430">
        <f>_xlfn.XLOOKUP(A430,FTD!A:A,FTD!C:C)</f>
        <v>4000</v>
      </c>
      <c r="H430" cm="1">
        <f t="array" ref="H430">_xlfn.LET(
  _xlpm.s, TRIM(F430),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30" t="str">
        <f>_xlfn.XLOOKUP(E430,Calendar!C:C,Calendar!B:B)</f>
        <v>Working Day</v>
      </c>
      <c r="M430" s="2">
        <v>46223</v>
      </c>
      <c r="N430" t="s">
        <v>1406</v>
      </c>
      <c r="O430" t="s">
        <v>1789</v>
      </c>
      <c r="P430">
        <v>5</v>
      </c>
      <c r="Q430" t="str">
        <f>_xlfn.XLOOKUP(N430,Attendance!F:F,Attendance!J:J)</f>
        <v>1</v>
      </c>
      <c r="R430">
        <f t="shared" si="13"/>
        <v>0</v>
      </c>
    </row>
    <row r="431" spans="1:18" x14ac:dyDescent="0.25">
      <c r="A431" t="s">
        <v>431</v>
      </c>
      <c r="B431" t="s">
        <v>1387</v>
      </c>
      <c r="C431" t="s">
        <v>1399</v>
      </c>
      <c r="D431" s="2">
        <v>46205.386238425926</v>
      </c>
      <c r="E431" s="2">
        <f t="shared" si="12"/>
        <v>46205</v>
      </c>
      <c r="F431" t="s">
        <v>1738</v>
      </c>
      <c r="G431">
        <f>_xlfn.XLOOKUP(A431,FTD!A:A,FTD!C:C)</f>
        <v>10000</v>
      </c>
      <c r="H431" cm="1">
        <f t="array" ref="H431">_xlfn.LET(
  _xlpm.s, TRIM(F431),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1" t="str">
        <f>_xlfn.XLOOKUP(E431,Calendar!C:C,Calendar!B:B)</f>
        <v>Working Day</v>
      </c>
      <c r="M431" s="2">
        <v>46223</v>
      </c>
      <c r="N431" t="s">
        <v>1431</v>
      </c>
      <c r="O431" t="s">
        <v>1789</v>
      </c>
      <c r="P431">
        <v>2</v>
      </c>
      <c r="Q431" t="str">
        <f>_xlfn.XLOOKUP(N431,Attendance!F:F,Attendance!J:J)</f>
        <v>Telegram</v>
      </c>
      <c r="R431">
        <f t="shared" si="13"/>
        <v>0</v>
      </c>
    </row>
    <row r="432" spans="1:18" x14ac:dyDescent="0.25">
      <c r="A432" t="s">
        <v>432</v>
      </c>
      <c r="B432" t="s">
        <v>1387</v>
      </c>
      <c r="C432" t="s">
        <v>1406</v>
      </c>
      <c r="D432" s="2">
        <v>46209.981145833328</v>
      </c>
      <c r="E432" s="2">
        <f t="shared" si="12"/>
        <v>46209</v>
      </c>
      <c r="F432" t="s">
        <v>1738</v>
      </c>
      <c r="G432">
        <f>_xlfn.XLOOKUP(A432,FTD!A:A,FTD!C:C)</f>
        <v>5000</v>
      </c>
      <c r="H432" cm="1">
        <f t="array" ref="H432">_xlfn.LET(
  _xlpm.s, TRIM(F432),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2" t="str">
        <f>_xlfn.XLOOKUP(E432,Calendar!C:C,Calendar!B:B)</f>
        <v>Working Day</v>
      </c>
      <c r="M432" s="2">
        <v>46223</v>
      </c>
      <c r="N432" t="s">
        <v>1430</v>
      </c>
      <c r="O432" t="s">
        <v>1789</v>
      </c>
      <c r="P432">
        <v>1</v>
      </c>
      <c r="Q432" t="str">
        <f>_xlfn.XLOOKUP(N432,Attendance!F:F,Attendance!J:J)</f>
        <v>Telegram</v>
      </c>
      <c r="R432">
        <f t="shared" si="13"/>
        <v>0</v>
      </c>
    </row>
    <row r="433" spans="1:18" x14ac:dyDescent="0.25">
      <c r="A433" t="s">
        <v>433</v>
      </c>
      <c r="B433" t="s">
        <v>1387</v>
      </c>
      <c r="C433" t="s">
        <v>1417</v>
      </c>
      <c r="D433" s="2">
        <v>46232.58388888889</v>
      </c>
      <c r="E433" s="2">
        <f t="shared" si="12"/>
        <v>46232</v>
      </c>
      <c r="F433" t="s">
        <v>1743</v>
      </c>
      <c r="G433">
        <f>_xlfn.XLOOKUP(A433,FTD!A:A,FTD!C:C)</f>
        <v>1000</v>
      </c>
      <c r="H433" cm="1">
        <f t="array" ref="H433">_xlfn.LET(
  _xlpm.s, TRIM(F433),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3" t="str">
        <f>_xlfn.XLOOKUP(E433,Calendar!C:C,Calendar!B:B)</f>
        <v>Working Day</v>
      </c>
      <c r="M433" s="2">
        <v>46223</v>
      </c>
      <c r="N433" t="s">
        <v>1402</v>
      </c>
      <c r="O433" t="s">
        <v>1789</v>
      </c>
      <c r="P433">
        <v>2</v>
      </c>
      <c r="Q433" t="str">
        <f>_xlfn.XLOOKUP(N433,Attendance!F:F,Attendance!J:J)</f>
        <v>1</v>
      </c>
      <c r="R433">
        <f t="shared" si="13"/>
        <v>0</v>
      </c>
    </row>
    <row r="434" spans="1:18" x14ac:dyDescent="0.25">
      <c r="A434" t="s">
        <v>434</v>
      </c>
      <c r="B434" t="s">
        <v>1387</v>
      </c>
      <c r="C434" t="s">
        <v>1392</v>
      </c>
      <c r="D434" s="2">
        <v>46232.643761574072</v>
      </c>
      <c r="E434" s="2">
        <f t="shared" si="12"/>
        <v>46232</v>
      </c>
      <c r="F434" t="s">
        <v>1745</v>
      </c>
      <c r="G434">
        <f>_xlfn.XLOOKUP(A434,FTD!A:A,FTD!C:C)</f>
        <v>10000</v>
      </c>
      <c r="H434" cm="1">
        <f t="array" ref="H434">_xlfn.LET(
  _xlpm.s, TRIM(F434),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34" t="str">
        <f>_xlfn.XLOOKUP(E434,Calendar!C:C,Calendar!B:B)</f>
        <v>Working Day</v>
      </c>
      <c r="M434" s="2">
        <v>46223</v>
      </c>
      <c r="N434" t="s">
        <v>1391</v>
      </c>
      <c r="O434" t="s">
        <v>1789</v>
      </c>
      <c r="P434">
        <v>3</v>
      </c>
      <c r="Q434" t="str">
        <f>_xlfn.XLOOKUP(N434,Attendance!F:F,Attendance!J:J)</f>
        <v>Dialer</v>
      </c>
      <c r="R434">
        <f t="shared" si="13"/>
        <v>500</v>
      </c>
    </row>
    <row r="435" spans="1:18" x14ac:dyDescent="0.25">
      <c r="A435" t="s">
        <v>435</v>
      </c>
      <c r="B435" t="s">
        <v>1387</v>
      </c>
      <c r="C435" t="s">
        <v>1399</v>
      </c>
      <c r="D435" s="2">
        <v>46213.394247685181</v>
      </c>
      <c r="E435" s="2">
        <f t="shared" si="12"/>
        <v>46213</v>
      </c>
      <c r="F435" t="s">
        <v>1738</v>
      </c>
      <c r="G435">
        <f>_xlfn.XLOOKUP(A435,FTD!A:A,FTD!C:C)</f>
        <v>1000</v>
      </c>
      <c r="H435" cm="1">
        <f t="array" ref="H435">_xlfn.LET(
  _xlpm.s, TRIM(F435),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5" t="str">
        <f>_xlfn.XLOOKUP(E435,Calendar!C:C,Calendar!B:B)</f>
        <v>Working Day</v>
      </c>
      <c r="M435" s="2">
        <v>46223</v>
      </c>
      <c r="N435" t="s">
        <v>1393</v>
      </c>
      <c r="O435" t="s">
        <v>1789</v>
      </c>
      <c r="P435">
        <v>3</v>
      </c>
      <c r="Q435" t="str">
        <f>_xlfn.XLOOKUP(N435,Attendance!F:F,Attendance!J:J)</f>
        <v>Dialer</v>
      </c>
      <c r="R435">
        <f t="shared" si="13"/>
        <v>500</v>
      </c>
    </row>
    <row r="436" spans="1:18" x14ac:dyDescent="0.25">
      <c r="A436" t="s">
        <v>436</v>
      </c>
      <c r="B436" t="s">
        <v>1387</v>
      </c>
      <c r="C436" t="s">
        <v>1391</v>
      </c>
      <c r="D436" s="2">
        <v>46216.536111111112</v>
      </c>
      <c r="E436" s="2">
        <f t="shared" si="12"/>
        <v>46216</v>
      </c>
      <c r="F436" t="s">
        <v>1744</v>
      </c>
      <c r="G436">
        <f>_xlfn.XLOOKUP(A436,FTD!A:A,FTD!C:C)</f>
        <v>3500</v>
      </c>
      <c r="H436" cm="1">
        <f t="array" ref="H436">_xlfn.LET(
  _xlpm.s, TRIM(F436),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6" t="str">
        <f>_xlfn.XLOOKUP(E436,Calendar!C:C,Calendar!B:B)</f>
        <v>Working Day</v>
      </c>
      <c r="M436" s="2">
        <v>46223</v>
      </c>
      <c r="N436" t="s">
        <v>1390</v>
      </c>
      <c r="O436" t="s">
        <v>1789</v>
      </c>
      <c r="P436">
        <v>1</v>
      </c>
      <c r="Q436" t="str">
        <f>_xlfn.XLOOKUP(N436,Attendance!F:F,Attendance!J:J)</f>
        <v>Meta</v>
      </c>
      <c r="R436">
        <f t="shared" si="13"/>
        <v>0</v>
      </c>
    </row>
    <row r="437" spans="1:18" x14ac:dyDescent="0.25">
      <c r="A437" t="s">
        <v>437</v>
      </c>
      <c r="B437" t="s">
        <v>1387</v>
      </c>
      <c r="C437" t="s">
        <v>1408</v>
      </c>
      <c r="D437" s="2">
        <v>46218.592847222222</v>
      </c>
      <c r="E437" s="2">
        <f t="shared" si="12"/>
        <v>46218</v>
      </c>
      <c r="F437" t="s">
        <v>1739</v>
      </c>
      <c r="G437">
        <f>_xlfn.XLOOKUP(A437,FTD!A:A,FTD!C:C)</f>
        <v>1000</v>
      </c>
      <c r="H437" cm="1">
        <f t="array" ref="H437">_xlfn.LET(
  _xlpm.s, TRIM(F437),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37" t="str">
        <f>_xlfn.XLOOKUP(E437,Calendar!C:C,Calendar!B:B)</f>
        <v>Working Day</v>
      </c>
      <c r="M437" s="2">
        <v>46223</v>
      </c>
      <c r="N437" t="s">
        <v>1392</v>
      </c>
      <c r="O437" t="s">
        <v>1789</v>
      </c>
      <c r="P437">
        <v>1</v>
      </c>
      <c r="Q437" t="str">
        <f>_xlfn.XLOOKUP(N437,Attendance!F:F,Attendance!J:J)</f>
        <v>Telegram</v>
      </c>
      <c r="R437">
        <f t="shared" si="13"/>
        <v>0</v>
      </c>
    </row>
    <row r="438" spans="1:18" x14ac:dyDescent="0.25">
      <c r="A438" t="s">
        <v>438</v>
      </c>
      <c r="B438" t="s">
        <v>1387</v>
      </c>
      <c r="C438" t="s">
        <v>1406</v>
      </c>
      <c r="D438" s="2">
        <v>46221.809942129628</v>
      </c>
      <c r="E438" s="2">
        <f t="shared" si="12"/>
        <v>46221</v>
      </c>
      <c r="F438" t="s">
        <v>1738</v>
      </c>
      <c r="G438">
        <f>_xlfn.XLOOKUP(A438,FTD!A:A,FTD!C:C)</f>
        <v>1000</v>
      </c>
      <c r="H438" cm="1">
        <f t="array" ref="H438">_xlfn.LET(
  _xlpm.s, TRIM(F438),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8" t="str">
        <f>_xlfn.XLOOKUP(E438,Calendar!C:C,Calendar!B:B)</f>
        <v>Saturday</v>
      </c>
      <c r="M438" s="2">
        <v>46223</v>
      </c>
      <c r="N438" t="s">
        <v>1429</v>
      </c>
      <c r="O438" t="s">
        <v>1789</v>
      </c>
      <c r="P438">
        <v>1</v>
      </c>
      <c r="Q438" t="e">
        <f>_xlfn.XLOOKUP(N438,Attendance!F:F,Attendance!J:J)</f>
        <v>#N/A</v>
      </c>
      <c r="R438">
        <f t="shared" si="13"/>
        <v>0</v>
      </c>
    </row>
    <row r="439" spans="1:18" x14ac:dyDescent="0.25">
      <c r="A439" t="s">
        <v>439</v>
      </c>
      <c r="B439" t="s">
        <v>1387</v>
      </c>
      <c r="C439" t="s">
        <v>1406</v>
      </c>
      <c r="D439" s="2">
        <v>46227.657650462963</v>
      </c>
      <c r="E439" s="2">
        <f t="shared" si="12"/>
        <v>46227</v>
      </c>
      <c r="F439" t="s">
        <v>1738</v>
      </c>
      <c r="G439">
        <f>_xlfn.XLOOKUP(A439,FTD!A:A,FTD!C:C)</f>
        <v>2000</v>
      </c>
      <c r="H439" cm="1">
        <f t="array" ref="H439">_xlfn.LET(
  _xlpm.s, TRIM(F439),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39" t="str">
        <f>_xlfn.XLOOKUP(E439,Calendar!C:C,Calendar!B:B)</f>
        <v>Working Day</v>
      </c>
      <c r="M439" s="2">
        <v>46223</v>
      </c>
      <c r="N439" t="s">
        <v>1399</v>
      </c>
      <c r="O439" t="s">
        <v>1789</v>
      </c>
      <c r="P439">
        <v>2</v>
      </c>
      <c r="Q439" t="str">
        <f>_xlfn.XLOOKUP(N439,Attendance!F:F,Attendance!J:J)</f>
        <v>1</v>
      </c>
      <c r="R439">
        <f t="shared" si="13"/>
        <v>0</v>
      </c>
    </row>
    <row r="440" spans="1:18" x14ac:dyDescent="0.25">
      <c r="A440" t="s">
        <v>440</v>
      </c>
      <c r="B440" t="s">
        <v>1387</v>
      </c>
      <c r="C440" t="s">
        <v>1402</v>
      </c>
      <c r="D440" s="2">
        <v>46216.460370370369</v>
      </c>
      <c r="E440" s="2">
        <f t="shared" si="12"/>
        <v>46216</v>
      </c>
      <c r="F440" t="s">
        <v>1738</v>
      </c>
      <c r="G440">
        <f>_xlfn.XLOOKUP(A440,FTD!A:A,FTD!C:C)</f>
        <v>1000</v>
      </c>
      <c r="H440" cm="1">
        <f t="array" ref="H440">_xlfn.LET(
  _xlpm.s, TRIM(F440),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0" t="str">
        <f>_xlfn.XLOOKUP(E440,Calendar!C:C,Calendar!B:B)</f>
        <v>Working Day</v>
      </c>
      <c r="M440" s="2">
        <v>46223</v>
      </c>
      <c r="N440" t="s">
        <v>1427</v>
      </c>
      <c r="O440" t="s">
        <v>1789</v>
      </c>
      <c r="P440">
        <v>1</v>
      </c>
      <c r="Q440" t="str">
        <f>_xlfn.XLOOKUP(N440,Attendance!F:F,Attendance!J:J)</f>
        <v>New OJT</v>
      </c>
      <c r="R440">
        <f t="shared" si="13"/>
        <v>0</v>
      </c>
    </row>
    <row r="441" spans="1:18" x14ac:dyDescent="0.25">
      <c r="A441" t="s">
        <v>441</v>
      </c>
      <c r="B441" t="s">
        <v>1387</v>
      </c>
      <c r="C441" t="s">
        <v>1436</v>
      </c>
      <c r="D441" s="2">
        <v>46219.174398148149</v>
      </c>
      <c r="E441" s="2">
        <f t="shared" si="12"/>
        <v>46219</v>
      </c>
      <c r="F441" t="s">
        <v>1738</v>
      </c>
      <c r="G441">
        <f>_xlfn.XLOOKUP(A441,FTD!A:A,FTD!C:C)</f>
        <v>5799</v>
      </c>
      <c r="H441" cm="1">
        <f t="array" ref="H441">_xlfn.LET(
  _xlpm.s, TRIM(F441),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1" t="str">
        <f>_xlfn.XLOOKUP(E441,Calendar!C:C,Calendar!B:B)</f>
        <v>Working Day</v>
      </c>
      <c r="M441" s="2">
        <v>46223</v>
      </c>
      <c r="N441" t="s">
        <v>1418</v>
      </c>
      <c r="O441" t="s">
        <v>1789</v>
      </c>
      <c r="P441">
        <v>1</v>
      </c>
      <c r="Q441" t="str">
        <f>_xlfn.XLOOKUP(N441,Attendance!F:F,Attendance!J:J)</f>
        <v>OJT 1</v>
      </c>
      <c r="R441">
        <f t="shared" si="13"/>
        <v>0</v>
      </c>
    </row>
    <row r="442" spans="1:18" x14ac:dyDescent="0.25">
      <c r="A442" t="s">
        <v>442</v>
      </c>
      <c r="B442" t="s">
        <v>1387</v>
      </c>
      <c r="C442" t="s">
        <v>1408</v>
      </c>
      <c r="D442" s="2">
        <v>46209.448194444441</v>
      </c>
      <c r="E442" s="2">
        <f t="shared" si="12"/>
        <v>46209</v>
      </c>
      <c r="F442" t="s">
        <v>1739</v>
      </c>
      <c r="G442">
        <f>_xlfn.XLOOKUP(A442,FTD!A:A,FTD!C:C)</f>
        <v>1000</v>
      </c>
      <c r="H442" cm="1">
        <f t="array" ref="H442">_xlfn.LET(
  _xlpm.s, TRIM(F442),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42" t="str">
        <f>_xlfn.XLOOKUP(E442,Calendar!C:C,Calendar!B:B)</f>
        <v>Working Day</v>
      </c>
      <c r="M442" s="2">
        <v>46223</v>
      </c>
      <c r="N442" t="s">
        <v>1428</v>
      </c>
      <c r="O442" t="s">
        <v>1789</v>
      </c>
      <c r="P442">
        <v>2</v>
      </c>
      <c r="Q442" t="str">
        <f>_xlfn.XLOOKUP(N442,Attendance!F:F,Attendance!J:J)</f>
        <v>OLD OJT</v>
      </c>
      <c r="R442">
        <f t="shared" si="13"/>
        <v>0</v>
      </c>
    </row>
    <row r="443" spans="1:18" x14ac:dyDescent="0.25">
      <c r="A443" t="s">
        <v>443</v>
      </c>
      <c r="B443" t="s">
        <v>1387</v>
      </c>
      <c r="C443" t="s">
        <v>1391</v>
      </c>
      <c r="D443" s="2">
        <v>46216.752291666664</v>
      </c>
      <c r="E443" s="2">
        <f t="shared" si="12"/>
        <v>46216</v>
      </c>
      <c r="F443" t="s">
        <v>1744</v>
      </c>
      <c r="G443">
        <f>_xlfn.XLOOKUP(A443,FTD!A:A,FTD!C:C)</f>
        <v>1500</v>
      </c>
      <c r="H443" cm="1">
        <f t="array" ref="H443">_xlfn.LET(
  _xlpm.s, TRIM(F443),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3" t="str">
        <f>_xlfn.XLOOKUP(E443,Calendar!C:C,Calendar!B:B)</f>
        <v>Working Day</v>
      </c>
      <c r="M443" s="2">
        <v>46223</v>
      </c>
      <c r="N443" t="s">
        <v>1408</v>
      </c>
      <c r="O443" t="s">
        <v>1789</v>
      </c>
      <c r="P443">
        <v>6</v>
      </c>
      <c r="Q443" t="str">
        <f>_xlfn.XLOOKUP(N443,Attendance!F:F,Attendance!J:J)</f>
        <v>1</v>
      </c>
      <c r="R443">
        <f t="shared" si="13"/>
        <v>0</v>
      </c>
    </row>
    <row r="444" spans="1:18" x14ac:dyDescent="0.25">
      <c r="A444" t="s">
        <v>444</v>
      </c>
      <c r="B444" t="s">
        <v>1387</v>
      </c>
      <c r="C444" t="s">
        <v>1407</v>
      </c>
      <c r="D444" s="2">
        <v>46217.766377314816</v>
      </c>
      <c r="E444" s="2">
        <f t="shared" si="12"/>
        <v>46217</v>
      </c>
      <c r="F444" t="s">
        <v>1739</v>
      </c>
      <c r="G444">
        <f>_xlfn.XLOOKUP(A444,FTD!A:A,FTD!C:C)</f>
        <v>2000</v>
      </c>
      <c r="H444" cm="1">
        <f t="array" ref="H444">_xlfn.LET(
  _xlpm.s, TRIM(F444),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44" t="str">
        <f>_xlfn.XLOOKUP(E444,Calendar!C:C,Calendar!B:B)</f>
        <v>Working Day</v>
      </c>
      <c r="M444" s="2">
        <v>46224</v>
      </c>
      <c r="N444" t="s">
        <v>1405</v>
      </c>
      <c r="O444" t="s">
        <v>1789</v>
      </c>
      <c r="P444">
        <v>1</v>
      </c>
      <c r="Q444" t="str">
        <f>_xlfn.XLOOKUP(N444,Attendance!F:F,Attendance!J:J)</f>
        <v>Dialer</v>
      </c>
      <c r="R444">
        <f t="shared" si="13"/>
        <v>0</v>
      </c>
    </row>
    <row r="445" spans="1:18" x14ac:dyDescent="0.25">
      <c r="A445" t="s">
        <v>445</v>
      </c>
      <c r="B445" t="s">
        <v>1387</v>
      </c>
      <c r="C445" t="s">
        <v>1408</v>
      </c>
      <c r="D445" s="2">
        <v>46225.419270833328</v>
      </c>
      <c r="E445" s="2">
        <f t="shared" si="12"/>
        <v>46225</v>
      </c>
      <c r="F445" t="s">
        <v>1738</v>
      </c>
      <c r="G445">
        <f>_xlfn.XLOOKUP(A445,FTD!A:A,FTD!C:C)</f>
        <v>4100</v>
      </c>
      <c r="H445" cm="1">
        <f t="array" ref="H445">_xlfn.LET(
  _xlpm.s, TRIM(F445),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5" t="str">
        <f>_xlfn.XLOOKUP(E445,Calendar!C:C,Calendar!B:B)</f>
        <v>Working Day</v>
      </c>
      <c r="M445" s="2">
        <v>46224</v>
      </c>
      <c r="N445" t="s">
        <v>1403</v>
      </c>
      <c r="O445" t="s">
        <v>1789</v>
      </c>
      <c r="P445">
        <v>3</v>
      </c>
      <c r="Q445" t="str">
        <f>_xlfn.XLOOKUP(N445,Attendance!F:F,Attendance!J:J)</f>
        <v>Meta</v>
      </c>
      <c r="R445">
        <f t="shared" si="13"/>
        <v>0</v>
      </c>
    </row>
    <row r="446" spans="1:18" x14ac:dyDescent="0.25">
      <c r="A446" t="s">
        <v>446</v>
      </c>
      <c r="B446" t="s">
        <v>1387</v>
      </c>
      <c r="C446" t="s">
        <v>1393</v>
      </c>
      <c r="D446" s="2">
        <v>46216.552800925921</v>
      </c>
      <c r="E446" s="2">
        <f t="shared" si="12"/>
        <v>46216</v>
      </c>
      <c r="F446" t="s">
        <v>1741</v>
      </c>
      <c r="G446">
        <f>_xlfn.XLOOKUP(A446,FTD!A:A,FTD!C:C)</f>
        <v>1000</v>
      </c>
      <c r="H446" cm="1">
        <f t="array" ref="H446">_xlfn.LET(
  _xlpm.s, TRIM(F446),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6" t="str">
        <f>_xlfn.XLOOKUP(E446,Calendar!C:C,Calendar!B:B)</f>
        <v>Working Day</v>
      </c>
      <c r="M446" s="2">
        <v>46224</v>
      </c>
      <c r="N446" t="s">
        <v>1436</v>
      </c>
      <c r="O446" t="s">
        <v>1789</v>
      </c>
      <c r="P446">
        <v>1</v>
      </c>
      <c r="Q446" t="str">
        <f>_xlfn.XLOOKUP(N446,Attendance!F:F,Attendance!J:J)</f>
        <v>Telegram</v>
      </c>
      <c r="R446">
        <f t="shared" si="13"/>
        <v>0</v>
      </c>
    </row>
    <row r="447" spans="1:18" x14ac:dyDescent="0.25">
      <c r="A447" t="s">
        <v>447</v>
      </c>
      <c r="B447" t="s">
        <v>1387</v>
      </c>
      <c r="C447" t="s">
        <v>1402</v>
      </c>
      <c r="D447" s="2">
        <v>46212.956689814811</v>
      </c>
      <c r="E447" s="2">
        <f t="shared" si="12"/>
        <v>46212</v>
      </c>
      <c r="F447" t="s">
        <v>1738</v>
      </c>
      <c r="G447">
        <f>_xlfn.XLOOKUP(A447,FTD!A:A,FTD!C:C)</f>
        <v>2000</v>
      </c>
      <c r="H447" cm="1">
        <f t="array" ref="H447">_xlfn.LET(
  _xlpm.s, TRIM(F447),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7" t="str">
        <f>_xlfn.XLOOKUP(E447,Calendar!C:C,Calendar!B:B)</f>
        <v>Working Day</v>
      </c>
      <c r="M447" s="2">
        <v>46224</v>
      </c>
      <c r="N447" t="s">
        <v>1415</v>
      </c>
      <c r="O447" t="s">
        <v>1789</v>
      </c>
      <c r="P447">
        <v>1</v>
      </c>
      <c r="Q447" t="str">
        <f>_xlfn.XLOOKUP(N447,Attendance!F:F,Attendance!J:J)</f>
        <v>Meta</v>
      </c>
      <c r="R447">
        <f t="shared" si="13"/>
        <v>0</v>
      </c>
    </row>
    <row r="448" spans="1:18" x14ac:dyDescent="0.25">
      <c r="A448" t="s">
        <v>448</v>
      </c>
      <c r="B448" t="s">
        <v>1387</v>
      </c>
      <c r="C448" t="s">
        <v>1388</v>
      </c>
      <c r="D448" s="2">
        <v>46216.751203703701</v>
      </c>
      <c r="E448" s="2">
        <f t="shared" si="12"/>
        <v>46216</v>
      </c>
      <c r="F448" t="s">
        <v>1759</v>
      </c>
      <c r="G448">
        <f>_xlfn.XLOOKUP(A448,FTD!A:A,FTD!C:C)</f>
        <v>1000</v>
      </c>
      <c r="H448" cm="1">
        <f t="array" ref="H448">_xlfn.LET(
  _xlpm.s, TRIM(F448),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48" t="str">
        <f>_xlfn.XLOOKUP(E448,Calendar!C:C,Calendar!B:B)</f>
        <v>Working Day</v>
      </c>
      <c r="M448" s="2">
        <v>46224</v>
      </c>
      <c r="N448" t="s">
        <v>1433</v>
      </c>
      <c r="O448" t="s">
        <v>1789</v>
      </c>
      <c r="P448">
        <v>2</v>
      </c>
      <c r="Q448" t="str">
        <f>_xlfn.XLOOKUP(N448,Attendance!F:F,Attendance!J:J)</f>
        <v>Meta</v>
      </c>
      <c r="R448">
        <f t="shared" si="13"/>
        <v>0</v>
      </c>
    </row>
    <row r="449" spans="1:18" x14ac:dyDescent="0.25">
      <c r="A449" t="s">
        <v>449</v>
      </c>
      <c r="B449" t="s">
        <v>1387</v>
      </c>
      <c r="C449" t="s">
        <v>1405</v>
      </c>
      <c r="D449" s="2">
        <v>46218.570937500001</v>
      </c>
      <c r="E449" s="2">
        <f t="shared" si="12"/>
        <v>46218</v>
      </c>
      <c r="F449" t="s">
        <v>1738</v>
      </c>
      <c r="G449">
        <f>_xlfn.XLOOKUP(A449,FTD!A:A,FTD!C:C)</f>
        <v>1000</v>
      </c>
      <c r="H449" cm="1">
        <f t="array" ref="H449">_xlfn.LET(
  _xlpm.s, TRIM(F449),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49" t="str">
        <f>_xlfn.XLOOKUP(E449,Calendar!C:C,Calendar!B:B)</f>
        <v>Working Day</v>
      </c>
      <c r="M449" s="2">
        <v>46224</v>
      </c>
      <c r="N449" t="s">
        <v>1398</v>
      </c>
      <c r="O449" t="s">
        <v>1789</v>
      </c>
      <c r="P449">
        <v>5</v>
      </c>
      <c r="Q449" t="str">
        <f>_xlfn.XLOOKUP(N449,Attendance!F:F,Attendance!J:J)</f>
        <v>1</v>
      </c>
      <c r="R449">
        <f t="shared" si="13"/>
        <v>0</v>
      </c>
    </row>
    <row r="450" spans="1:18" x14ac:dyDescent="0.25">
      <c r="A450" t="s">
        <v>450</v>
      </c>
      <c r="B450" t="s">
        <v>1387</v>
      </c>
      <c r="C450" t="s">
        <v>1425</v>
      </c>
      <c r="D450" s="2">
        <v>46233.031053240738</v>
      </c>
      <c r="E450" s="2">
        <f t="shared" si="12"/>
        <v>46233</v>
      </c>
      <c r="F450" t="s">
        <v>1744</v>
      </c>
      <c r="G450">
        <f>_xlfn.XLOOKUP(A450,FTD!A:A,FTD!C:C)</f>
        <v>3000</v>
      </c>
      <c r="H450" cm="1">
        <f t="array" ref="H450">_xlfn.LET(
  _xlpm.s, TRIM(F450),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0" t="str">
        <f>_xlfn.XLOOKUP(E450,Calendar!C:C,Calendar!B:B)</f>
        <v>Working Day</v>
      </c>
      <c r="M450" s="2">
        <v>46224</v>
      </c>
      <c r="N450" t="s">
        <v>1420</v>
      </c>
      <c r="O450" t="s">
        <v>1789</v>
      </c>
      <c r="P450">
        <v>2</v>
      </c>
      <c r="Q450" t="e">
        <f>_xlfn.XLOOKUP(N450,Attendance!F:F,Attendance!J:J)</f>
        <v>#N/A</v>
      </c>
      <c r="R450">
        <f t="shared" si="13"/>
        <v>0</v>
      </c>
    </row>
    <row r="451" spans="1:18" x14ac:dyDescent="0.25">
      <c r="A451" t="s">
        <v>451</v>
      </c>
      <c r="B451" t="s">
        <v>1387</v>
      </c>
      <c r="C451" t="s">
        <v>1433</v>
      </c>
      <c r="D451" s="2">
        <v>46222.369837962964</v>
      </c>
      <c r="E451" s="2">
        <f t="shared" ref="E451:E514" si="14">INT(D451)</f>
        <v>46222</v>
      </c>
      <c r="F451" t="s">
        <v>1738</v>
      </c>
      <c r="G451">
        <f>_xlfn.XLOOKUP(A451,FTD!A:A,FTD!C:C)</f>
        <v>4000</v>
      </c>
      <c r="H451" cm="1">
        <f t="array" ref="H451">_xlfn.LET(
  _xlpm.s, TRIM(F451),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1" t="str">
        <f>_xlfn.XLOOKUP(E451,Calendar!C:C,Calendar!B:B)</f>
        <v>Sunday</v>
      </c>
      <c r="M451" s="2">
        <v>46224</v>
      </c>
      <c r="N451" t="s">
        <v>1422</v>
      </c>
      <c r="O451" t="s">
        <v>1789</v>
      </c>
      <c r="P451">
        <v>1</v>
      </c>
      <c r="Q451" t="str">
        <f>_xlfn.XLOOKUP(N451,Attendance!F:F,Attendance!J:J)</f>
        <v>New OJT</v>
      </c>
      <c r="R451">
        <f t="shared" si="13"/>
        <v>0</v>
      </c>
    </row>
    <row r="452" spans="1:18" x14ac:dyDescent="0.25">
      <c r="A452" t="s">
        <v>452</v>
      </c>
      <c r="B452" t="s">
        <v>1387</v>
      </c>
      <c r="C452" t="s">
        <v>1436</v>
      </c>
      <c r="D452" s="2">
        <v>46221.96770833333</v>
      </c>
      <c r="E452" s="2">
        <f t="shared" si="14"/>
        <v>46221</v>
      </c>
      <c r="F452" t="s">
        <v>1706</v>
      </c>
      <c r="G452">
        <f>_xlfn.XLOOKUP(A452,FTD!A:A,FTD!C:C)</f>
        <v>1000</v>
      </c>
      <c r="H452" cm="1">
        <f t="array" ref="H452">_xlfn.LET(
  _xlpm.s, TRIM(F452),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52" t="str">
        <f>_xlfn.XLOOKUP(E452,Calendar!C:C,Calendar!B:B)</f>
        <v>Saturday</v>
      </c>
      <c r="M452" s="2">
        <v>46224</v>
      </c>
      <c r="N452" t="s">
        <v>1414</v>
      </c>
      <c r="O452" t="s">
        <v>1789</v>
      </c>
      <c r="P452">
        <v>2</v>
      </c>
      <c r="Q452" t="str">
        <f>_xlfn.XLOOKUP(N452,Attendance!F:F,Attendance!J:J)</f>
        <v>New OJT</v>
      </c>
      <c r="R452">
        <f t="shared" ref="R452:R515" si="15">_xlfn.LET(
  _xlpm.pool, IFERROR(Q452&amp;"", ""),
  _xlpm.conv, IFERROR(--P452, 0),
  _xlpm.mkt,  O453="Working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453" spans="1:18" x14ac:dyDescent="0.25">
      <c r="A453" t="s">
        <v>453</v>
      </c>
      <c r="B453" t="s">
        <v>1387</v>
      </c>
      <c r="C453" t="s">
        <v>1398</v>
      </c>
      <c r="D453" s="2">
        <v>46223.853055555555</v>
      </c>
      <c r="E453" s="2">
        <f t="shared" si="14"/>
        <v>46223</v>
      </c>
      <c r="F453" t="s">
        <v>1738</v>
      </c>
      <c r="G453">
        <f>_xlfn.XLOOKUP(A453,FTD!A:A,FTD!C:C)</f>
        <v>1000</v>
      </c>
      <c r="H453" cm="1">
        <f t="array" ref="H453">_xlfn.LET(
  _xlpm.s, TRIM(F453),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3" t="str">
        <f>_xlfn.XLOOKUP(E453,Calendar!C:C,Calendar!B:B)</f>
        <v>Working Day</v>
      </c>
      <c r="M453" s="2">
        <v>46224</v>
      </c>
      <c r="N453" t="s">
        <v>1400</v>
      </c>
      <c r="O453" t="s">
        <v>1789</v>
      </c>
      <c r="P453">
        <v>1</v>
      </c>
      <c r="Q453" t="str">
        <f>_xlfn.XLOOKUP(N453,Attendance!F:F,Attendance!J:J)</f>
        <v>Meta</v>
      </c>
      <c r="R453">
        <f t="shared" si="15"/>
        <v>0</v>
      </c>
    </row>
    <row r="454" spans="1:18" x14ac:dyDescent="0.25">
      <c r="A454" t="s">
        <v>454</v>
      </c>
      <c r="B454" t="s">
        <v>1387</v>
      </c>
      <c r="C454" t="s">
        <v>1397</v>
      </c>
      <c r="D454" s="2">
        <v>46209.430601851847</v>
      </c>
      <c r="E454" s="2">
        <f t="shared" si="14"/>
        <v>46209</v>
      </c>
      <c r="F454" t="s">
        <v>1743</v>
      </c>
      <c r="G454">
        <f>_xlfn.XLOOKUP(A454,FTD!A:A,FTD!C:C)</f>
        <v>1000</v>
      </c>
      <c r="H454" cm="1">
        <f t="array" ref="H454">_xlfn.LET(
  _xlpm.s, TRIM(F454),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4" t="str">
        <f>_xlfn.XLOOKUP(E454,Calendar!C:C,Calendar!B:B)</f>
        <v>Working Day</v>
      </c>
      <c r="M454" s="2">
        <v>46224</v>
      </c>
      <c r="N454" t="s">
        <v>1397</v>
      </c>
      <c r="O454" t="s">
        <v>1789</v>
      </c>
      <c r="P454">
        <v>1</v>
      </c>
      <c r="Q454" t="str">
        <f>_xlfn.XLOOKUP(N454,Attendance!F:F,Attendance!J:J)</f>
        <v>Meta</v>
      </c>
      <c r="R454">
        <f t="shared" si="15"/>
        <v>0</v>
      </c>
    </row>
    <row r="455" spans="1:18" x14ac:dyDescent="0.25">
      <c r="A455" t="s">
        <v>455</v>
      </c>
      <c r="B455" t="s">
        <v>1387</v>
      </c>
      <c r="C455" t="s">
        <v>1408</v>
      </c>
      <c r="D455" s="2">
        <v>46225.702002314814</v>
      </c>
      <c r="E455" s="2">
        <f t="shared" si="14"/>
        <v>46225</v>
      </c>
      <c r="F455" t="s">
        <v>1738</v>
      </c>
      <c r="G455">
        <f>_xlfn.XLOOKUP(A455,FTD!A:A,FTD!C:C)</f>
        <v>2000</v>
      </c>
      <c r="H455" cm="1">
        <f t="array" ref="H455">_xlfn.LET(
  _xlpm.s, TRIM(F455),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5" t="str">
        <f>_xlfn.XLOOKUP(E455,Calendar!C:C,Calendar!B:B)</f>
        <v>Working Day</v>
      </c>
      <c r="M455" s="2">
        <v>46224</v>
      </c>
      <c r="N455" t="s">
        <v>1396</v>
      </c>
      <c r="O455" t="s">
        <v>1789</v>
      </c>
      <c r="P455">
        <v>1</v>
      </c>
      <c r="Q455" t="str">
        <f>_xlfn.XLOOKUP(N455,Attendance!F:F,Attendance!J:J)</f>
        <v>Telegram</v>
      </c>
      <c r="R455">
        <f t="shared" si="15"/>
        <v>0</v>
      </c>
    </row>
    <row r="456" spans="1:18" x14ac:dyDescent="0.25">
      <c r="A456" t="s">
        <v>456</v>
      </c>
      <c r="B456" t="s">
        <v>1384</v>
      </c>
      <c r="C456" t="s">
        <v>1421</v>
      </c>
      <c r="D456" s="2">
        <v>46209.569930555554</v>
      </c>
      <c r="E456" s="2">
        <f t="shared" si="14"/>
        <v>46209</v>
      </c>
      <c r="F456" t="s">
        <v>1739</v>
      </c>
      <c r="G456">
        <f>_xlfn.XLOOKUP(A456,FTD!A:A,FTD!C:C)</f>
        <v>22</v>
      </c>
      <c r="H456" cm="1">
        <f t="array" ref="H456">_xlfn.LET(
  _xlpm.s, TRIM(F456),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56" t="str">
        <f>_xlfn.XLOOKUP(E456,Calendar!C:C,Calendar!B:B)</f>
        <v>Working Day</v>
      </c>
      <c r="M456" s="2">
        <v>46224</v>
      </c>
      <c r="N456" t="s">
        <v>1435</v>
      </c>
      <c r="O456" t="s">
        <v>1789</v>
      </c>
      <c r="P456">
        <v>1</v>
      </c>
      <c r="Q456" t="str">
        <f>_xlfn.XLOOKUP(N456,Attendance!F:F,Attendance!J:J)</f>
        <v>OLD OJT</v>
      </c>
      <c r="R456">
        <f t="shared" si="15"/>
        <v>0</v>
      </c>
    </row>
    <row r="457" spans="1:18" x14ac:dyDescent="0.25">
      <c r="A457" t="s">
        <v>457</v>
      </c>
      <c r="B457" t="s">
        <v>1384</v>
      </c>
      <c r="C457" t="s">
        <v>1425</v>
      </c>
      <c r="D457" s="2">
        <v>46220.877141203702</v>
      </c>
      <c r="E457" s="2">
        <f t="shared" si="14"/>
        <v>46220</v>
      </c>
      <c r="F457" t="s">
        <v>1739</v>
      </c>
      <c r="G457">
        <f>_xlfn.XLOOKUP(A457,FTD!A:A,FTD!C:C)</f>
        <v>2038.6</v>
      </c>
      <c r="H457" cm="1">
        <f t="array" ref="H457">_xlfn.LET(
  _xlpm.s, TRIM(F457),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57" t="str">
        <f>_xlfn.XLOOKUP(E457,Calendar!C:C,Calendar!B:B)</f>
        <v>Working Day</v>
      </c>
      <c r="M457" s="2">
        <v>46224</v>
      </c>
      <c r="N457" t="s">
        <v>1412</v>
      </c>
      <c r="O457" t="s">
        <v>1789</v>
      </c>
      <c r="P457">
        <v>4</v>
      </c>
      <c r="Q457" t="str">
        <f>_xlfn.XLOOKUP(N457,Attendance!F:F,Attendance!J:J)</f>
        <v>1</v>
      </c>
      <c r="R457">
        <f t="shared" si="15"/>
        <v>0</v>
      </c>
    </row>
    <row r="458" spans="1:18" x14ac:dyDescent="0.25">
      <c r="A458" t="s">
        <v>458</v>
      </c>
      <c r="B458" t="s">
        <v>1384</v>
      </c>
      <c r="C458" t="s">
        <v>1408</v>
      </c>
      <c r="D458" s="2">
        <v>46224.536076388889</v>
      </c>
      <c r="E458" s="2">
        <f t="shared" si="14"/>
        <v>46224</v>
      </c>
      <c r="F458" t="s">
        <v>1738</v>
      </c>
      <c r="G458">
        <f>_xlfn.XLOOKUP(A458,FTD!A:A,FTD!C:C)</f>
        <v>10000</v>
      </c>
      <c r="H458" cm="1">
        <f t="array" ref="H458">_xlfn.LET(
  _xlpm.s, TRIM(F458),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8" t="str">
        <f>_xlfn.XLOOKUP(E458,Calendar!C:C,Calendar!B:B)</f>
        <v>Working Day</v>
      </c>
      <c r="M458" s="2">
        <v>46224</v>
      </c>
      <c r="N458" t="s">
        <v>1406</v>
      </c>
      <c r="O458" t="s">
        <v>1789</v>
      </c>
      <c r="P458">
        <v>5</v>
      </c>
      <c r="Q458" t="str">
        <f>_xlfn.XLOOKUP(N458,Attendance!F:F,Attendance!J:J)</f>
        <v>1</v>
      </c>
      <c r="R458">
        <f t="shared" si="15"/>
        <v>0</v>
      </c>
    </row>
    <row r="459" spans="1:18" x14ac:dyDescent="0.25">
      <c r="A459" t="s">
        <v>459</v>
      </c>
      <c r="B459" t="s">
        <v>1385</v>
      </c>
      <c r="C459" t="s">
        <v>1406</v>
      </c>
      <c r="D459" s="2">
        <v>46224.405162037037</v>
      </c>
      <c r="E459" s="2">
        <f t="shared" si="14"/>
        <v>46224</v>
      </c>
      <c r="F459" t="s">
        <v>1738</v>
      </c>
      <c r="G459">
        <f>_xlfn.XLOOKUP(A459,FTD!A:A,FTD!C:C)</f>
        <v>1000</v>
      </c>
      <c r="H459" cm="1">
        <f t="array" ref="H459">_xlfn.LET(
  _xlpm.s, TRIM(F459),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59" t="str">
        <f>_xlfn.XLOOKUP(E459,Calendar!C:C,Calendar!B:B)</f>
        <v>Working Day</v>
      </c>
      <c r="M459" s="2">
        <v>46224</v>
      </c>
      <c r="N459" t="s">
        <v>1426</v>
      </c>
      <c r="O459" t="s">
        <v>1789</v>
      </c>
      <c r="P459">
        <v>2</v>
      </c>
      <c r="Q459" t="str">
        <f>_xlfn.XLOOKUP(N459,Attendance!F:F,Attendance!J:J)</f>
        <v>OJT 2</v>
      </c>
      <c r="R459">
        <f t="shared" si="15"/>
        <v>0</v>
      </c>
    </row>
    <row r="460" spans="1:18" x14ac:dyDescent="0.25">
      <c r="A460" t="s">
        <v>460</v>
      </c>
      <c r="B460" t="s">
        <v>1384</v>
      </c>
      <c r="C460" t="s">
        <v>1434</v>
      </c>
      <c r="D460" s="2">
        <v>46227.360046296293</v>
      </c>
      <c r="E460" s="2">
        <f t="shared" si="14"/>
        <v>46227</v>
      </c>
      <c r="F460" t="s">
        <v>1740</v>
      </c>
      <c r="G460">
        <f>_xlfn.XLOOKUP(A460,FTD!A:A,FTD!C:C)</f>
        <v>5553</v>
      </c>
      <c r="H460" cm="1">
        <f t="array" ref="H460">_xlfn.LET(
  _xlpm.s, TRIM(F460),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60" t="str">
        <f>_xlfn.XLOOKUP(E460,Calendar!C:C,Calendar!B:B)</f>
        <v>Working Day</v>
      </c>
      <c r="M460" s="2">
        <v>46224</v>
      </c>
      <c r="N460" t="s">
        <v>1431</v>
      </c>
      <c r="O460" t="s">
        <v>1789</v>
      </c>
      <c r="P460">
        <v>4</v>
      </c>
      <c r="Q460" t="str">
        <f>_xlfn.XLOOKUP(N460,Attendance!F:F,Attendance!J:J)</f>
        <v>Telegram</v>
      </c>
      <c r="R460">
        <f t="shared" si="15"/>
        <v>500</v>
      </c>
    </row>
    <row r="461" spans="1:18" x14ac:dyDescent="0.25">
      <c r="A461" t="s">
        <v>461</v>
      </c>
      <c r="B461" t="s">
        <v>1384</v>
      </c>
      <c r="C461" t="s">
        <v>1415</v>
      </c>
      <c r="D461" s="2">
        <v>46223.478657407402</v>
      </c>
      <c r="E461" s="2">
        <f t="shared" si="14"/>
        <v>46223</v>
      </c>
      <c r="F461" t="s">
        <v>1741</v>
      </c>
      <c r="G461">
        <f>_xlfn.XLOOKUP(A461,FTD!A:A,FTD!C:C)</f>
        <v>1000</v>
      </c>
      <c r="H461" cm="1">
        <f t="array" ref="H461">_xlfn.LET(
  _xlpm.s, TRIM(F461),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61" t="str">
        <f>_xlfn.XLOOKUP(E461,Calendar!C:C,Calendar!B:B)</f>
        <v>Working Day</v>
      </c>
      <c r="M461" s="2">
        <v>46224</v>
      </c>
      <c r="N461" t="s">
        <v>1430</v>
      </c>
      <c r="O461" t="s">
        <v>1789</v>
      </c>
      <c r="P461">
        <v>1</v>
      </c>
      <c r="Q461" t="str">
        <f>_xlfn.XLOOKUP(N461,Attendance!F:F,Attendance!J:J)</f>
        <v>Telegram</v>
      </c>
      <c r="R461">
        <f t="shared" si="15"/>
        <v>0</v>
      </c>
    </row>
    <row r="462" spans="1:18" x14ac:dyDescent="0.25">
      <c r="A462" t="s">
        <v>462</v>
      </c>
      <c r="B462" t="s">
        <v>1384</v>
      </c>
      <c r="C462" t="s">
        <v>1389</v>
      </c>
      <c r="D462" s="2">
        <v>46204.779872685183</v>
      </c>
      <c r="E462" s="2">
        <f t="shared" si="14"/>
        <v>46204</v>
      </c>
      <c r="F462" t="s">
        <v>1739</v>
      </c>
      <c r="G462">
        <f>_xlfn.XLOOKUP(A462,FTD!A:A,FTD!C:C)</f>
        <v>4000</v>
      </c>
      <c r="H462" cm="1">
        <f t="array" ref="H462">_xlfn.LET(
  _xlpm.s, TRIM(F462),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62" t="str">
        <f>_xlfn.XLOOKUP(E462,Calendar!C:C,Calendar!B:B)</f>
        <v>Working Day</v>
      </c>
      <c r="M462" s="2">
        <v>46224</v>
      </c>
      <c r="N462" t="s">
        <v>1402</v>
      </c>
      <c r="O462" t="s">
        <v>1789</v>
      </c>
      <c r="P462">
        <v>1</v>
      </c>
      <c r="Q462" t="str">
        <f>_xlfn.XLOOKUP(N462,Attendance!F:F,Attendance!J:J)</f>
        <v>1</v>
      </c>
      <c r="R462">
        <f t="shared" si="15"/>
        <v>0</v>
      </c>
    </row>
    <row r="463" spans="1:18" x14ac:dyDescent="0.25">
      <c r="A463" t="s">
        <v>463</v>
      </c>
      <c r="B463" t="s">
        <v>1384</v>
      </c>
      <c r="C463" t="s">
        <v>1412</v>
      </c>
      <c r="D463" s="2">
        <v>46228.798020833332</v>
      </c>
      <c r="E463" s="2">
        <f t="shared" si="14"/>
        <v>46228</v>
      </c>
      <c r="F463" t="s">
        <v>1746</v>
      </c>
      <c r="G463">
        <f>_xlfn.XLOOKUP(A463,FTD!A:A,FTD!C:C)</f>
        <v>2000</v>
      </c>
      <c r="H463" cm="1">
        <f t="array" ref="H463">_xlfn.LET(
  _xlpm.s, TRIM(F463),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63" t="str">
        <f>_xlfn.XLOOKUP(E463,Calendar!C:C,Calendar!B:B)</f>
        <v>Saturday</v>
      </c>
      <c r="M463" s="2">
        <v>46224</v>
      </c>
      <c r="N463" t="s">
        <v>1425</v>
      </c>
      <c r="O463" t="s">
        <v>1789</v>
      </c>
      <c r="P463">
        <v>1</v>
      </c>
      <c r="Q463" t="str">
        <f>_xlfn.XLOOKUP(N463,Attendance!F:F,Attendance!J:J)</f>
        <v>OJT 1</v>
      </c>
      <c r="R463">
        <f t="shared" si="15"/>
        <v>0</v>
      </c>
    </row>
    <row r="464" spans="1:18" x14ac:dyDescent="0.25">
      <c r="A464" t="s">
        <v>464</v>
      </c>
      <c r="B464" t="s">
        <v>1384</v>
      </c>
      <c r="C464" t="s">
        <v>1403</v>
      </c>
      <c r="D464" s="2">
        <v>46216.277812499997</v>
      </c>
      <c r="E464" s="2">
        <f t="shared" si="14"/>
        <v>46216</v>
      </c>
      <c r="F464" t="s">
        <v>1738</v>
      </c>
      <c r="G464">
        <f>_xlfn.XLOOKUP(A464,FTD!A:A,FTD!C:C)</f>
        <v>1000</v>
      </c>
      <c r="H464" cm="1">
        <f t="array" ref="H464">_xlfn.LET(
  _xlpm.s, TRIM(F464),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64" t="str">
        <f>_xlfn.XLOOKUP(E464,Calendar!C:C,Calendar!B:B)</f>
        <v>Working Day</v>
      </c>
      <c r="M464" s="2">
        <v>46224</v>
      </c>
      <c r="N464" t="s">
        <v>1391</v>
      </c>
      <c r="O464" t="s">
        <v>1789</v>
      </c>
      <c r="P464">
        <v>1</v>
      </c>
      <c r="Q464" t="str">
        <f>_xlfn.XLOOKUP(N464,Attendance!F:F,Attendance!J:J)</f>
        <v>Dialer</v>
      </c>
      <c r="R464">
        <f t="shared" si="15"/>
        <v>0</v>
      </c>
    </row>
    <row r="465" spans="1:18" x14ac:dyDescent="0.25">
      <c r="A465" t="s">
        <v>465</v>
      </c>
      <c r="B465" t="s">
        <v>1384</v>
      </c>
      <c r="C465" t="s">
        <v>1402</v>
      </c>
      <c r="D465" s="2">
        <v>46226.908888888887</v>
      </c>
      <c r="E465" s="2">
        <f t="shared" si="14"/>
        <v>46226</v>
      </c>
      <c r="F465" t="s">
        <v>1741</v>
      </c>
      <c r="G465">
        <f>_xlfn.XLOOKUP(A465,FTD!A:A,FTD!C:C)</f>
        <v>1000</v>
      </c>
      <c r="H465" cm="1">
        <f t="array" ref="H465">_xlfn.LET(
  _xlpm.s, TRIM(F465),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65" t="str">
        <f>_xlfn.XLOOKUP(E465,Calendar!C:C,Calendar!B:B)</f>
        <v>Working Day</v>
      </c>
      <c r="M465" s="2">
        <v>46224</v>
      </c>
      <c r="N465" t="s">
        <v>1390</v>
      </c>
      <c r="O465" t="s">
        <v>1789</v>
      </c>
      <c r="P465">
        <v>1</v>
      </c>
      <c r="Q465" t="str">
        <f>_xlfn.XLOOKUP(N465,Attendance!F:F,Attendance!J:J)</f>
        <v>Meta</v>
      </c>
      <c r="R465">
        <f t="shared" si="15"/>
        <v>0</v>
      </c>
    </row>
    <row r="466" spans="1:18" x14ac:dyDescent="0.25">
      <c r="A466" t="s">
        <v>466</v>
      </c>
      <c r="B466" t="s">
        <v>1384</v>
      </c>
      <c r="C466" t="s">
        <v>1396</v>
      </c>
      <c r="D466" s="2">
        <v>46211.447418981479</v>
      </c>
      <c r="E466" s="2">
        <f t="shared" si="14"/>
        <v>46211</v>
      </c>
      <c r="F466" t="s">
        <v>1738</v>
      </c>
      <c r="G466">
        <f>_xlfn.XLOOKUP(A466,FTD!A:A,FTD!C:C)</f>
        <v>10000</v>
      </c>
      <c r="H466" cm="1">
        <f t="array" ref="H466">_xlfn.LET(
  _xlpm.s, TRIM(F466),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66" t="str">
        <f>_xlfn.XLOOKUP(E466,Calendar!C:C,Calendar!B:B)</f>
        <v>Working Day</v>
      </c>
      <c r="M466" s="2">
        <v>46224</v>
      </c>
      <c r="N466" t="s">
        <v>1421</v>
      </c>
      <c r="O466" t="s">
        <v>1789</v>
      </c>
      <c r="P466">
        <v>1</v>
      </c>
      <c r="Q466" t="str">
        <f>_xlfn.XLOOKUP(N466,Attendance!F:F,Attendance!J:J)</f>
        <v>OJT 1</v>
      </c>
      <c r="R466">
        <f t="shared" si="15"/>
        <v>0</v>
      </c>
    </row>
    <row r="467" spans="1:18" x14ac:dyDescent="0.25">
      <c r="A467" t="s">
        <v>467</v>
      </c>
      <c r="B467" t="s">
        <v>1384</v>
      </c>
      <c r="C467" t="s">
        <v>1427</v>
      </c>
      <c r="D467" s="2">
        <v>46206.409328703703</v>
      </c>
      <c r="E467" s="2">
        <f t="shared" si="14"/>
        <v>46206</v>
      </c>
      <c r="F467" t="s">
        <v>1456</v>
      </c>
      <c r="G467">
        <f>_xlfn.XLOOKUP(A467,FTD!A:A,FTD!C:C)</f>
        <v>12000</v>
      </c>
      <c r="H467" cm="1">
        <f t="array" ref="H467">_xlfn.LET(
  _xlpm.s, TRIM(F467),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67" t="str">
        <f>_xlfn.XLOOKUP(E467,Calendar!C:C,Calendar!B:B)</f>
        <v>Working Day</v>
      </c>
      <c r="M467" s="2">
        <v>46224</v>
      </c>
      <c r="N467" t="s">
        <v>1429</v>
      </c>
      <c r="O467" t="s">
        <v>1789</v>
      </c>
      <c r="P467">
        <v>1</v>
      </c>
      <c r="Q467" t="e">
        <f>_xlfn.XLOOKUP(N467,Attendance!F:F,Attendance!J:J)</f>
        <v>#N/A</v>
      </c>
      <c r="R467">
        <f t="shared" si="15"/>
        <v>0</v>
      </c>
    </row>
    <row r="468" spans="1:18" x14ac:dyDescent="0.25">
      <c r="A468" t="s">
        <v>468</v>
      </c>
      <c r="B468" t="s">
        <v>1384</v>
      </c>
      <c r="C468" t="s">
        <v>1433</v>
      </c>
      <c r="D468" s="2">
        <v>46233.97756944444</v>
      </c>
      <c r="E468" s="2">
        <f t="shared" si="14"/>
        <v>46233</v>
      </c>
      <c r="F468" t="s">
        <v>1758</v>
      </c>
      <c r="G468">
        <f>_xlfn.XLOOKUP(A468,FTD!A:A,FTD!C:C)</f>
        <v>7000</v>
      </c>
      <c r="H468" cm="1">
        <f t="array" ref="H468">_xlfn.LET(
  _xlpm.s, TRIM(F468),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68" t="str">
        <f>_xlfn.XLOOKUP(E468,Calendar!C:C,Calendar!B:B)</f>
        <v>Working Day</v>
      </c>
      <c r="M468" s="2">
        <v>46224</v>
      </c>
      <c r="N468" t="s">
        <v>1410</v>
      </c>
      <c r="O468" t="s">
        <v>1789</v>
      </c>
      <c r="P468">
        <v>1</v>
      </c>
      <c r="Q468" t="str">
        <f>_xlfn.XLOOKUP(N468,Attendance!F:F,Attendance!J:J)</f>
        <v>New OJT</v>
      </c>
      <c r="R468">
        <f t="shared" si="15"/>
        <v>0</v>
      </c>
    </row>
    <row r="469" spans="1:18" x14ac:dyDescent="0.25">
      <c r="A469" t="s">
        <v>469</v>
      </c>
      <c r="B469" t="s">
        <v>1384</v>
      </c>
      <c r="C469" t="s">
        <v>1414</v>
      </c>
      <c r="D469" s="2">
        <v>46224.409085648149</v>
      </c>
      <c r="E469" s="2">
        <f t="shared" si="14"/>
        <v>46224</v>
      </c>
      <c r="F469" t="s">
        <v>1740</v>
      </c>
      <c r="G469">
        <f>_xlfn.XLOOKUP(A469,FTD!A:A,FTD!C:C)</f>
        <v>6000</v>
      </c>
      <c r="H469" cm="1">
        <f t="array" ref="H469">_xlfn.LET(
  _xlpm.s, TRIM(F469),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69" t="str">
        <f>_xlfn.XLOOKUP(E469,Calendar!C:C,Calendar!B:B)</f>
        <v>Working Day</v>
      </c>
      <c r="M469" s="2">
        <v>46224</v>
      </c>
      <c r="N469" t="s">
        <v>1409</v>
      </c>
      <c r="O469" t="s">
        <v>1789</v>
      </c>
      <c r="P469">
        <v>1</v>
      </c>
      <c r="Q469" t="str">
        <f>_xlfn.XLOOKUP(N469,Attendance!F:F,Attendance!J:J)</f>
        <v>Dialer</v>
      </c>
      <c r="R469">
        <f t="shared" si="15"/>
        <v>0</v>
      </c>
    </row>
    <row r="470" spans="1:18" x14ac:dyDescent="0.25">
      <c r="A470" t="s">
        <v>470</v>
      </c>
      <c r="B470" t="s">
        <v>1384</v>
      </c>
      <c r="C470" t="s">
        <v>1438</v>
      </c>
      <c r="D470" s="2">
        <v>46233.84784722222</v>
      </c>
      <c r="E470" s="2">
        <f t="shared" si="14"/>
        <v>46233</v>
      </c>
      <c r="F470" t="s">
        <v>1738</v>
      </c>
      <c r="G470">
        <f>_xlfn.XLOOKUP(A470,FTD!A:A,FTD!C:C)</f>
        <v>5000</v>
      </c>
      <c r="H470" cm="1">
        <f t="array" ref="H470">_xlfn.LET(
  _xlpm.s, TRIM(F470),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70" t="str">
        <f>_xlfn.XLOOKUP(E470,Calendar!C:C,Calendar!B:B)</f>
        <v>Working Day</v>
      </c>
      <c r="M470" s="2">
        <v>46224</v>
      </c>
      <c r="N470" t="s">
        <v>1399</v>
      </c>
      <c r="O470" t="s">
        <v>1789</v>
      </c>
      <c r="P470">
        <v>4</v>
      </c>
      <c r="Q470" t="str">
        <f>_xlfn.XLOOKUP(N470,Attendance!F:F,Attendance!J:J)</f>
        <v>1</v>
      </c>
      <c r="R470">
        <f t="shared" si="15"/>
        <v>0</v>
      </c>
    </row>
    <row r="471" spans="1:18" x14ac:dyDescent="0.25">
      <c r="A471" t="s">
        <v>471</v>
      </c>
      <c r="B471" t="s">
        <v>1384</v>
      </c>
      <c r="C471" t="s">
        <v>1397</v>
      </c>
      <c r="D471" s="2">
        <v>46217.792858796296</v>
      </c>
      <c r="E471" s="2">
        <f t="shared" si="14"/>
        <v>46217</v>
      </c>
      <c r="F471" t="s">
        <v>1739</v>
      </c>
      <c r="G471">
        <f>_xlfn.XLOOKUP(A471,FTD!A:A,FTD!C:C)</f>
        <v>1000</v>
      </c>
      <c r="H471" cm="1">
        <f t="array" ref="H471">_xlfn.LET(
  _xlpm.s, TRIM(F471),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71" t="str">
        <f>_xlfn.XLOOKUP(E471,Calendar!C:C,Calendar!B:B)</f>
        <v>Working Day</v>
      </c>
      <c r="M471" s="2">
        <v>46224</v>
      </c>
      <c r="N471" t="s">
        <v>1418</v>
      </c>
      <c r="O471" t="s">
        <v>1789</v>
      </c>
      <c r="P471">
        <v>1</v>
      </c>
      <c r="Q471" t="str">
        <f>_xlfn.XLOOKUP(N471,Attendance!F:F,Attendance!J:J)</f>
        <v>OJT 1</v>
      </c>
      <c r="R471">
        <f t="shared" si="15"/>
        <v>0</v>
      </c>
    </row>
    <row r="472" spans="1:18" x14ac:dyDescent="0.25">
      <c r="A472" t="s">
        <v>472</v>
      </c>
      <c r="B472" t="s">
        <v>1387</v>
      </c>
      <c r="C472" t="s">
        <v>1408</v>
      </c>
      <c r="D472" s="2">
        <v>46230.393020833333</v>
      </c>
      <c r="E472" s="2">
        <f t="shared" si="14"/>
        <v>46230</v>
      </c>
      <c r="F472" t="s">
        <v>1739</v>
      </c>
      <c r="G472">
        <f>_xlfn.XLOOKUP(A472,FTD!A:A,FTD!C:C)</f>
        <v>1000</v>
      </c>
      <c r="H472" cm="1">
        <f t="array" ref="H472">_xlfn.LET(
  _xlpm.s, TRIM(F472),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72" t="str">
        <f>_xlfn.XLOOKUP(E472,Calendar!C:C,Calendar!B:B)</f>
        <v>Working Day</v>
      </c>
      <c r="M472" s="2">
        <v>46224</v>
      </c>
      <c r="N472" t="s">
        <v>1428</v>
      </c>
      <c r="O472" t="s">
        <v>1789</v>
      </c>
      <c r="P472">
        <v>1</v>
      </c>
      <c r="Q472" t="str">
        <f>_xlfn.XLOOKUP(N472,Attendance!F:F,Attendance!J:J)</f>
        <v>OLD OJT</v>
      </c>
      <c r="R472">
        <f t="shared" si="15"/>
        <v>0</v>
      </c>
    </row>
    <row r="473" spans="1:18" x14ac:dyDescent="0.25">
      <c r="A473" t="s">
        <v>473</v>
      </c>
      <c r="B473" t="s">
        <v>1387</v>
      </c>
      <c r="C473" t="s">
        <v>1412</v>
      </c>
      <c r="D473" s="2">
        <v>46206.400833333333</v>
      </c>
      <c r="E473" s="2">
        <f t="shared" si="14"/>
        <v>46206</v>
      </c>
      <c r="F473" t="s">
        <v>1738</v>
      </c>
      <c r="G473">
        <f>_xlfn.XLOOKUP(A473,FTD!A:A,FTD!C:C)</f>
        <v>1000</v>
      </c>
      <c r="H473" cm="1">
        <f t="array" ref="H473">_xlfn.LET(
  _xlpm.s, TRIM(F473),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73" t="str">
        <f>_xlfn.XLOOKUP(E473,Calendar!C:C,Calendar!B:B)</f>
        <v>Working Day</v>
      </c>
      <c r="M473" s="2">
        <v>46224</v>
      </c>
      <c r="N473" t="s">
        <v>1408</v>
      </c>
      <c r="O473" t="s">
        <v>1789</v>
      </c>
      <c r="P473">
        <v>8</v>
      </c>
      <c r="Q473" t="str">
        <f>_xlfn.XLOOKUP(N473,Attendance!F:F,Attendance!J:J)</f>
        <v>1</v>
      </c>
      <c r="R473">
        <f t="shared" si="15"/>
        <v>300</v>
      </c>
    </row>
    <row r="474" spans="1:18" x14ac:dyDescent="0.25">
      <c r="A474" t="s">
        <v>474</v>
      </c>
      <c r="B474" t="s">
        <v>1387</v>
      </c>
      <c r="C474" t="s">
        <v>1420</v>
      </c>
      <c r="D474" s="2">
        <v>46211.555856481478</v>
      </c>
      <c r="E474" s="2">
        <f t="shared" si="14"/>
        <v>46211</v>
      </c>
      <c r="F474" t="s">
        <v>1739</v>
      </c>
      <c r="G474">
        <f>_xlfn.XLOOKUP(A474,FTD!A:A,FTD!C:C)</f>
        <v>5000</v>
      </c>
      <c r="H474" cm="1">
        <f t="array" ref="H474">_xlfn.LET(
  _xlpm.s, TRIM(F474),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74" t="str">
        <f>_xlfn.XLOOKUP(E474,Calendar!C:C,Calendar!B:B)</f>
        <v>Working Day</v>
      </c>
      <c r="M474" s="2">
        <v>46225</v>
      </c>
      <c r="N474" t="s">
        <v>1405</v>
      </c>
      <c r="O474" t="s">
        <v>1789</v>
      </c>
      <c r="P474">
        <v>2</v>
      </c>
      <c r="Q474" t="str">
        <f>_xlfn.XLOOKUP(N474,Attendance!F:F,Attendance!J:J)</f>
        <v>Dialer</v>
      </c>
      <c r="R474">
        <f t="shared" si="15"/>
        <v>0</v>
      </c>
    </row>
    <row r="475" spans="1:18" x14ac:dyDescent="0.25">
      <c r="A475" t="s">
        <v>475</v>
      </c>
      <c r="B475" t="s">
        <v>1387</v>
      </c>
      <c r="C475" t="s">
        <v>1431</v>
      </c>
      <c r="D475" s="2">
        <v>46223.794652777775</v>
      </c>
      <c r="E475" s="2">
        <f t="shared" si="14"/>
        <v>46223</v>
      </c>
      <c r="F475" t="s">
        <v>1739</v>
      </c>
      <c r="G475">
        <f>_xlfn.XLOOKUP(A475,FTD!A:A,FTD!C:C)</f>
        <v>4034</v>
      </c>
      <c r="H475" cm="1">
        <f t="array" ref="H475">_xlfn.LET(
  _xlpm.s, TRIM(F475),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75" t="str">
        <f>_xlfn.XLOOKUP(E475,Calendar!C:C,Calendar!B:B)</f>
        <v>Working Day</v>
      </c>
      <c r="M475" s="2">
        <v>46225</v>
      </c>
      <c r="N475" t="s">
        <v>1436</v>
      </c>
      <c r="O475" t="s">
        <v>1789</v>
      </c>
      <c r="P475">
        <v>1</v>
      </c>
      <c r="Q475" t="str">
        <f>_xlfn.XLOOKUP(N475,Attendance!F:F,Attendance!J:J)</f>
        <v>Telegram</v>
      </c>
      <c r="R475">
        <f t="shared" si="15"/>
        <v>0</v>
      </c>
    </row>
    <row r="476" spans="1:18" x14ac:dyDescent="0.25">
      <c r="A476" t="s">
        <v>476</v>
      </c>
      <c r="B476" t="s">
        <v>1387</v>
      </c>
      <c r="C476" t="s">
        <v>1415</v>
      </c>
      <c r="D476" s="2">
        <v>46232.720416666663</v>
      </c>
      <c r="E476" s="2">
        <f t="shared" si="14"/>
        <v>46232</v>
      </c>
      <c r="F476" t="s">
        <v>1743</v>
      </c>
      <c r="G476">
        <f>_xlfn.XLOOKUP(A476,FTD!A:A,FTD!C:C)</f>
        <v>1000</v>
      </c>
      <c r="H476" cm="1">
        <f t="array" ref="H476">_xlfn.LET(
  _xlpm.s, TRIM(F476),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76" t="str">
        <f>_xlfn.XLOOKUP(E476,Calendar!C:C,Calendar!B:B)</f>
        <v>Working Day</v>
      </c>
      <c r="M476" s="2">
        <v>46225</v>
      </c>
      <c r="N476" t="s">
        <v>1415</v>
      </c>
      <c r="O476" t="s">
        <v>1789</v>
      </c>
      <c r="P476">
        <v>2</v>
      </c>
      <c r="Q476" t="str">
        <f>_xlfn.XLOOKUP(N476,Attendance!F:F,Attendance!J:J)</f>
        <v>Meta</v>
      </c>
      <c r="R476">
        <f t="shared" si="15"/>
        <v>0</v>
      </c>
    </row>
    <row r="477" spans="1:18" x14ac:dyDescent="0.25">
      <c r="A477" t="s">
        <v>477</v>
      </c>
      <c r="B477" t="s">
        <v>1387</v>
      </c>
      <c r="C477" t="s">
        <v>1394</v>
      </c>
      <c r="D477" s="2">
        <v>46212.850682870368</v>
      </c>
      <c r="E477" s="2">
        <f t="shared" si="14"/>
        <v>46212</v>
      </c>
      <c r="F477" t="s">
        <v>1738</v>
      </c>
      <c r="G477">
        <f>_xlfn.XLOOKUP(A477,FTD!A:A,FTD!C:C)</f>
        <v>20000</v>
      </c>
      <c r="H477" cm="1">
        <f t="array" ref="H477">_xlfn.LET(
  _xlpm.s, TRIM(F477),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77" t="str">
        <f>_xlfn.XLOOKUP(E477,Calendar!C:C,Calendar!B:B)</f>
        <v>Working Day</v>
      </c>
      <c r="M477" s="2">
        <v>46225</v>
      </c>
      <c r="N477" t="s">
        <v>1433</v>
      </c>
      <c r="O477" t="s">
        <v>1789</v>
      </c>
      <c r="P477">
        <v>1</v>
      </c>
      <c r="Q477" t="str">
        <f>_xlfn.XLOOKUP(N477,Attendance!F:F,Attendance!J:J)</f>
        <v>Meta</v>
      </c>
      <c r="R477">
        <f t="shared" si="15"/>
        <v>0</v>
      </c>
    </row>
    <row r="478" spans="1:18" x14ac:dyDescent="0.25">
      <c r="A478" t="s">
        <v>478</v>
      </c>
      <c r="B478" t="s">
        <v>1387</v>
      </c>
      <c r="C478" t="s">
        <v>1430</v>
      </c>
      <c r="D478" s="2">
        <v>46223.748020833329</v>
      </c>
      <c r="E478" s="2">
        <f t="shared" si="14"/>
        <v>46223</v>
      </c>
      <c r="F478" t="s">
        <v>1739</v>
      </c>
      <c r="G478">
        <f>_xlfn.XLOOKUP(A478,FTD!A:A,FTD!C:C)</f>
        <v>3001</v>
      </c>
      <c r="H478" cm="1">
        <f t="array" ref="H478">_xlfn.LET(
  _xlpm.s, TRIM(F478),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78" t="str">
        <f>_xlfn.XLOOKUP(E478,Calendar!C:C,Calendar!B:B)</f>
        <v>Working Day</v>
      </c>
      <c r="M478" s="2">
        <v>46225</v>
      </c>
      <c r="N478" t="s">
        <v>1398</v>
      </c>
      <c r="O478" t="s">
        <v>1789</v>
      </c>
      <c r="P478">
        <v>4</v>
      </c>
      <c r="Q478" t="str">
        <f>_xlfn.XLOOKUP(N478,Attendance!F:F,Attendance!J:J)</f>
        <v>1</v>
      </c>
      <c r="R478">
        <f t="shared" si="15"/>
        <v>0</v>
      </c>
    </row>
    <row r="479" spans="1:18" x14ac:dyDescent="0.25">
      <c r="A479" t="s">
        <v>479</v>
      </c>
      <c r="B479" t="s">
        <v>1387</v>
      </c>
      <c r="C479" t="s">
        <v>1388</v>
      </c>
      <c r="D479" s="2">
        <v>46211.690555555557</v>
      </c>
      <c r="E479" s="2">
        <f t="shared" si="14"/>
        <v>46211</v>
      </c>
      <c r="F479" t="s">
        <v>1738</v>
      </c>
      <c r="G479">
        <f>_xlfn.XLOOKUP(A479,FTD!A:A,FTD!C:C)</f>
        <v>4500</v>
      </c>
      <c r="H479" cm="1">
        <f t="array" ref="H479">_xlfn.LET(
  _xlpm.s, TRIM(F479),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79" t="str">
        <f>_xlfn.XLOOKUP(E479,Calendar!C:C,Calendar!B:B)</f>
        <v>Working Day</v>
      </c>
      <c r="M479" s="2">
        <v>46225</v>
      </c>
      <c r="N479" t="s">
        <v>1413</v>
      </c>
      <c r="O479" t="s">
        <v>1789</v>
      </c>
      <c r="P479">
        <v>1</v>
      </c>
      <c r="Q479" t="str">
        <f>_xlfn.XLOOKUP(N479,Attendance!F:F,Attendance!J:J)</f>
        <v>Dialer</v>
      </c>
      <c r="R479">
        <f t="shared" si="15"/>
        <v>0</v>
      </c>
    </row>
    <row r="480" spans="1:18" x14ac:dyDescent="0.25">
      <c r="A480" t="s">
        <v>480</v>
      </c>
      <c r="B480" t="s">
        <v>1387</v>
      </c>
      <c r="C480" t="s">
        <v>1407</v>
      </c>
      <c r="D480" s="2">
        <v>46214.836597222224</v>
      </c>
      <c r="E480" s="2">
        <f t="shared" si="14"/>
        <v>46214</v>
      </c>
      <c r="F480" t="s">
        <v>1744</v>
      </c>
      <c r="G480">
        <f>_xlfn.XLOOKUP(A480,FTD!A:A,FTD!C:C)</f>
        <v>1000</v>
      </c>
      <c r="H480" cm="1">
        <f t="array" ref="H480">_xlfn.LET(
  _xlpm.s, TRIM(F480),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0" t="str">
        <f>_xlfn.XLOOKUP(E480,Calendar!C:C,Calendar!B:B)</f>
        <v>Saturday</v>
      </c>
      <c r="M480" s="2">
        <v>46225</v>
      </c>
      <c r="N480" t="s">
        <v>1389</v>
      </c>
      <c r="O480" t="s">
        <v>1789</v>
      </c>
      <c r="P480">
        <v>1</v>
      </c>
      <c r="Q480" t="str">
        <f>_xlfn.XLOOKUP(N480,Attendance!F:F,Attendance!J:J)</f>
        <v>Meta</v>
      </c>
      <c r="R480">
        <f t="shared" si="15"/>
        <v>0</v>
      </c>
    </row>
    <row r="481" spans="1:18" x14ac:dyDescent="0.25">
      <c r="A481" t="s">
        <v>481</v>
      </c>
      <c r="B481" t="s">
        <v>1387</v>
      </c>
      <c r="C481" t="s">
        <v>1404</v>
      </c>
      <c r="D481" s="2">
        <v>46214.681122685186</v>
      </c>
      <c r="E481" s="2">
        <f t="shared" si="14"/>
        <v>46214</v>
      </c>
      <c r="F481" t="s">
        <v>1741</v>
      </c>
      <c r="G481">
        <f>_xlfn.XLOOKUP(A481,FTD!A:A,FTD!C:C)</f>
        <v>1000</v>
      </c>
      <c r="H481" cm="1">
        <f t="array" ref="H481">_xlfn.LET(
  _xlpm.s, TRIM(F481),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1" t="str">
        <f>_xlfn.XLOOKUP(E481,Calendar!C:C,Calendar!B:B)</f>
        <v>Saturday</v>
      </c>
      <c r="M481" s="2">
        <v>46225</v>
      </c>
      <c r="N481" t="s">
        <v>1414</v>
      </c>
      <c r="O481" t="s">
        <v>1789</v>
      </c>
      <c r="P481">
        <v>1</v>
      </c>
      <c r="Q481" t="str">
        <f>_xlfn.XLOOKUP(N481,Attendance!F:F,Attendance!J:J)</f>
        <v>New OJT</v>
      </c>
      <c r="R481">
        <f t="shared" si="15"/>
        <v>0</v>
      </c>
    </row>
    <row r="482" spans="1:18" x14ac:dyDescent="0.25">
      <c r="A482" t="s">
        <v>482</v>
      </c>
      <c r="B482" t="s">
        <v>1387</v>
      </c>
      <c r="C482" t="s">
        <v>1433</v>
      </c>
      <c r="D482" s="2">
        <v>46213.527337962958</v>
      </c>
      <c r="E482" s="2">
        <f t="shared" si="14"/>
        <v>46213</v>
      </c>
      <c r="F482" t="s">
        <v>1743</v>
      </c>
      <c r="G482">
        <f>_xlfn.XLOOKUP(A482,FTD!A:A,FTD!C:C)</f>
        <v>2000</v>
      </c>
      <c r="H482" cm="1">
        <f t="array" ref="H482">_xlfn.LET(
  _xlpm.s, TRIM(F482),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2" t="str">
        <f>_xlfn.XLOOKUP(E482,Calendar!C:C,Calendar!B:B)</f>
        <v>Working Day</v>
      </c>
      <c r="M482" s="2">
        <v>46225</v>
      </c>
      <c r="N482" t="s">
        <v>1400</v>
      </c>
      <c r="O482" t="s">
        <v>1789</v>
      </c>
      <c r="P482">
        <v>3</v>
      </c>
      <c r="Q482" t="str">
        <f>_xlfn.XLOOKUP(N482,Attendance!F:F,Attendance!J:J)</f>
        <v>Meta</v>
      </c>
      <c r="R482">
        <f t="shared" si="15"/>
        <v>0</v>
      </c>
    </row>
    <row r="483" spans="1:18" x14ac:dyDescent="0.25">
      <c r="A483" t="s">
        <v>483</v>
      </c>
      <c r="B483" t="s">
        <v>1387</v>
      </c>
      <c r="C483" t="s">
        <v>1406</v>
      </c>
      <c r="D483" s="2">
        <v>46213.52</v>
      </c>
      <c r="E483" s="2">
        <f t="shared" si="14"/>
        <v>46213</v>
      </c>
      <c r="F483" t="s">
        <v>1738</v>
      </c>
      <c r="G483">
        <f>_xlfn.XLOOKUP(A483,FTD!A:A,FTD!C:C)</f>
        <v>1000</v>
      </c>
      <c r="H483" cm="1">
        <f t="array" ref="H483">_xlfn.LET(
  _xlpm.s, TRIM(F483),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3" t="str">
        <f>_xlfn.XLOOKUP(E483,Calendar!C:C,Calendar!B:B)</f>
        <v>Working Day</v>
      </c>
      <c r="M483" s="2">
        <v>46225</v>
      </c>
      <c r="N483" t="s">
        <v>1401</v>
      </c>
      <c r="O483" t="s">
        <v>1789</v>
      </c>
      <c r="P483">
        <v>1</v>
      </c>
      <c r="Q483" t="str">
        <f>_xlfn.XLOOKUP(N483,Attendance!F:F,Attendance!J:J)</f>
        <v>OJT 2</v>
      </c>
      <c r="R483">
        <f t="shared" si="15"/>
        <v>0</v>
      </c>
    </row>
    <row r="484" spans="1:18" x14ac:dyDescent="0.25">
      <c r="A484" t="s">
        <v>484</v>
      </c>
      <c r="B484" t="s">
        <v>1387</v>
      </c>
      <c r="C484" t="s">
        <v>1433</v>
      </c>
      <c r="D484" s="2">
        <v>46208.620752314811</v>
      </c>
      <c r="E484" s="2">
        <f t="shared" si="14"/>
        <v>46208</v>
      </c>
      <c r="F484" t="s">
        <v>1739</v>
      </c>
      <c r="G484">
        <f>_xlfn.XLOOKUP(A484,FTD!A:A,FTD!C:C)</f>
        <v>2000</v>
      </c>
      <c r="H484" cm="1">
        <f t="array" ref="H484">_xlfn.LET(
  _xlpm.s, TRIM(F484),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84" t="str">
        <f>_xlfn.XLOOKUP(E484,Calendar!C:C,Calendar!B:B)</f>
        <v>Sunday</v>
      </c>
      <c r="M484" s="2">
        <v>46225</v>
      </c>
      <c r="N484" t="s">
        <v>1407</v>
      </c>
      <c r="O484" t="s">
        <v>1789</v>
      </c>
      <c r="P484">
        <v>1</v>
      </c>
      <c r="Q484" t="str">
        <f>_xlfn.XLOOKUP(N484,Attendance!F:F,Attendance!J:J)</f>
        <v>Meta</v>
      </c>
      <c r="R484">
        <f t="shared" si="15"/>
        <v>0</v>
      </c>
    </row>
    <row r="485" spans="1:18" x14ac:dyDescent="0.25">
      <c r="A485" t="s">
        <v>485</v>
      </c>
      <c r="B485" t="s">
        <v>1387</v>
      </c>
      <c r="C485" t="s">
        <v>1392</v>
      </c>
      <c r="D485" s="2">
        <v>46217.619224537033</v>
      </c>
      <c r="E485" s="2">
        <f t="shared" si="14"/>
        <v>46217</v>
      </c>
      <c r="F485" t="s">
        <v>1743</v>
      </c>
      <c r="G485">
        <f>_xlfn.XLOOKUP(A485,FTD!A:A,FTD!C:C)</f>
        <v>2000</v>
      </c>
      <c r="H485" cm="1">
        <f t="array" ref="H485">_xlfn.LET(
  _xlpm.s, TRIM(F485),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5" t="str">
        <f>_xlfn.XLOOKUP(E485,Calendar!C:C,Calendar!B:B)</f>
        <v>Working Day</v>
      </c>
      <c r="M485" s="2">
        <v>46225</v>
      </c>
      <c r="N485" t="s">
        <v>1396</v>
      </c>
      <c r="O485" t="s">
        <v>1789</v>
      </c>
      <c r="P485">
        <v>1</v>
      </c>
      <c r="Q485" t="str">
        <f>_xlfn.XLOOKUP(N485,Attendance!F:F,Attendance!J:J)</f>
        <v>Telegram</v>
      </c>
      <c r="R485">
        <f t="shared" si="15"/>
        <v>0</v>
      </c>
    </row>
    <row r="486" spans="1:18" x14ac:dyDescent="0.25">
      <c r="A486" t="s">
        <v>486</v>
      </c>
      <c r="B486" t="s">
        <v>1387</v>
      </c>
      <c r="C486" t="s">
        <v>1408</v>
      </c>
      <c r="D486" s="2">
        <v>46206.440451388888</v>
      </c>
      <c r="E486" s="2">
        <f t="shared" si="14"/>
        <v>46206</v>
      </c>
      <c r="F486" t="s">
        <v>1738</v>
      </c>
      <c r="G486">
        <f>_xlfn.XLOOKUP(A486,FTD!A:A,FTD!C:C)</f>
        <v>1000</v>
      </c>
      <c r="H486" cm="1">
        <f t="array" ref="H486">_xlfn.LET(
  _xlpm.s, TRIM(F486),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6" t="str">
        <f>_xlfn.XLOOKUP(E486,Calendar!C:C,Calendar!B:B)</f>
        <v>Working Day</v>
      </c>
      <c r="M486" s="2">
        <v>46225</v>
      </c>
      <c r="N486" t="s">
        <v>1423</v>
      </c>
      <c r="O486" t="s">
        <v>1789</v>
      </c>
      <c r="P486">
        <v>1</v>
      </c>
      <c r="Q486" t="e">
        <f>_xlfn.XLOOKUP(N486,Attendance!F:F,Attendance!J:J)</f>
        <v>#N/A</v>
      </c>
      <c r="R486">
        <f t="shared" si="15"/>
        <v>0</v>
      </c>
    </row>
    <row r="487" spans="1:18" x14ac:dyDescent="0.25">
      <c r="A487" t="s">
        <v>487</v>
      </c>
      <c r="B487" t="s">
        <v>1387</v>
      </c>
      <c r="C487" t="s">
        <v>1402</v>
      </c>
      <c r="D487" s="2">
        <v>46230.639826388884</v>
      </c>
      <c r="E487" s="2">
        <f t="shared" si="14"/>
        <v>46230</v>
      </c>
      <c r="F487" t="s">
        <v>1739</v>
      </c>
      <c r="G487">
        <f>_xlfn.XLOOKUP(A487,FTD!A:A,FTD!C:C)</f>
        <v>1000</v>
      </c>
      <c r="H487" cm="1">
        <f t="array" ref="H487">_xlfn.LET(
  _xlpm.s, TRIM(F487),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87" t="str">
        <f>_xlfn.XLOOKUP(E487,Calendar!C:C,Calendar!B:B)</f>
        <v>Working Day</v>
      </c>
      <c r="M487" s="2">
        <v>46225</v>
      </c>
      <c r="N487" t="s">
        <v>1412</v>
      </c>
      <c r="O487" t="s">
        <v>1789</v>
      </c>
      <c r="P487">
        <v>6</v>
      </c>
      <c r="Q487" t="str">
        <f>_xlfn.XLOOKUP(N487,Attendance!F:F,Attendance!J:J)</f>
        <v>1</v>
      </c>
      <c r="R487">
        <f t="shared" si="15"/>
        <v>0</v>
      </c>
    </row>
    <row r="488" spans="1:18" x14ac:dyDescent="0.25">
      <c r="A488" t="s">
        <v>488</v>
      </c>
      <c r="B488" t="s">
        <v>1387</v>
      </c>
      <c r="C488" t="s">
        <v>1403</v>
      </c>
      <c r="D488" s="2">
        <v>46219.487337962964</v>
      </c>
      <c r="E488" s="2">
        <f t="shared" si="14"/>
        <v>46219</v>
      </c>
      <c r="F488" t="s">
        <v>1743</v>
      </c>
      <c r="G488">
        <f>_xlfn.XLOOKUP(A488,FTD!A:A,FTD!C:C)</f>
        <v>1000</v>
      </c>
      <c r="H488" cm="1">
        <f t="array" ref="H488">_xlfn.LET(
  _xlpm.s, TRIM(F488),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8" t="str">
        <f>_xlfn.XLOOKUP(E488,Calendar!C:C,Calendar!B:B)</f>
        <v>Working Day</v>
      </c>
      <c r="M488" s="2">
        <v>46225</v>
      </c>
      <c r="N488" t="s">
        <v>1404</v>
      </c>
      <c r="O488" t="s">
        <v>1789</v>
      </c>
      <c r="P488">
        <v>1</v>
      </c>
      <c r="Q488" t="str">
        <f>_xlfn.XLOOKUP(N488,Attendance!F:F,Attendance!J:J)</f>
        <v>OLD OJT</v>
      </c>
      <c r="R488">
        <f t="shared" si="15"/>
        <v>0</v>
      </c>
    </row>
    <row r="489" spans="1:18" x14ac:dyDescent="0.25">
      <c r="A489" t="s">
        <v>489</v>
      </c>
      <c r="B489" t="s">
        <v>1387</v>
      </c>
      <c r="C489" t="s">
        <v>1433</v>
      </c>
      <c r="D489" s="2">
        <v>46225.468055555553</v>
      </c>
      <c r="E489" s="2">
        <f t="shared" si="14"/>
        <v>46225</v>
      </c>
      <c r="F489" t="s">
        <v>1738</v>
      </c>
      <c r="G489">
        <f>_xlfn.XLOOKUP(A489,FTD!A:A,FTD!C:C)</f>
        <v>1000</v>
      </c>
      <c r="H489" cm="1">
        <f t="array" ref="H489">_xlfn.LET(
  _xlpm.s, TRIM(F489),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89" t="str">
        <f>_xlfn.XLOOKUP(E489,Calendar!C:C,Calendar!B:B)</f>
        <v>Working Day</v>
      </c>
      <c r="M489" s="2">
        <v>46225</v>
      </c>
      <c r="N489" t="s">
        <v>1406</v>
      </c>
      <c r="O489" t="s">
        <v>1789</v>
      </c>
      <c r="P489">
        <v>7</v>
      </c>
      <c r="Q489" t="str">
        <f>_xlfn.XLOOKUP(N489,Attendance!F:F,Attendance!J:J)</f>
        <v>1</v>
      </c>
      <c r="R489">
        <f t="shared" si="15"/>
        <v>0</v>
      </c>
    </row>
    <row r="490" spans="1:18" x14ac:dyDescent="0.25">
      <c r="A490" t="s">
        <v>490</v>
      </c>
      <c r="B490" t="s">
        <v>1387</v>
      </c>
      <c r="C490" t="s">
        <v>1395</v>
      </c>
      <c r="D490" s="2">
        <v>46230.674502314811</v>
      </c>
      <c r="E490" s="2">
        <f t="shared" si="14"/>
        <v>46230</v>
      </c>
      <c r="F490" t="s">
        <v>1739</v>
      </c>
      <c r="G490">
        <f>_xlfn.XLOOKUP(A490,FTD!A:A,FTD!C:C)</f>
        <v>1000</v>
      </c>
      <c r="H490" cm="1">
        <f t="array" ref="H490">_xlfn.LET(
  _xlpm.s, TRIM(F490),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90" t="str">
        <f>_xlfn.XLOOKUP(E490,Calendar!C:C,Calendar!B:B)</f>
        <v>Working Day</v>
      </c>
      <c r="M490" s="2">
        <v>46225</v>
      </c>
      <c r="N490" t="s">
        <v>1426</v>
      </c>
      <c r="O490" t="s">
        <v>1789</v>
      </c>
      <c r="P490">
        <v>1</v>
      </c>
      <c r="Q490" t="str">
        <f>_xlfn.XLOOKUP(N490,Attendance!F:F,Attendance!J:J)</f>
        <v>OJT 2</v>
      </c>
      <c r="R490">
        <f t="shared" si="15"/>
        <v>0</v>
      </c>
    </row>
    <row r="491" spans="1:18" x14ac:dyDescent="0.25">
      <c r="A491" t="s">
        <v>491</v>
      </c>
      <c r="B491" t="s">
        <v>1384</v>
      </c>
      <c r="C491" t="s">
        <v>1400</v>
      </c>
      <c r="D491" s="2">
        <v>46213.825104166666</v>
      </c>
      <c r="E491" s="2">
        <f t="shared" si="14"/>
        <v>46213</v>
      </c>
      <c r="F491" t="s">
        <v>1738</v>
      </c>
      <c r="G491">
        <f>_xlfn.XLOOKUP(A491,FTD!A:A,FTD!C:C)</f>
        <v>35</v>
      </c>
      <c r="H491" cm="1">
        <f t="array" ref="H491">_xlfn.LET(
  _xlpm.s, TRIM(F491),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1" t="str">
        <f>_xlfn.XLOOKUP(E491,Calendar!C:C,Calendar!B:B)</f>
        <v>Working Day</v>
      </c>
      <c r="M491" s="2">
        <v>46225</v>
      </c>
      <c r="N491" t="s">
        <v>1402</v>
      </c>
      <c r="O491" t="s">
        <v>1789</v>
      </c>
      <c r="P491">
        <v>2</v>
      </c>
      <c r="Q491" t="str">
        <f>_xlfn.XLOOKUP(N491,Attendance!F:F,Attendance!J:J)</f>
        <v>1</v>
      </c>
      <c r="R491">
        <f t="shared" si="15"/>
        <v>0</v>
      </c>
    </row>
    <row r="492" spans="1:18" x14ac:dyDescent="0.25">
      <c r="A492" t="s">
        <v>492</v>
      </c>
      <c r="B492" t="s">
        <v>1384</v>
      </c>
      <c r="C492" t="s">
        <v>1396</v>
      </c>
      <c r="D492" s="2">
        <v>46217.553969907407</v>
      </c>
      <c r="E492" s="2">
        <f t="shared" si="14"/>
        <v>46217</v>
      </c>
      <c r="F492" t="s">
        <v>1739</v>
      </c>
      <c r="G492">
        <f>_xlfn.XLOOKUP(A492,FTD!A:A,FTD!C:C)</f>
        <v>8000</v>
      </c>
      <c r="H492" cm="1">
        <f t="array" ref="H492">_xlfn.LET(
  _xlpm.s, TRIM(F492),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492" t="str">
        <f>_xlfn.XLOOKUP(E492,Calendar!C:C,Calendar!B:B)</f>
        <v>Working Day</v>
      </c>
      <c r="M492" s="2">
        <v>46225</v>
      </c>
      <c r="N492" t="s">
        <v>1390</v>
      </c>
      <c r="O492" t="s">
        <v>1789</v>
      </c>
      <c r="P492">
        <v>2</v>
      </c>
      <c r="Q492" t="str">
        <f>_xlfn.XLOOKUP(N492,Attendance!F:F,Attendance!J:J)</f>
        <v>Meta</v>
      </c>
      <c r="R492">
        <f t="shared" si="15"/>
        <v>0</v>
      </c>
    </row>
    <row r="493" spans="1:18" x14ac:dyDescent="0.25">
      <c r="A493" t="s">
        <v>493</v>
      </c>
      <c r="B493" t="s">
        <v>1387</v>
      </c>
      <c r="C493" t="s">
        <v>1412</v>
      </c>
      <c r="D493" s="2">
        <v>46232.754976851851</v>
      </c>
      <c r="E493" s="2">
        <f t="shared" si="14"/>
        <v>46232</v>
      </c>
      <c r="F493" t="s">
        <v>1738</v>
      </c>
      <c r="G493">
        <f>_xlfn.XLOOKUP(A493,FTD!A:A,FTD!C:C)</f>
        <v>11000</v>
      </c>
      <c r="H493" cm="1">
        <f t="array" ref="H493">_xlfn.LET(
  _xlpm.s, TRIM(F493),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3" t="str">
        <f>_xlfn.XLOOKUP(E493,Calendar!C:C,Calendar!B:B)</f>
        <v>Working Day</v>
      </c>
      <c r="M493" s="2">
        <v>46225</v>
      </c>
      <c r="N493" t="s">
        <v>1421</v>
      </c>
      <c r="O493" t="s">
        <v>1789</v>
      </c>
      <c r="P493">
        <v>1</v>
      </c>
      <c r="Q493" t="str">
        <f>_xlfn.XLOOKUP(N493,Attendance!F:F,Attendance!J:J)</f>
        <v>OJT 1</v>
      </c>
      <c r="R493">
        <f t="shared" si="15"/>
        <v>0</v>
      </c>
    </row>
    <row r="494" spans="1:18" x14ac:dyDescent="0.25">
      <c r="A494" t="s">
        <v>494</v>
      </c>
      <c r="B494" t="s">
        <v>1387</v>
      </c>
      <c r="C494" t="s">
        <v>1397</v>
      </c>
      <c r="D494" s="2">
        <v>46208.566932870366</v>
      </c>
      <c r="E494" s="2">
        <f t="shared" si="14"/>
        <v>46208</v>
      </c>
      <c r="F494" t="s">
        <v>1741</v>
      </c>
      <c r="G494">
        <f>_xlfn.XLOOKUP(A494,FTD!A:A,FTD!C:C)</f>
        <v>1000</v>
      </c>
      <c r="H494" cm="1">
        <f t="array" ref="H494">_xlfn.LET(
  _xlpm.s, TRIM(F494),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4" t="str">
        <f>_xlfn.XLOOKUP(E494,Calendar!C:C,Calendar!B:B)</f>
        <v>Sunday</v>
      </c>
      <c r="M494" s="2">
        <v>46225</v>
      </c>
      <c r="N494" t="s">
        <v>1394</v>
      </c>
      <c r="O494" t="s">
        <v>1789</v>
      </c>
      <c r="P494">
        <v>1</v>
      </c>
      <c r="Q494" t="str">
        <f>_xlfn.XLOOKUP(N494,Attendance!F:F,Attendance!J:J)</f>
        <v>OJT 1</v>
      </c>
      <c r="R494">
        <f t="shared" si="15"/>
        <v>0</v>
      </c>
    </row>
    <row r="495" spans="1:18" x14ac:dyDescent="0.25">
      <c r="A495" t="s">
        <v>495</v>
      </c>
      <c r="B495" t="s">
        <v>1387</v>
      </c>
      <c r="C495" t="s">
        <v>1405</v>
      </c>
      <c r="D495" s="2">
        <v>46207.782476851848</v>
      </c>
      <c r="E495" s="2">
        <f t="shared" si="14"/>
        <v>46207</v>
      </c>
      <c r="F495" t="s">
        <v>1738</v>
      </c>
      <c r="G495">
        <f>_xlfn.XLOOKUP(A495,FTD!A:A,FTD!C:C)</f>
        <v>2500</v>
      </c>
      <c r="H495" cm="1">
        <f t="array" ref="H495">_xlfn.LET(
  _xlpm.s, TRIM(F495),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5" t="str">
        <f>_xlfn.XLOOKUP(E495,Calendar!C:C,Calendar!B:B)</f>
        <v>Saturday</v>
      </c>
      <c r="M495" s="2">
        <v>46225</v>
      </c>
      <c r="N495" t="s">
        <v>1399</v>
      </c>
      <c r="O495" t="s">
        <v>1789</v>
      </c>
      <c r="P495">
        <v>4</v>
      </c>
      <c r="Q495" t="str">
        <f>_xlfn.XLOOKUP(N495,Attendance!F:F,Attendance!J:J)</f>
        <v>1</v>
      </c>
      <c r="R495">
        <f t="shared" si="15"/>
        <v>0</v>
      </c>
    </row>
    <row r="496" spans="1:18" x14ac:dyDescent="0.25">
      <c r="A496" t="s">
        <v>496</v>
      </c>
      <c r="B496" t="s">
        <v>1387</v>
      </c>
      <c r="C496" t="s">
        <v>1418</v>
      </c>
      <c r="D496" s="2">
        <v>46233.647164351853</v>
      </c>
      <c r="E496" s="2">
        <f t="shared" si="14"/>
        <v>46233</v>
      </c>
      <c r="F496" t="s">
        <v>1742</v>
      </c>
      <c r="G496">
        <f>_xlfn.XLOOKUP(A496,FTD!A:A,FTD!C:C)</f>
        <v>1001</v>
      </c>
      <c r="H496" cm="1">
        <f t="array" ref="H496">_xlfn.LET(
  _xlpm.s, TRIM(F496),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96" t="str">
        <f>_xlfn.XLOOKUP(E496,Calendar!C:C,Calendar!B:B)</f>
        <v>Working Day</v>
      </c>
      <c r="M496" s="2">
        <v>46225</v>
      </c>
      <c r="N496" t="s">
        <v>1418</v>
      </c>
      <c r="O496" t="s">
        <v>1789</v>
      </c>
      <c r="P496">
        <v>3</v>
      </c>
      <c r="Q496" t="str">
        <f>_xlfn.XLOOKUP(N496,Attendance!F:F,Attendance!J:J)</f>
        <v>OJT 1</v>
      </c>
      <c r="R496">
        <f t="shared" si="15"/>
        <v>500</v>
      </c>
    </row>
    <row r="497" spans="1:18" x14ac:dyDescent="0.25">
      <c r="A497" t="s">
        <v>497</v>
      </c>
      <c r="B497" t="s">
        <v>1387</v>
      </c>
      <c r="C497" t="s">
        <v>1405</v>
      </c>
      <c r="D497" s="2">
        <v>46233.541666666664</v>
      </c>
      <c r="E497" s="2">
        <f t="shared" si="14"/>
        <v>46233</v>
      </c>
      <c r="F497" t="s">
        <v>1742</v>
      </c>
      <c r="G497">
        <f>_xlfn.XLOOKUP(A497,FTD!A:A,FTD!C:C)</f>
        <v>1000</v>
      </c>
      <c r="H497" cm="1">
        <f t="array" ref="H497">_xlfn.LET(
  _xlpm.s, TRIM(F497),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497" t="str">
        <f>_xlfn.XLOOKUP(E497,Calendar!C:C,Calendar!B:B)</f>
        <v>Working Day</v>
      </c>
      <c r="M497" s="2">
        <v>46225</v>
      </c>
      <c r="N497" t="s">
        <v>1437</v>
      </c>
      <c r="O497" t="s">
        <v>1789</v>
      </c>
      <c r="P497">
        <v>1</v>
      </c>
      <c r="Q497" t="str">
        <f>_xlfn.XLOOKUP(N497,Attendance!F:F,Attendance!J:J)</f>
        <v>OJT4</v>
      </c>
      <c r="R497">
        <f t="shared" si="15"/>
        <v>0</v>
      </c>
    </row>
    <row r="498" spans="1:18" x14ac:dyDescent="0.25">
      <c r="A498" t="s">
        <v>498</v>
      </c>
      <c r="B498" t="s">
        <v>1387</v>
      </c>
      <c r="C498" t="s">
        <v>1398</v>
      </c>
      <c r="D498" s="2">
        <v>46211.578981481478</v>
      </c>
      <c r="E498" s="2">
        <f t="shared" si="14"/>
        <v>46211</v>
      </c>
      <c r="F498" t="s">
        <v>1738</v>
      </c>
      <c r="G498">
        <f>_xlfn.XLOOKUP(A498,FTD!A:A,FTD!C:C)</f>
        <v>20000</v>
      </c>
      <c r="H498" cm="1">
        <f t="array" ref="H498">_xlfn.LET(
  _xlpm.s, TRIM(F498),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8" t="str">
        <f>_xlfn.XLOOKUP(E498,Calendar!C:C,Calendar!B:B)</f>
        <v>Working Day</v>
      </c>
      <c r="M498" s="2">
        <v>46225</v>
      </c>
      <c r="N498" t="s">
        <v>1428</v>
      </c>
      <c r="O498" t="s">
        <v>1789</v>
      </c>
      <c r="P498">
        <v>1</v>
      </c>
      <c r="Q498" t="str">
        <f>_xlfn.XLOOKUP(N498,Attendance!F:F,Attendance!J:J)</f>
        <v>OLD OJT</v>
      </c>
      <c r="R498">
        <f t="shared" si="15"/>
        <v>0</v>
      </c>
    </row>
    <row r="499" spans="1:18" x14ac:dyDescent="0.25">
      <c r="A499" t="s">
        <v>499</v>
      </c>
      <c r="B499" t="s">
        <v>1387</v>
      </c>
      <c r="C499" t="s">
        <v>1434</v>
      </c>
      <c r="D499" s="2">
        <v>46212.300046296295</v>
      </c>
      <c r="E499" s="2">
        <f t="shared" si="14"/>
        <v>46212</v>
      </c>
      <c r="F499" t="s">
        <v>1738</v>
      </c>
      <c r="G499">
        <f>_xlfn.XLOOKUP(A499,FTD!A:A,FTD!C:C)</f>
        <v>1000</v>
      </c>
      <c r="H499" cm="1">
        <f t="array" ref="H499">_xlfn.LET(
  _xlpm.s, TRIM(F499),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499" t="str">
        <f>_xlfn.XLOOKUP(E499,Calendar!C:C,Calendar!B:B)</f>
        <v>Working Day</v>
      </c>
      <c r="M499" s="2">
        <v>46225</v>
      </c>
      <c r="N499" t="s">
        <v>1408</v>
      </c>
      <c r="O499" t="s">
        <v>1789</v>
      </c>
      <c r="P499">
        <v>7</v>
      </c>
      <c r="Q499" t="str">
        <f>_xlfn.XLOOKUP(N499,Attendance!F:F,Attendance!J:J)</f>
        <v>1</v>
      </c>
      <c r="R499">
        <f t="shared" si="15"/>
        <v>0</v>
      </c>
    </row>
    <row r="500" spans="1:18" x14ac:dyDescent="0.25">
      <c r="A500" t="s">
        <v>500</v>
      </c>
      <c r="B500" t="s">
        <v>1387</v>
      </c>
      <c r="C500" t="s">
        <v>1417</v>
      </c>
      <c r="D500" s="2">
        <v>46206.898333333331</v>
      </c>
      <c r="E500" s="2">
        <f t="shared" si="14"/>
        <v>46206</v>
      </c>
      <c r="F500" t="s">
        <v>1743</v>
      </c>
      <c r="G500">
        <f>_xlfn.XLOOKUP(A500,FTD!A:A,FTD!C:C)</f>
        <v>1000</v>
      </c>
      <c r="H500" cm="1">
        <f t="array" ref="H500">_xlfn.LET(
  _xlpm.s, TRIM(F500),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00" t="str">
        <f>_xlfn.XLOOKUP(E500,Calendar!C:C,Calendar!B:B)</f>
        <v>Working Day</v>
      </c>
      <c r="M500" s="2">
        <v>46226</v>
      </c>
      <c r="N500" t="s">
        <v>1405</v>
      </c>
      <c r="O500" t="s">
        <v>1789</v>
      </c>
      <c r="P500">
        <v>2</v>
      </c>
      <c r="Q500" t="str">
        <f>_xlfn.XLOOKUP(N500,Attendance!F:F,Attendance!J:J)</f>
        <v>Dialer</v>
      </c>
      <c r="R500">
        <f t="shared" si="15"/>
        <v>0</v>
      </c>
    </row>
    <row r="501" spans="1:18" x14ac:dyDescent="0.25">
      <c r="A501" t="s">
        <v>501</v>
      </c>
      <c r="B501" t="s">
        <v>1387</v>
      </c>
      <c r="C501" t="s">
        <v>1391</v>
      </c>
      <c r="D501" s="2">
        <v>46232.525590277779</v>
      </c>
      <c r="E501" s="2">
        <f t="shared" si="14"/>
        <v>46232</v>
      </c>
      <c r="F501" t="s">
        <v>1738</v>
      </c>
      <c r="G501">
        <f>_xlfn.XLOOKUP(A501,FTD!A:A,FTD!C:C)</f>
        <v>10000</v>
      </c>
      <c r="H501" cm="1">
        <f t="array" ref="H501">_xlfn.LET(
  _xlpm.s, TRIM(F501),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01" t="str">
        <f>_xlfn.XLOOKUP(E501,Calendar!C:C,Calendar!B:B)</f>
        <v>Working Day</v>
      </c>
      <c r="M501" s="2">
        <v>46226</v>
      </c>
      <c r="N501" t="s">
        <v>1403</v>
      </c>
      <c r="O501" t="s">
        <v>1789</v>
      </c>
      <c r="P501">
        <v>1</v>
      </c>
      <c r="Q501" t="str">
        <f>_xlfn.XLOOKUP(N501,Attendance!F:F,Attendance!J:J)</f>
        <v>Meta</v>
      </c>
      <c r="R501">
        <f t="shared" si="15"/>
        <v>0</v>
      </c>
    </row>
    <row r="502" spans="1:18" x14ac:dyDescent="0.25">
      <c r="A502" t="s">
        <v>502</v>
      </c>
      <c r="B502" t="s">
        <v>1384</v>
      </c>
      <c r="C502" t="s">
        <v>1400</v>
      </c>
      <c r="D502" s="2">
        <v>46211.556087962963</v>
      </c>
      <c r="E502" s="2">
        <f t="shared" si="14"/>
        <v>46211</v>
      </c>
      <c r="F502" t="s">
        <v>1738</v>
      </c>
      <c r="G502">
        <f>_xlfn.XLOOKUP(A502,FTD!A:A,FTD!C:C)</f>
        <v>35000</v>
      </c>
      <c r="H502" cm="1">
        <f t="array" ref="H502">_xlfn.LET(
  _xlpm.s, TRIM(F502),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02" t="str">
        <f>_xlfn.XLOOKUP(E502,Calendar!C:C,Calendar!B:B)</f>
        <v>Working Day</v>
      </c>
      <c r="M502" s="2">
        <v>46226</v>
      </c>
      <c r="N502" t="s">
        <v>1436</v>
      </c>
      <c r="O502" t="s">
        <v>1789</v>
      </c>
      <c r="P502">
        <v>1</v>
      </c>
      <c r="Q502" t="str">
        <f>_xlfn.XLOOKUP(N502,Attendance!F:F,Attendance!J:J)</f>
        <v>Telegram</v>
      </c>
      <c r="R502">
        <f t="shared" si="15"/>
        <v>0</v>
      </c>
    </row>
    <row r="503" spans="1:18" x14ac:dyDescent="0.25">
      <c r="A503" t="s">
        <v>503</v>
      </c>
      <c r="B503" t="s">
        <v>1387</v>
      </c>
      <c r="C503" t="s">
        <v>1405</v>
      </c>
      <c r="D503" s="2">
        <v>46219.601504629631</v>
      </c>
      <c r="E503" s="2">
        <f t="shared" si="14"/>
        <v>46219</v>
      </c>
      <c r="F503" t="s">
        <v>1739</v>
      </c>
      <c r="G503">
        <f>_xlfn.XLOOKUP(A503,FTD!A:A,FTD!C:C)</f>
        <v>5000</v>
      </c>
      <c r="H503" cm="1">
        <f t="array" ref="H503">_xlfn.LET(
  _xlpm.s, TRIM(F503),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03" t="str">
        <f>_xlfn.XLOOKUP(E503,Calendar!C:C,Calendar!B:B)</f>
        <v>Working Day</v>
      </c>
      <c r="M503" s="2">
        <v>46226</v>
      </c>
      <c r="N503" t="s">
        <v>1388</v>
      </c>
      <c r="O503" t="s">
        <v>1789</v>
      </c>
      <c r="P503">
        <v>2</v>
      </c>
      <c r="Q503" t="str">
        <f>_xlfn.XLOOKUP(N503,Attendance!F:F,Attendance!J:J)</f>
        <v>Telegram</v>
      </c>
      <c r="R503">
        <f t="shared" si="15"/>
        <v>0</v>
      </c>
    </row>
    <row r="504" spans="1:18" x14ac:dyDescent="0.25">
      <c r="A504" t="s">
        <v>504</v>
      </c>
      <c r="B504" t="s">
        <v>1387</v>
      </c>
      <c r="C504" t="s">
        <v>1396</v>
      </c>
      <c r="D504" s="2">
        <v>46209.403090277774</v>
      </c>
      <c r="E504" s="2">
        <f t="shared" si="14"/>
        <v>46209</v>
      </c>
      <c r="F504" t="s">
        <v>1738</v>
      </c>
      <c r="G504">
        <f>_xlfn.XLOOKUP(A504,FTD!A:A,FTD!C:C)</f>
        <v>10000</v>
      </c>
      <c r="H504" cm="1">
        <f t="array" ref="H504">_xlfn.LET(
  _xlpm.s, TRIM(F504),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04" t="str">
        <f>_xlfn.XLOOKUP(E504,Calendar!C:C,Calendar!B:B)</f>
        <v>Working Day</v>
      </c>
      <c r="M504" s="2">
        <v>46226</v>
      </c>
      <c r="N504" t="s">
        <v>1433</v>
      </c>
      <c r="O504" t="s">
        <v>1789</v>
      </c>
      <c r="P504">
        <v>1</v>
      </c>
      <c r="Q504" t="str">
        <f>_xlfn.XLOOKUP(N504,Attendance!F:F,Attendance!J:J)</f>
        <v>Meta</v>
      </c>
      <c r="R504">
        <f t="shared" si="15"/>
        <v>0</v>
      </c>
    </row>
    <row r="505" spans="1:18" x14ac:dyDescent="0.25">
      <c r="A505" t="s">
        <v>505</v>
      </c>
      <c r="B505" t="s">
        <v>1387</v>
      </c>
      <c r="C505" t="s">
        <v>1433</v>
      </c>
      <c r="D505" s="2">
        <v>46216.53702546296</v>
      </c>
      <c r="E505" s="2">
        <f t="shared" si="14"/>
        <v>46216</v>
      </c>
      <c r="F505" t="s">
        <v>1739</v>
      </c>
      <c r="G505">
        <f>_xlfn.XLOOKUP(A505,FTD!A:A,FTD!C:C)</f>
        <v>25000</v>
      </c>
      <c r="H505" cm="1">
        <f t="array" ref="H505">_xlfn.LET(
  _xlpm.s, TRIM(F505),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05" t="str">
        <f>_xlfn.XLOOKUP(E505,Calendar!C:C,Calendar!B:B)</f>
        <v>Working Day</v>
      </c>
      <c r="M505" s="2">
        <v>46226</v>
      </c>
      <c r="N505" t="s">
        <v>1398</v>
      </c>
      <c r="O505" t="s">
        <v>1789</v>
      </c>
      <c r="P505">
        <v>4</v>
      </c>
      <c r="Q505" t="str">
        <f>_xlfn.XLOOKUP(N505,Attendance!F:F,Attendance!J:J)</f>
        <v>1</v>
      </c>
      <c r="R505">
        <f t="shared" si="15"/>
        <v>0</v>
      </c>
    </row>
    <row r="506" spans="1:18" x14ac:dyDescent="0.25">
      <c r="A506" t="s">
        <v>506</v>
      </c>
      <c r="B506" t="s">
        <v>1387</v>
      </c>
      <c r="C506" t="s">
        <v>1431</v>
      </c>
      <c r="D506" s="2">
        <v>46216.626087962963</v>
      </c>
      <c r="E506" s="2">
        <f t="shared" si="14"/>
        <v>46216</v>
      </c>
      <c r="F506" t="s">
        <v>1745</v>
      </c>
      <c r="G506">
        <f>_xlfn.XLOOKUP(A506,FTD!A:A,FTD!C:C)</f>
        <v>5000</v>
      </c>
      <c r="H506" cm="1">
        <f t="array" ref="H506">_xlfn.LET(
  _xlpm.s, TRIM(F506),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06" t="str">
        <f>_xlfn.XLOOKUP(E506,Calendar!C:C,Calendar!B:B)</f>
        <v>Working Day</v>
      </c>
      <c r="M506" s="2">
        <v>46226</v>
      </c>
      <c r="N506" t="s">
        <v>1420</v>
      </c>
      <c r="O506" t="s">
        <v>1789</v>
      </c>
      <c r="P506">
        <v>2</v>
      </c>
      <c r="Q506" t="e">
        <f>_xlfn.XLOOKUP(N506,Attendance!F:F,Attendance!J:J)</f>
        <v>#N/A</v>
      </c>
      <c r="R506">
        <f t="shared" si="15"/>
        <v>0</v>
      </c>
    </row>
    <row r="507" spans="1:18" x14ac:dyDescent="0.25">
      <c r="A507" t="s">
        <v>507</v>
      </c>
      <c r="B507" t="s">
        <v>1384</v>
      </c>
      <c r="C507" t="s">
        <v>1418</v>
      </c>
      <c r="D507" s="2">
        <v>46225.448379629626</v>
      </c>
      <c r="E507" s="2">
        <f t="shared" si="14"/>
        <v>46225</v>
      </c>
      <c r="F507" t="s">
        <v>1739</v>
      </c>
      <c r="G507">
        <f>_xlfn.XLOOKUP(A507,FTD!A:A,FTD!C:C)</f>
        <v>933</v>
      </c>
      <c r="H507" cm="1">
        <f t="array" ref="H507">_xlfn.LET(
  _xlpm.s, TRIM(F507),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07" t="str">
        <f>_xlfn.XLOOKUP(E507,Calendar!C:C,Calendar!B:B)</f>
        <v>Working Day</v>
      </c>
      <c r="M507" s="2">
        <v>46226</v>
      </c>
      <c r="N507" t="s">
        <v>1422</v>
      </c>
      <c r="O507" t="s">
        <v>1789</v>
      </c>
      <c r="P507">
        <v>1</v>
      </c>
      <c r="Q507" t="str">
        <f>_xlfn.XLOOKUP(N507,Attendance!F:F,Attendance!J:J)</f>
        <v>New OJT</v>
      </c>
      <c r="R507">
        <f t="shared" si="15"/>
        <v>0</v>
      </c>
    </row>
    <row r="508" spans="1:18" x14ac:dyDescent="0.25">
      <c r="A508" t="s">
        <v>508</v>
      </c>
      <c r="B508" t="s">
        <v>1384</v>
      </c>
      <c r="C508" t="s">
        <v>1404</v>
      </c>
      <c r="D508" s="2">
        <v>46206.717662037037</v>
      </c>
      <c r="E508" s="2">
        <f t="shared" si="14"/>
        <v>46206</v>
      </c>
      <c r="F508" t="s">
        <v>1740</v>
      </c>
      <c r="G508">
        <f>_xlfn.XLOOKUP(A508,FTD!A:A,FTD!C:C)</f>
        <v>1000</v>
      </c>
      <c r="H508" cm="1">
        <f t="array" ref="H508">_xlfn.LET(
  _xlpm.s, TRIM(F508),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08" t="str">
        <f>_xlfn.XLOOKUP(E508,Calendar!C:C,Calendar!B:B)</f>
        <v>Working Day</v>
      </c>
      <c r="M508" s="2">
        <v>46226</v>
      </c>
      <c r="N508" t="s">
        <v>1417</v>
      </c>
      <c r="O508" t="s">
        <v>1789</v>
      </c>
      <c r="P508">
        <v>1</v>
      </c>
      <c r="Q508" t="str">
        <f>_xlfn.XLOOKUP(N508,Attendance!F:F,Attendance!J:J)</f>
        <v>Meta</v>
      </c>
      <c r="R508">
        <f t="shared" si="15"/>
        <v>0</v>
      </c>
    </row>
    <row r="509" spans="1:18" x14ac:dyDescent="0.25">
      <c r="A509" t="s">
        <v>509</v>
      </c>
      <c r="B509" t="s">
        <v>1384</v>
      </c>
      <c r="C509" t="s">
        <v>1414</v>
      </c>
      <c r="D509" s="2">
        <v>46223.443564814814</v>
      </c>
      <c r="E509" s="2">
        <f t="shared" si="14"/>
        <v>46223</v>
      </c>
      <c r="F509" t="s">
        <v>1747</v>
      </c>
      <c r="G509">
        <f>_xlfn.XLOOKUP(A509,FTD!A:A,FTD!C:C)</f>
        <v>499</v>
      </c>
      <c r="H509" cm="1">
        <f t="array" ref="H509">_xlfn.LET(
  _xlpm.s, TRIM(F509),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09" t="str">
        <f>_xlfn.XLOOKUP(E509,Calendar!C:C,Calendar!B:B)</f>
        <v>Working Day</v>
      </c>
      <c r="M509" s="2">
        <v>46226</v>
      </c>
      <c r="N509" t="s">
        <v>1400</v>
      </c>
      <c r="O509" t="s">
        <v>1789</v>
      </c>
      <c r="P509">
        <v>4</v>
      </c>
      <c r="Q509" t="str">
        <f>_xlfn.XLOOKUP(N509,Attendance!F:F,Attendance!J:J)</f>
        <v>Meta</v>
      </c>
      <c r="R509">
        <f t="shared" si="15"/>
        <v>400</v>
      </c>
    </row>
    <row r="510" spans="1:18" x14ac:dyDescent="0.25">
      <c r="A510" t="s">
        <v>510</v>
      </c>
      <c r="B510" t="s">
        <v>1387</v>
      </c>
      <c r="C510" t="s">
        <v>1416</v>
      </c>
      <c r="D510" s="2">
        <v>46234.726527777777</v>
      </c>
      <c r="E510" s="2">
        <f t="shared" si="14"/>
        <v>46234</v>
      </c>
      <c r="F510" t="s">
        <v>1738</v>
      </c>
      <c r="G510">
        <f>_xlfn.XLOOKUP(A510,FTD!A:A,FTD!C:C)</f>
        <v>1000</v>
      </c>
      <c r="H510" cm="1">
        <f t="array" ref="H510">_xlfn.LET(
  _xlpm.s, TRIM(F510),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0" t="str">
        <f>_xlfn.XLOOKUP(E510,Calendar!C:C,Calendar!B:B)</f>
        <v>Working Day</v>
      </c>
      <c r="M510" s="2">
        <v>46226</v>
      </c>
      <c r="N510" t="s">
        <v>1395</v>
      </c>
      <c r="O510" t="s">
        <v>1789</v>
      </c>
      <c r="P510">
        <v>1</v>
      </c>
      <c r="Q510" t="str">
        <f>_xlfn.XLOOKUP(N510,Attendance!F:F,Attendance!J:J)</f>
        <v>OJT 1</v>
      </c>
      <c r="R510">
        <f t="shared" si="15"/>
        <v>0</v>
      </c>
    </row>
    <row r="511" spans="1:18" x14ac:dyDescent="0.25">
      <c r="A511" t="s">
        <v>511</v>
      </c>
      <c r="B511" t="s">
        <v>1387</v>
      </c>
      <c r="C511" t="s">
        <v>1392</v>
      </c>
      <c r="D511" s="2">
        <v>46234.415173611109</v>
      </c>
      <c r="E511" s="2">
        <f t="shared" si="14"/>
        <v>46234</v>
      </c>
      <c r="F511" t="s">
        <v>1743</v>
      </c>
      <c r="G511">
        <f>_xlfn.XLOOKUP(A511,FTD!A:A,FTD!C:C)</f>
        <v>4000</v>
      </c>
      <c r="H511" cm="1">
        <f t="array" ref="H511">_xlfn.LET(
  _xlpm.s, TRIM(F511),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1" t="str">
        <f>_xlfn.XLOOKUP(E511,Calendar!C:C,Calendar!B:B)</f>
        <v>Working Day</v>
      </c>
      <c r="M511" s="2">
        <v>46226</v>
      </c>
      <c r="N511" t="s">
        <v>1407</v>
      </c>
      <c r="O511" t="s">
        <v>1789</v>
      </c>
      <c r="P511">
        <v>4</v>
      </c>
      <c r="Q511" t="str">
        <f>_xlfn.XLOOKUP(N511,Attendance!F:F,Attendance!J:J)</f>
        <v>Meta</v>
      </c>
      <c r="R511">
        <f t="shared" si="15"/>
        <v>400</v>
      </c>
    </row>
    <row r="512" spans="1:18" x14ac:dyDescent="0.25">
      <c r="A512" t="s">
        <v>512</v>
      </c>
      <c r="B512" t="s">
        <v>1387</v>
      </c>
      <c r="C512" t="s">
        <v>1397</v>
      </c>
      <c r="D512" s="2">
        <v>46213.498518518514</v>
      </c>
      <c r="E512" s="2">
        <f t="shared" si="14"/>
        <v>46213</v>
      </c>
      <c r="F512" t="s">
        <v>1743</v>
      </c>
      <c r="G512">
        <f>_xlfn.XLOOKUP(A512,FTD!A:A,FTD!C:C)</f>
        <v>2000</v>
      </c>
      <c r="H512" cm="1">
        <f t="array" ref="H512">_xlfn.LET(
  _xlpm.s, TRIM(F512),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2" t="str">
        <f>_xlfn.XLOOKUP(E512,Calendar!C:C,Calendar!B:B)</f>
        <v>Working Day</v>
      </c>
      <c r="M512" s="2">
        <v>46226</v>
      </c>
      <c r="N512" t="s">
        <v>1396</v>
      </c>
      <c r="O512" t="s">
        <v>1789</v>
      </c>
      <c r="P512">
        <v>3</v>
      </c>
      <c r="Q512" t="str">
        <f>_xlfn.XLOOKUP(N512,Attendance!F:F,Attendance!J:J)</f>
        <v>Telegram</v>
      </c>
      <c r="R512">
        <f t="shared" si="15"/>
        <v>500</v>
      </c>
    </row>
    <row r="513" spans="1:18" x14ac:dyDescent="0.25">
      <c r="A513" t="s">
        <v>513</v>
      </c>
      <c r="B513" t="s">
        <v>1384</v>
      </c>
      <c r="C513" t="s">
        <v>1428</v>
      </c>
      <c r="D513" s="2">
        <v>46222.666701388887</v>
      </c>
      <c r="E513" s="2">
        <f t="shared" si="14"/>
        <v>46222</v>
      </c>
      <c r="F513" t="s">
        <v>1740</v>
      </c>
      <c r="G513">
        <f>_xlfn.XLOOKUP(A513,FTD!A:A,FTD!C:C)</f>
        <v>500</v>
      </c>
      <c r="H513" cm="1">
        <f t="array" ref="H513">_xlfn.LET(
  _xlpm.s, TRIM(F513),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13" t="str">
        <f>_xlfn.XLOOKUP(E513,Calendar!C:C,Calendar!B:B)</f>
        <v>Sunday</v>
      </c>
      <c r="M513" s="2">
        <v>46226</v>
      </c>
      <c r="N513" t="s">
        <v>1412</v>
      </c>
      <c r="O513" t="s">
        <v>1789</v>
      </c>
      <c r="P513">
        <v>4</v>
      </c>
      <c r="Q513" t="str">
        <f>_xlfn.XLOOKUP(N513,Attendance!F:F,Attendance!J:J)</f>
        <v>1</v>
      </c>
      <c r="R513">
        <f t="shared" si="15"/>
        <v>0</v>
      </c>
    </row>
    <row r="514" spans="1:18" x14ac:dyDescent="0.25">
      <c r="A514" t="s">
        <v>514</v>
      </c>
      <c r="B514" t="s">
        <v>1384</v>
      </c>
      <c r="C514" t="s">
        <v>1407</v>
      </c>
      <c r="D514" s="2">
        <v>46234.707569444443</v>
      </c>
      <c r="E514" s="2">
        <f t="shared" si="14"/>
        <v>46234</v>
      </c>
      <c r="F514" t="s">
        <v>1739</v>
      </c>
      <c r="G514">
        <f>_xlfn.XLOOKUP(A514,FTD!A:A,FTD!C:C)</f>
        <v>1000</v>
      </c>
      <c r="H514" cm="1">
        <f t="array" ref="H514">_xlfn.LET(
  _xlpm.s, TRIM(F514),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14" t="str">
        <f>_xlfn.XLOOKUP(E514,Calendar!C:C,Calendar!B:B)</f>
        <v>Working Day</v>
      </c>
      <c r="M514" s="2">
        <v>46226</v>
      </c>
      <c r="N514" t="s">
        <v>1404</v>
      </c>
      <c r="O514" t="s">
        <v>1789</v>
      </c>
      <c r="P514">
        <v>1</v>
      </c>
      <c r="Q514" t="str">
        <f>_xlfn.XLOOKUP(N514,Attendance!F:F,Attendance!J:J)</f>
        <v>OLD OJT</v>
      </c>
      <c r="R514">
        <f t="shared" si="15"/>
        <v>0</v>
      </c>
    </row>
    <row r="515" spans="1:18" x14ac:dyDescent="0.25">
      <c r="A515" t="s">
        <v>515</v>
      </c>
      <c r="B515" t="s">
        <v>1387</v>
      </c>
      <c r="C515" t="s">
        <v>1415</v>
      </c>
      <c r="D515" s="2">
        <v>46216.583692129629</v>
      </c>
      <c r="E515" s="2">
        <f t="shared" ref="E515:E578" si="16">INT(D515)</f>
        <v>46216</v>
      </c>
      <c r="F515" t="s">
        <v>1743</v>
      </c>
      <c r="G515">
        <f>_xlfn.XLOOKUP(A515,FTD!A:A,FTD!C:C)</f>
        <v>1000</v>
      </c>
      <c r="H515" cm="1">
        <f t="array" ref="H515">_xlfn.LET(
  _xlpm.s, TRIM(F515),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5" t="str">
        <f>_xlfn.XLOOKUP(E515,Calendar!C:C,Calendar!B:B)</f>
        <v>Working Day</v>
      </c>
      <c r="M515" s="2">
        <v>46226</v>
      </c>
      <c r="N515" t="s">
        <v>1406</v>
      </c>
      <c r="O515" t="s">
        <v>1789</v>
      </c>
      <c r="P515">
        <v>4</v>
      </c>
      <c r="Q515" t="str">
        <f>_xlfn.XLOOKUP(N515,Attendance!F:F,Attendance!J:J)</f>
        <v>1</v>
      </c>
      <c r="R515">
        <f t="shared" si="15"/>
        <v>0</v>
      </c>
    </row>
    <row r="516" spans="1:18" x14ac:dyDescent="0.25">
      <c r="A516" t="s">
        <v>516</v>
      </c>
      <c r="B516" t="s">
        <v>1387</v>
      </c>
      <c r="C516" t="s">
        <v>1407</v>
      </c>
      <c r="D516" s="2">
        <v>46226.388310185182</v>
      </c>
      <c r="E516" s="2">
        <f t="shared" si="16"/>
        <v>46226</v>
      </c>
      <c r="F516" t="s">
        <v>1456</v>
      </c>
      <c r="G516">
        <f>_xlfn.XLOOKUP(A516,FTD!A:A,FTD!C:C)</f>
        <v>2000</v>
      </c>
      <c r="H516" cm="1">
        <f t="array" ref="H516">_xlfn.LET(
  _xlpm.s, TRIM(F516),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16" t="str">
        <f>_xlfn.XLOOKUP(E516,Calendar!C:C,Calendar!B:B)</f>
        <v>Working Day</v>
      </c>
      <c r="M516" s="2">
        <v>46226</v>
      </c>
      <c r="N516" t="s">
        <v>1431</v>
      </c>
      <c r="O516" t="s">
        <v>1789</v>
      </c>
      <c r="P516">
        <v>1</v>
      </c>
      <c r="Q516" t="str">
        <f>_xlfn.XLOOKUP(N516,Attendance!F:F,Attendance!J:J)</f>
        <v>Telegram</v>
      </c>
      <c r="R516">
        <f t="shared" ref="R516:R579" si="17">_xlfn.LET(
  _xlpm.pool, IFERROR(Q516&amp;"", ""),
  _xlpm.conv, IFERROR(--P516, 0),
  _xlpm.mkt,  O517="Working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517" spans="1:18" x14ac:dyDescent="0.25">
      <c r="A517" t="s">
        <v>517</v>
      </c>
      <c r="B517" t="s">
        <v>1387</v>
      </c>
      <c r="C517" t="s">
        <v>1412</v>
      </c>
      <c r="D517" s="2">
        <v>46227.587395833332</v>
      </c>
      <c r="E517" s="2">
        <f t="shared" si="16"/>
        <v>46227</v>
      </c>
      <c r="F517" t="s">
        <v>1738</v>
      </c>
      <c r="G517">
        <f>_xlfn.XLOOKUP(A517,FTD!A:A,FTD!C:C)</f>
        <v>6000</v>
      </c>
      <c r="H517" cm="1">
        <f t="array" ref="H517">_xlfn.LET(
  _xlpm.s, TRIM(F517),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7" t="str">
        <f>_xlfn.XLOOKUP(E517,Calendar!C:C,Calendar!B:B)</f>
        <v>Working Day</v>
      </c>
      <c r="M517" s="2">
        <v>46226</v>
      </c>
      <c r="N517" t="s">
        <v>1402</v>
      </c>
      <c r="O517" t="s">
        <v>1789</v>
      </c>
      <c r="P517">
        <v>4</v>
      </c>
      <c r="Q517" t="str">
        <f>_xlfn.XLOOKUP(N517,Attendance!F:F,Attendance!J:J)</f>
        <v>1</v>
      </c>
      <c r="R517">
        <f t="shared" si="17"/>
        <v>0</v>
      </c>
    </row>
    <row r="518" spans="1:18" x14ac:dyDescent="0.25">
      <c r="A518" t="s">
        <v>518</v>
      </c>
      <c r="B518" t="s">
        <v>1387</v>
      </c>
      <c r="C518" t="s">
        <v>1399</v>
      </c>
      <c r="D518" s="2">
        <v>46231.411724537036</v>
      </c>
      <c r="E518" s="2">
        <f t="shared" si="16"/>
        <v>46231</v>
      </c>
      <c r="F518" t="s">
        <v>1738</v>
      </c>
      <c r="G518">
        <f>_xlfn.XLOOKUP(A518,FTD!A:A,FTD!C:C)</f>
        <v>25000</v>
      </c>
      <c r="H518" cm="1">
        <f t="array" ref="H518">_xlfn.LET(
  _xlpm.s, TRIM(F518),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8" t="str">
        <f>_xlfn.XLOOKUP(E518,Calendar!C:C,Calendar!B:B)</f>
        <v>Working Day</v>
      </c>
      <c r="M518" s="2">
        <v>46226</v>
      </c>
      <c r="N518" t="s">
        <v>1393</v>
      </c>
      <c r="O518" t="s">
        <v>1789</v>
      </c>
      <c r="P518">
        <v>1</v>
      </c>
      <c r="Q518" t="str">
        <f>_xlfn.XLOOKUP(N518,Attendance!F:F,Attendance!J:J)</f>
        <v>Dialer</v>
      </c>
      <c r="R518">
        <f t="shared" si="17"/>
        <v>0</v>
      </c>
    </row>
    <row r="519" spans="1:18" x14ac:dyDescent="0.25">
      <c r="A519" t="s">
        <v>519</v>
      </c>
      <c r="B519" t="s">
        <v>1387</v>
      </c>
      <c r="C519" t="s">
        <v>1408</v>
      </c>
      <c r="D519" s="2">
        <v>46209.41642361111</v>
      </c>
      <c r="E519" s="2">
        <f t="shared" si="16"/>
        <v>46209</v>
      </c>
      <c r="F519" t="s">
        <v>1738</v>
      </c>
      <c r="G519">
        <f>_xlfn.XLOOKUP(A519,FTD!A:A,FTD!C:C)</f>
        <v>1000</v>
      </c>
      <c r="H519" cm="1">
        <f t="array" ref="H519">_xlfn.LET(
  _xlpm.s, TRIM(F519),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19" t="str">
        <f>_xlfn.XLOOKUP(E519,Calendar!C:C,Calendar!B:B)</f>
        <v>Working Day</v>
      </c>
      <c r="M519" s="2">
        <v>46226</v>
      </c>
      <c r="N519" t="s">
        <v>1392</v>
      </c>
      <c r="O519" t="s">
        <v>1789</v>
      </c>
      <c r="P519">
        <v>1</v>
      </c>
      <c r="Q519" t="str">
        <f>_xlfn.XLOOKUP(N519,Attendance!F:F,Attendance!J:J)</f>
        <v>Telegram</v>
      </c>
      <c r="R519">
        <f t="shared" si="17"/>
        <v>0</v>
      </c>
    </row>
    <row r="520" spans="1:18" x14ac:dyDescent="0.25">
      <c r="A520" t="s">
        <v>520</v>
      </c>
      <c r="B520" t="s">
        <v>1387</v>
      </c>
      <c r="C520" t="s">
        <v>1412</v>
      </c>
      <c r="D520" s="2">
        <v>46207.861099537033</v>
      </c>
      <c r="E520" s="2">
        <f t="shared" si="16"/>
        <v>46207</v>
      </c>
      <c r="F520" t="s">
        <v>1738</v>
      </c>
      <c r="G520">
        <f>_xlfn.XLOOKUP(A520,FTD!A:A,FTD!C:C)</f>
        <v>28000</v>
      </c>
      <c r="H520" cm="1">
        <f t="array" ref="H520">_xlfn.LET(
  _xlpm.s, TRIM(F520),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0" t="str">
        <f>_xlfn.XLOOKUP(E520,Calendar!C:C,Calendar!B:B)</f>
        <v>Saturday</v>
      </c>
      <c r="M520" s="2">
        <v>46226</v>
      </c>
      <c r="N520" t="s">
        <v>1421</v>
      </c>
      <c r="O520" t="s">
        <v>1789</v>
      </c>
      <c r="P520">
        <v>1</v>
      </c>
      <c r="Q520" t="str">
        <f>_xlfn.XLOOKUP(N520,Attendance!F:F,Attendance!J:J)</f>
        <v>OJT 1</v>
      </c>
      <c r="R520">
        <f t="shared" si="17"/>
        <v>0</v>
      </c>
    </row>
    <row r="521" spans="1:18" x14ac:dyDescent="0.25">
      <c r="A521" t="s">
        <v>521</v>
      </c>
      <c r="B521" t="s">
        <v>1387</v>
      </c>
      <c r="C521" t="s">
        <v>1417</v>
      </c>
      <c r="D521" s="2">
        <v>46230.600451388884</v>
      </c>
      <c r="E521" s="2">
        <f t="shared" si="16"/>
        <v>46230</v>
      </c>
      <c r="F521" t="s">
        <v>1745</v>
      </c>
      <c r="G521">
        <f>_xlfn.XLOOKUP(A521,FTD!A:A,FTD!C:C)</f>
        <v>1000</v>
      </c>
      <c r="H521" cm="1">
        <f t="array" ref="H521">_xlfn.LET(
  _xlpm.s, TRIM(F521),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21" t="str">
        <f>_xlfn.XLOOKUP(E521,Calendar!C:C,Calendar!B:B)</f>
        <v>Working Day</v>
      </c>
      <c r="M521" s="2">
        <v>46226</v>
      </c>
      <c r="N521" t="s">
        <v>1429</v>
      </c>
      <c r="O521" t="s">
        <v>1789</v>
      </c>
      <c r="P521">
        <v>1</v>
      </c>
      <c r="Q521" t="e">
        <f>_xlfn.XLOOKUP(N521,Attendance!F:F,Attendance!J:J)</f>
        <v>#N/A</v>
      </c>
      <c r="R521">
        <f t="shared" si="17"/>
        <v>0</v>
      </c>
    </row>
    <row r="522" spans="1:18" x14ac:dyDescent="0.25">
      <c r="A522" t="s">
        <v>522</v>
      </c>
      <c r="B522" t="s">
        <v>1387</v>
      </c>
      <c r="C522" t="s">
        <v>1412</v>
      </c>
      <c r="D522" s="2">
        <v>46219.266192129631</v>
      </c>
      <c r="E522" s="2">
        <f t="shared" si="16"/>
        <v>46219</v>
      </c>
      <c r="F522" t="s">
        <v>1738</v>
      </c>
      <c r="G522">
        <f>_xlfn.XLOOKUP(A522,FTD!A:A,FTD!C:C)</f>
        <v>1000</v>
      </c>
      <c r="H522" cm="1">
        <f t="array" ref="H522">_xlfn.LET(
  _xlpm.s, TRIM(F522),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2" t="str">
        <f>_xlfn.XLOOKUP(E522,Calendar!C:C,Calendar!B:B)</f>
        <v>Working Day</v>
      </c>
      <c r="M522" s="2">
        <v>46226</v>
      </c>
      <c r="N522" t="s">
        <v>1410</v>
      </c>
      <c r="O522" t="s">
        <v>1789</v>
      </c>
      <c r="P522">
        <v>1</v>
      </c>
      <c r="Q522" t="str">
        <f>_xlfn.XLOOKUP(N522,Attendance!F:F,Attendance!J:J)</f>
        <v>New OJT</v>
      </c>
      <c r="R522">
        <f t="shared" si="17"/>
        <v>0</v>
      </c>
    </row>
    <row r="523" spans="1:18" x14ac:dyDescent="0.25">
      <c r="A523" t="s">
        <v>523</v>
      </c>
      <c r="B523" t="s">
        <v>1387</v>
      </c>
      <c r="C523" t="s">
        <v>1396</v>
      </c>
      <c r="D523" s="2">
        <v>46218.40347222222</v>
      </c>
      <c r="E523" s="2">
        <f t="shared" si="16"/>
        <v>46218</v>
      </c>
      <c r="F523" t="s">
        <v>1738</v>
      </c>
      <c r="G523">
        <f>_xlfn.XLOOKUP(A523,FTD!A:A,FTD!C:C)</f>
        <v>28500</v>
      </c>
      <c r="H523" cm="1">
        <f t="array" ref="H523">_xlfn.LET(
  _xlpm.s, TRIM(F523),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3" t="str">
        <f>_xlfn.XLOOKUP(E523,Calendar!C:C,Calendar!B:B)</f>
        <v>Working Day</v>
      </c>
      <c r="M523" s="2">
        <v>46226</v>
      </c>
      <c r="N523" t="s">
        <v>1409</v>
      </c>
      <c r="O523" t="s">
        <v>1789</v>
      </c>
      <c r="P523">
        <v>2</v>
      </c>
      <c r="Q523" t="str">
        <f>_xlfn.XLOOKUP(N523,Attendance!F:F,Attendance!J:J)</f>
        <v>Dialer</v>
      </c>
      <c r="R523">
        <f t="shared" si="17"/>
        <v>0</v>
      </c>
    </row>
    <row r="524" spans="1:18" x14ac:dyDescent="0.25">
      <c r="A524" t="s">
        <v>524</v>
      </c>
      <c r="B524" t="s">
        <v>1387</v>
      </c>
      <c r="C524" t="s">
        <v>1417</v>
      </c>
      <c r="D524" s="2">
        <v>46205.654641203699</v>
      </c>
      <c r="E524" s="2">
        <f t="shared" si="16"/>
        <v>46205</v>
      </c>
      <c r="F524" t="s">
        <v>1743</v>
      </c>
      <c r="G524">
        <f>_xlfn.XLOOKUP(A524,FTD!A:A,FTD!C:C)</f>
        <v>1000</v>
      </c>
      <c r="H524" cm="1">
        <f t="array" ref="H524">_xlfn.LET(
  _xlpm.s, TRIM(F524),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4" t="str">
        <f>_xlfn.XLOOKUP(E524,Calendar!C:C,Calendar!B:B)</f>
        <v>Working Day</v>
      </c>
      <c r="M524" s="2">
        <v>46226</v>
      </c>
      <c r="N524" t="s">
        <v>1399</v>
      </c>
      <c r="O524" t="s">
        <v>1789</v>
      </c>
      <c r="P524">
        <v>3</v>
      </c>
      <c r="Q524" t="str">
        <f>_xlfn.XLOOKUP(N524,Attendance!F:F,Attendance!J:J)</f>
        <v>1</v>
      </c>
      <c r="R524">
        <f t="shared" si="17"/>
        <v>0</v>
      </c>
    </row>
    <row r="525" spans="1:18" x14ac:dyDescent="0.25">
      <c r="A525" t="s">
        <v>525</v>
      </c>
      <c r="B525" t="s">
        <v>1387</v>
      </c>
      <c r="C525" t="s">
        <v>1401</v>
      </c>
      <c r="D525" s="2">
        <v>46219.973634259259</v>
      </c>
      <c r="E525" s="2">
        <f t="shared" si="16"/>
        <v>46219</v>
      </c>
      <c r="F525" t="s">
        <v>1738</v>
      </c>
      <c r="G525">
        <f>_xlfn.XLOOKUP(A525,FTD!A:A,FTD!C:C)</f>
        <v>5000</v>
      </c>
      <c r="H525" cm="1">
        <f t="array" ref="H525">_xlfn.LET(
  _xlpm.s, TRIM(F525),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5" t="str">
        <f>_xlfn.XLOOKUP(E525,Calendar!C:C,Calendar!B:B)</f>
        <v>Working Day</v>
      </c>
      <c r="M525" s="2">
        <v>46226</v>
      </c>
      <c r="N525" t="s">
        <v>1418</v>
      </c>
      <c r="O525" t="s">
        <v>1789</v>
      </c>
      <c r="P525">
        <v>1</v>
      </c>
      <c r="Q525" t="str">
        <f>_xlfn.XLOOKUP(N525,Attendance!F:F,Attendance!J:J)</f>
        <v>OJT 1</v>
      </c>
      <c r="R525">
        <f t="shared" si="17"/>
        <v>0</v>
      </c>
    </row>
    <row r="526" spans="1:18" x14ac:dyDescent="0.25">
      <c r="A526" t="s">
        <v>526</v>
      </c>
      <c r="B526" t="s">
        <v>1387</v>
      </c>
      <c r="C526" t="s">
        <v>1403</v>
      </c>
      <c r="D526" s="2">
        <v>46231.719328703701</v>
      </c>
      <c r="E526" s="2">
        <f t="shared" si="16"/>
        <v>46231</v>
      </c>
      <c r="F526" t="s">
        <v>1743</v>
      </c>
      <c r="G526">
        <f>_xlfn.XLOOKUP(A526,FTD!A:A,FTD!C:C)</f>
        <v>7000</v>
      </c>
      <c r="H526" cm="1">
        <f t="array" ref="H526">_xlfn.LET(
  _xlpm.s, TRIM(F526),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6" t="str">
        <f>_xlfn.XLOOKUP(E526,Calendar!C:C,Calendar!B:B)</f>
        <v>Working Day</v>
      </c>
      <c r="M526" s="2">
        <v>46226</v>
      </c>
      <c r="N526" t="s">
        <v>1428</v>
      </c>
      <c r="O526" t="s">
        <v>1789</v>
      </c>
      <c r="P526">
        <v>1</v>
      </c>
      <c r="Q526" t="str">
        <f>_xlfn.XLOOKUP(N526,Attendance!F:F,Attendance!J:J)</f>
        <v>OLD OJT</v>
      </c>
      <c r="R526">
        <f t="shared" si="17"/>
        <v>0</v>
      </c>
    </row>
    <row r="527" spans="1:18" x14ac:dyDescent="0.25">
      <c r="A527" t="s">
        <v>527</v>
      </c>
      <c r="B527" t="s">
        <v>1387</v>
      </c>
      <c r="C527" t="s">
        <v>1400</v>
      </c>
      <c r="D527" s="2">
        <v>46231.610914351848</v>
      </c>
      <c r="E527" s="2">
        <f t="shared" si="16"/>
        <v>46231</v>
      </c>
      <c r="F527" t="s">
        <v>1743</v>
      </c>
      <c r="G527">
        <f>_xlfn.XLOOKUP(A527,FTD!A:A,FTD!C:C)</f>
        <v>5000</v>
      </c>
      <c r="H527" cm="1">
        <f t="array" ref="H527">_xlfn.LET(
  _xlpm.s, TRIM(F527),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7" t="str">
        <f>_xlfn.XLOOKUP(E527,Calendar!C:C,Calendar!B:B)</f>
        <v>Working Day</v>
      </c>
      <c r="M527" s="2">
        <v>46226</v>
      </c>
      <c r="N527" t="s">
        <v>1408</v>
      </c>
      <c r="O527" t="s">
        <v>1789</v>
      </c>
      <c r="P527">
        <v>11</v>
      </c>
      <c r="Q527" t="str">
        <f>_xlfn.XLOOKUP(N527,Attendance!F:F,Attendance!J:J)</f>
        <v>1</v>
      </c>
      <c r="R527">
        <f t="shared" si="17"/>
        <v>300</v>
      </c>
    </row>
    <row r="528" spans="1:18" x14ac:dyDescent="0.25">
      <c r="A528" t="s">
        <v>528</v>
      </c>
      <c r="B528" t="s">
        <v>1387</v>
      </c>
      <c r="C528" t="s">
        <v>1406</v>
      </c>
      <c r="D528" s="2">
        <v>46232.446481481478</v>
      </c>
      <c r="E528" s="2">
        <f t="shared" si="16"/>
        <v>46232</v>
      </c>
      <c r="F528" t="s">
        <v>1738</v>
      </c>
      <c r="G528">
        <f>_xlfn.XLOOKUP(A528,FTD!A:A,FTD!C:C)</f>
        <v>1000</v>
      </c>
      <c r="H528" cm="1">
        <f t="array" ref="H528">_xlfn.LET(
  _xlpm.s, TRIM(F528),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8" t="str">
        <f>_xlfn.XLOOKUP(E528,Calendar!C:C,Calendar!B:B)</f>
        <v>Working Day</v>
      </c>
      <c r="M528" s="2">
        <v>46227</v>
      </c>
      <c r="N528" t="s">
        <v>1405</v>
      </c>
      <c r="O528" t="s">
        <v>1789</v>
      </c>
      <c r="P528">
        <v>1</v>
      </c>
      <c r="Q528" t="str">
        <f>_xlfn.XLOOKUP(N528,Attendance!F:F,Attendance!J:J)</f>
        <v>Dialer</v>
      </c>
      <c r="R528">
        <f t="shared" si="17"/>
        <v>0</v>
      </c>
    </row>
    <row r="529" spans="1:18" x14ac:dyDescent="0.25">
      <c r="A529" t="s">
        <v>529</v>
      </c>
      <c r="B529" t="s">
        <v>1387</v>
      </c>
      <c r="C529" t="s">
        <v>1398</v>
      </c>
      <c r="D529" s="2">
        <v>46232.603761574072</v>
      </c>
      <c r="E529" s="2">
        <f t="shared" si="16"/>
        <v>46232</v>
      </c>
      <c r="F529" t="s">
        <v>1738</v>
      </c>
      <c r="G529">
        <f>_xlfn.XLOOKUP(A529,FTD!A:A,FTD!C:C)</f>
        <v>1000</v>
      </c>
      <c r="H529" cm="1">
        <f t="array" ref="H529">_xlfn.LET(
  _xlpm.s, TRIM(F529),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29" t="str">
        <f>_xlfn.XLOOKUP(E529,Calendar!C:C,Calendar!B:B)</f>
        <v>Working Day</v>
      </c>
      <c r="M529" s="2">
        <v>46227</v>
      </c>
      <c r="N529" t="s">
        <v>1388</v>
      </c>
      <c r="O529" t="s">
        <v>1789</v>
      </c>
      <c r="P529">
        <v>1</v>
      </c>
      <c r="Q529" t="str">
        <f>_xlfn.XLOOKUP(N529,Attendance!F:F,Attendance!J:J)</f>
        <v>Telegram</v>
      </c>
      <c r="R529">
        <f t="shared" si="17"/>
        <v>0</v>
      </c>
    </row>
    <row r="530" spans="1:18" x14ac:dyDescent="0.25">
      <c r="A530" t="s">
        <v>530</v>
      </c>
      <c r="B530" t="s">
        <v>1387</v>
      </c>
      <c r="C530" t="s">
        <v>1408</v>
      </c>
      <c r="D530" s="2">
        <v>46204.473611111112</v>
      </c>
      <c r="E530" s="2">
        <f t="shared" si="16"/>
        <v>46204</v>
      </c>
      <c r="F530" t="s">
        <v>1738</v>
      </c>
      <c r="G530">
        <f>_xlfn.XLOOKUP(A530,FTD!A:A,FTD!C:C)</f>
        <v>1000</v>
      </c>
      <c r="H530" cm="1">
        <f t="array" ref="H530">_xlfn.LET(
  _xlpm.s, TRIM(F530),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0" t="str">
        <f>_xlfn.XLOOKUP(E530,Calendar!C:C,Calendar!B:B)</f>
        <v>Working Day</v>
      </c>
      <c r="M530" s="2">
        <v>46227</v>
      </c>
      <c r="N530" t="s">
        <v>1415</v>
      </c>
      <c r="O530" t="s">
        <v>1789</v>
      </c>
      <c r="P530">
        <v>2</v>
      </c>
      <c r="Q530" t="str">
        <f>_xlfn.XLOOKUP(N530,Attendance!F:F,Attendance!J:J)</f>
        <v>Meta</v>
      </c>
      <c r="R530">
        <f t="shared" si="17"/>
        <v>0</v>
      </c>
    </row>
    <row r="531" spans="1:18" x14ac:dyDescent="0.25">
      <c r="A531" t="s">
        <v>531</v>
      </c>
      <c r="B531" t="s">
        <v>1387</v>
      </c>
      <c r="C531" t="s">
        <v>1431</v>
      </c>
      <c r="D531" s="2">
        <v>46226.409837962958</v>
      </c>
      <c r="E531" s="2">
        <f t="shared" si="16"/>
        <v>46226</v>
      </c>
      <c r="F531" t="s">
        <v>1738</v>
      </c>
      <c r="G531">
        <f>_xlfn.XLOOKUP(A531,FTD!A:A,FTD!C:C)</f>
        <v>2000</v>
      </c>
      <c r="H531" cm="1">
        <f t="array" ref="H531">_xlfn.LET(
  _xlpm.s, TRIM(F531),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1" t="str">
        <f>_xlfn.XLOOKUP(E531,Calendar!C:C,Calendar!B:B)</f>
        <v>Working Day</v>
      </c>
      <c r="M531" s="2">
        <v>46227</v>
      </c>
      <c r="N531" t="s">
        <v>1398</v>
      </c>
      <c r="O531" t="s">
        <v>1789</v>
      </c>
      <c r="P531">
        <v>3</v>
      </c>
      <c r="Q531" t="str">
        <f>_xlfn.XLOOKUP(N531,Attendance!F:F,Attendance!J:J)</f>
        <v>1</v>
      </c>
      <c r="R531">
        <f t="shared" si="17"/>
        <v>0</v>
      </c>
    </row>
    <row r="532" spans="1:18" x14ac:dyDescent="0.25">
      <c r="A532" t="s">
        <v>532</v>
      </c>
      <c r="B532" t="s">
        <v>1387</v>
      </c>
      <c r="C532" t="s">
        <v>1393</v>
      </c>
      <c r="D532" s="2">
        <v>46227.429710648146</v>
      </c>
      <c r="E532" s="2">
        <f t="shared" si="16"/>
        <v>46227</v>
      </c>
      <c r="F532" t="s">
        <v>1743</v>
      </c>
      <c r="G532">
        <f>_xlfn.XLOOKUP(A532,FTD!A:A,FTD!C:C)</f>
        <v>1000</v>
      </c>
      <c r="H532" cm="1">
        <f t="array" ref="H532">_xlfn.LET(
  _xlpm.s, TRIM(F532),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2" t="str">
        <f>_xlfn.XLOOKUP(E532,Calendar!C:C,Calendar!B:B)</f>
        <v>Working Day</v>
      </c>
      <c r="M532" s="2">
        <v>46227</v>
      </c>
      <c r="N532" t="s">
        <v>1389</v>
      </c>
      <c r="O532" t="s">
        <v>1789</v>
      </c>
      <c r="P532">
        <v>1</v>
      </c>
      <c r="Q532" t="str">
        <f>_xlfn.XLOOKUP(N532,Attendance!F:F,Attendance!J:J)</f>
        <v>Meta</v>
      </c>
      <c r="R532">
        <f t="shared" si="17"/>
        <v>0</v>
      </c>
    </row>
    <row r="533" spans="1:18" x14ac:dyDescent="0.25">
      <c r="A533" t="s">
        <v>533</v>
      </c>
      <c r="B533" t="s">
        <v>1387</v>
      </c>
      <c r="C533" t="s">
        <v>1406</v>
      </c>
      <c r="D533" s="2">
        <v>46219.528923611106</v>
      </c>
      <c r="E533" s="2">
        <f t="shared" si="16"/>
        <v>46219</v>
      </c>
      <c r="F533" t="s">
        <v>1738</v>
      </c>
      <c r="G533">
        <f>_xlfn.XLOOKUP(A533,FTD!A:A,FTD!C:C)</f>
        <v>38000</v>
      </c>
      <c r="H533" cm="1">
        <f t="array" ref="H533">_xlfn.LET(
  _xlpm.s, TRIM(F533),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3" t="str">
        <f>_xlfn.XLOOKUP(E533,Calendar!C:C,Calendar!B:B)</f>
        <v>Working Day</v>
      </c>
      <c r="M533" s="2">
        <v>46227</v>
      </c>
      <c r="N533" t="s">
        <v>1422</v>
      </c>
      <c r="O533" t="s">
        <v>1789</v>
      </c>
      <c r="P533">
        <v>1</v>
      </c>
      <c r="Q533" t="str">
        <f>_xlfn.XLOOKUP(N533,Attendance!F:F,Attendance!J:J)</f>
        <v>New OJT</v>
      </c>
      <c r="R533">
        <f t="shared" si="17"/>
        <v>0</v>
      </c>
    </row>
    <row r="534" spans="1:18" x14ac:dyDescent="0.25">
      <c r="A534" t="s">
        <v>534</v>
      </c>
      <c r="B534" t="s">
        <v>1387</v>
      </c>
      <c r="C534" t="s">
        <v>1402</v>
      </c>
      <c r="D534" s="2">
        <v>46213.716979166667</v>
      </c>
      <c r="E534" s="2">
        <f t="shared" si="16"/>
        <v>46213</v>
      </c>
      <c r="F534" t="s">
        <v>1738</v>
      </c>
      <c r="G534">
        <f>_xlfn.XLOOKUP(A534,FTD!A:A,FTD!C:C)</f>
        <v>1000</v>
      </c>
      <c r="H534" cm="1">
        <f t="array" ref="H534">_xlfn.LET(
  _xlpm.s, TRIM(F534),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4" t="str">
        <f>_xlfn.XLOOKUP(E534,Calendar!C:C,Calendar!B:B)</f>
        <v>Working Day</v>
      </c>
      <c r="M534" s="2">
        <v>46227</v>
      </c>
      <c r="N534" t="s">
        <v>1400</v>
      </c>
      <c r="O534" t="s">
        <v>1789</v>
      </c>
      <c r="P534">
        <v>3</v>
      </c>
      <c r="Q534" t="str">
        <f>_xlfn.XLOOKUP(N534,Attendance!F:F,Attendance!J:J)</f>
        <v>Meta</v>
      </c>
      <c r="R534">
        <f t="shared" si="17"/>
        <v>0</v>
      </c>
    </row>
    <row r="535" spans="1:18" x14ac:dyDescent="0.25">
      <c r="A535" t="s">
        <v>535</v>
      </c>
      <c r="B535" t="s">
        <v>1387</v>
      </c>
      <c r="C535" t="s">
        <v>1407</v>
      </c>
      <c r="D535" s="2">
        <v>46218.532118055555</v>
      </c>
      <c r="E535" s="2">
        <f t="shared" si="16"/>
        <v>46218</v>
      </c>
      <c r="F535" t="s">
        <v>1751</v>
      </c>
      <c r="G535">
        <f>_xlfn.XLOOKUP(A535,FTD!A:A,FTD!C:C)</f>
        <v>10504</v>
      </c>
      <c r="H535" cm="1">
        <f t="array" ref="H535">_xlfn.LET(
  _xlpm.s, TRIM(F535),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35" t="str">
        <f>_xlfn.XLOOKUP(E535,Calendar!C:C,Calendar!B:B)</f>
        <v>Working Day</v>
      </c>
      <c r="M535" s="2">
        <v>46227</v>
      </c>
      <c r="N535" t="s">
        <v>1397</v>
      </c>
      <c r="O535" t="s">
        <v>1789</v>
      </c>
      <c r="P535">
        <v>2</v>
      </c>
      <c r="Q535" t="str">
        <f>_xlfn.XLOOKUP(N535,Attendance!F:F,Attendance!J:J)</f>
        <v>Meta</v>
      </c>
      <c r="R535">
        <f t="shared" si="17"/>
        <v>0</v>
      </c>
    </row>
    <row r="536" spans="1:18" x14ac:dyDescent="0.25">
      <c r="A536" t="s">
        <v>536</v>
      </c>
      <c r="B536" t="s">
        <v>1387</v>
      </c>
      <c r="C536" t="s">
        <v>1407</v>
      </c>
      <c r="D536" s="2">
        <v>46212.755706018514</v>
      </c>
      <c r="E536" s="2">
        <f t="shared" si="16"/>
        <v>46212</v>
      </c>
      <c r="F536" t="s">
        <v>1745</v>
      </c>
      <c r="G536">
        <f>_xlfn.XLOOKUP(A536,FTD!A:A,FTD!C:C)</f>
        <v>1000</v>
      </c>
      <c r="H536" cm="1">
        <f t="array" ref="H536">_xlfn.LET(
  _xlpm.s, TRIM(F536),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36" t="str">
        <f>_xlfn.XLOOKUP(E536,Calendar!C:C,Calendar!B:B)</f>
        <v>Working Day</v>
      </c>
      <c r="M536" s="2">
        <v>46227</v>
      </c>
      <c r="N536" t="s">
        <v>1395</v>
      </c>
      <c r="O536" t="s">
        <v>1789</v>
      </c>
      <c r="P536">
        <v>3</v>
      </c>
      <c r="Q536" t="str">
        <f>_xlfn.XLOOKUP(N536,Attendance!F:F,Attendance!J:J)</f>
        <v>OJT 1</v>
      </c>
      <c r="R536">
        <f t="shared" si="17"/>
        <v>500</v>
      </c>
    </row>
    <row r="537" spans="1:18" x14ac:dyDescent="0.25">
      <c r="A537" t="s">
        <v>537</v>
      </c>
      <c r="B537" t="s">
        <v>1387</v>
      </c>
      <c r="C537" t="s">
        <v>1402</v>
      </c>
      <c r="D537" s="2">
        <v>46210.514618055553</v>
      </c>
      <c r="E537" s="2">
        <f t="shared" si="16"/>
        <v>46210</v>
      </c>
      <c r="F537" t="s">
        <v>1738</v>
      </c>
      <c r="G537">
        <f>_xlfn.XLOOKUP(A537,FTD!A:A,FTD!C:C)</f>
        <v>40000</v>
      </c>
      <c r="H537" cm="1">
        <f t="array" ref="H537">_xlfn.LET(
  _xlpm.s, TRIM(F537),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7" t="str">
        <f>_xlfn.XLOOKUP(E537,Calendar!C:C,Calendar!B:B)</f>
        <v>Working Day</v>
      </c>
      <c r="M537" s="2">
        <v>46227</v>
      </c>
      <c r="N537" t="s">
        <v>1407</v>
      </c>
      <c r="O537" t="s">
        <v>1789</v>
      </c>
      <c r="P537">
        <v>3</v>
      </c>
      <c r="Q537" t="str">
        <f>_xlfn.XLOOKUP(N537,Attendance!F:F,Attendance!J:J)</f>
        <v>Meta</v>
      </c>
      <c r="R537">
        <f t="shared" si="17"/>
        <v>0</v>
      </c>
    </row>
    <row r="538" spans="1:18" x14ac:dyDescent="0.25">
      <c r="A538" t="s">
        <v>538</v>
      </c>
      <c r="B538" t="s">
        <v>1387</v>
      </c>
      <c r="C538" t="s">
        <v>1412</v>
      </c>
      <c r="D538" s="2">
        <v>46213.387407407405</v>
      </c>
      <c r="E538" s="2">
        <f t="shared" si="16"/>
        <v>46213</v>
      </c>
      <c r="F538" t="s">
        <v>1738</v>
      </c>
      <c r="G538">
        <f>_xlfn.XLOOKUP(A538,FTD!A:A,FTD!C:C)</f>
        <v>1000</v>
      </c>
      <c r="H538" cm="1">
        <f t="array" ref="H538">_xlfn.LET(
  _xlpm.s, TRIM(F538),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38" t="str">
        <f>_xlfn.XLOOKUP(E538,Calendar!C:C,Calendar!B:B)</f>
        <v>Working Day</v>
      </c>
      <c r="M538" s="2">
        <v>46227</v>
      </c>
      <c r="N538" t="s">
        <v>1423</v>
      </c>
      <c r="O538" t="s">
        <v>1789</v>
      </c>
      <c r="P538">
        <v>1</v>
      </c>
      <c r="Q538" t="e">
        <f>_xlfn.XLOOKUP(N538,Attendance!F:F,Attendance!J:J)</f>
        <v>#N/A</v>
      </c>
      <c r="R538">
        <f t="shared" si="17"/>
        <v>0</v>
      </c>
    </row>
    <row r="539" spans="1:18" x14ac:dyDescent="0.25">
      <c r="A539" t="s">
        <v>539</v>
      </c>
      <c r="B539" t="s">
        <v>1387</v>
      </c>
      <c r="C539" t="s">
        <v>1397</v>
      </c>
      <c r="D539" s="2">
        <v>46211.416446759256</v>
      </c>
      <c r="E539" s="2">
        <f t="shared" si="16"/>
        <v>46211</v>
      </c>
      <c r="F539" t="s">
        <v>1739</v>
      </c>
      <c r="G539">
        <f>_xlfn.XLOOKUP(A539,FTD!A:A,FTD!C:C)</f>
        <v>16000</v>
      </c>
      <c r="H539" cm="1">
        <f t="array" ref="H539">_xlfn.LET(
  _xlpm.s, TRIM(F539),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39" t="str">
        <f>_xlfn.XLOOKUP(E539,Calendar!C:C,Calendar!B:B)</f>
        <v>Working Day</v>
      </c>
      <c r="M539" s="2">
        <v>46227</v>
      </c>
      <c r="N539" t="s">
        <v>1412</v>
      </c>
      <c r="O539" t="s">
        <v>1789</v>
      </c>
      <c r="P539">
        <v>2</v>
      </c>
      <c r="Q539" t="str">
        <f>_xlfn.XLOOKUP(N539,Attendance!F:F,Attendance!J:J)</f>
        <v>1</v>
      </c>
      <c r="R539">
        <f t="shared" si="17"/>
        <v>0</v>
      </c>
    </row>
    <row r="540" spans="1:18" x14ac:dyDescent="0.25">
      <c r="A540" t="s">
        <v>540</v>
      </c>
      <c r="B540" t="s">
        <v>1387</v>
      </c>
      <c r="C540" t="s">
        <v>1431</v>
      </c>
      <c r="D540" s="2">
        <v>46224.96943287037</v>
      </c>
      <c r="E540" s="2">
        <f t="shared" si="16"/>
        <v>46224</v>
      </c>
      <c r="F540" t="s">
        <v>1745</v>
      </c>
      <c r="G540">
        <f>_xlfn.XLOOKUP(A540,FTD!A:A,FTD!C:C)</f>
        <v>5000</v>
      </c>
      <c r="H540" cm="1">
        <f t="array" ref="H540">_xlfn.LET(
  _xlpm.s, TRIM(F540),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40" t="str">
        <f>_xlfn.XLOOKUP(E540,Calendar!C:C,Calendar!B:B)</f>
        <v>Working Day</v>
      </c>
      <c r="M540" s="2">
        <v>46227</v>
      </c>
      <c r="N540" t="s">
        <v>1424</v>
      </c>
      <c r="O540" t="s">
        <v>1789</v>
      </c>
      <c r="P540">
        <v>1</v>
      </c>
      <c r="Q540" t="str">
        <f>_xlfn.XLOOKUP(N540,Attendance!F:F,Attendance!J:J)</f>
        <v>New OJT</v>
      </c>
      <c r="R540">
        <f t="shared" si="17"/>
        <v>0</v>
      </c>
    </row>
    <row r="541" spans="1:18" x14ac:dyDescent="0.25">
      <c r="A541" t="s">
        <v>541</v>
      </c>
      <c r="B541" t="s">
        <v>1387</v>
      </c>
      <c r="C541" t="s">
        <v>1392</v>
      </c>
      <c r="D541" s="2">
        <v>46233.722777777773</v>
      </c>
      <c r="E541" s="2">
        <f t="shared" si="16"/>
        <v>46233</v>
      </c>
      <c r="F541" t="s">
        <v>1738</v>
      </c>
      <c r="G541">
        <f>_xlfn.XLOOKUP(A541,FTD!A:A,FTD!C:C)</f>
        <v>20000</v>
      </c>
      <c r="H541" cm="1">
        <f t="array" ref="H541">_xlfn.LET(
  _xlpm.s, TRIM(F541),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1" t="str">
        <f>_xlfn.XLOOKUP(E541,Calendar!C:C,Calendar!B:B)</f>
        <v>Working Day</v>
      </c>
      <c r="M541" s="2">
        <v>46227</v>
      </c>
      <c r="N541" t="s">
        <v>1406</v>
      </c>
      <c r="O541" t="s">
        <v>1789</v>
      </c>
      <c r="P541">
        <v>2</v>
      </c>
      <c r="Q541" t="str">
        <f>_xlfn.XLOOKUP(N541,Attendance!F:F,Attendance!J:J)</f>
        <v>1</v>
      </c>
      <c r="R541">
        <f t="shared" si="17"/>
        <v>0</v>
      </c>
    </row>
    <row r="542" spans="1:18" x14ac:dyDescent="0.25">
      <c r="A542" t="s">
        <v>542</v>
      </c>
      <c r="B542" t="s">
        <v>1387</v>
      </c>
      <c r="C542" t="s">
        <v>1406</v>
      </c>
      <c r="D542" s="2">
        <v>46224.388321759259</v>
      </c>
      <c r="E542" s="2">
        <f t="shared" si="16"/>
        <v>46224</v>
      </c>
      <c r="F542" t="s">
        <v>1741</v>
      </c>
      <c r="G542">
        <f>_xlfn.XLOOKUP(A542,FTD!A:A,FTD!C:C)</f>
        <v>15000</v>
      </c>
      <c r="H542" cm="1">
        <f t="array" ref="H542">_xlfn.LET(
  _xlpm.s, TRIM(F542),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2" t="str">
        <f>_xlfn.XLOOKUP(E542,Calendar!C:C,Calendar!B:B)</f>
        <v>Working Day</v>
      </c>
      <c r="M542" s="2">
        <v>46227</v>
      </c>
      <c r="N542" t="s">
        <v>1434</v>
      </c>
      <c r="O542" t="s">
        <v>1789</v>
      </c>
      <c r="P542">
        <v>1</v>
      </c>
      <c r="Q542" t="str">
        <f>_xlfn.XLOOKUP(N542,Attendance!F:F,Attendance!J:J)</f>
        <v>OJT 2</v>
      </c>
      <c r="R542">
        <f t="shared" si="17"/>
        <v>0</v>
      </c>
    </row>
    <row r="543" spans="1:18" x14ac:dyDescent="0.25">
      <c r="A543" t="s">
        <v>543</v>
      </c>
      <c r="B543" t="s">
        <v>1387</v>
      </c>
      <c r="C543" t="s">
        <v>1396</v>
      </c>
      <c r="D543" s="2">
        <v>46220.479016203702</v>
      </c>
      <c r="E543" s="2">
        <f t="shared" si="16"/>
        <v>46220</v>
      </c>
      <c r="F543" t="s">
        <v>1743</v>
      </c>
      <c r="G543">
        <f>_xlfn.XLOOKUP(A543,FTD!A:A,FTD!C:C)</f>
        <v>1000</v>
      </c>
      <c r="H543" cm="1">
        <f t="array" ref="H543">_xlfn.LET(
  _xlpm.s, TRIM(F543),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3" t="str">
        <f>_xlfn.XLOOKUP(E543,Calendar!C:C,Calendar!B:B)</f>
        <v>Working Day</v>
      </c>
      <c r="M543" s="2">
        <v>46227</v>
      </c>
      <c r="N543" t="s">
        <v>1438</v>
      </c>
      <c r="O543" t="s">
        <v>1789</v>
      </c>
      <c r="P543">
        <v>2</v>
      </c>
      <c r="Q543" t="e">
        <f>_xlfn.XLOOKUP(N543,Attendance!F:F,Attendance!J:J)</f>
        <v>#N/A</v>
      </c>
      <c r="R543">
        <f t="shared" si="17"/>
        <v>0</v>
      </c>
    </row>
    <row r="544" spans="1:18" x14ac:dyDescent="0.25">
      <c r="A544" t="s">
        <v>544</v>
      </c>
      <c r="B544" t="s">
        <v>1387</v>
      </c>
      <c r="C544" t="s">
        <v>1398</v>
      </c>
      <c r="D544" s="2">
        <v>46216.648784722223</v>
      </c>
      <c r="E544" s="2">
        <f t="shared" si="16"/>
        <v>46216</v>
      </c>
      <c r="F544" t="s">
        <v>1738</v>
      </c>
      <c r="G544">
        <f>_xlfn.XLOOKUP(A544,FTD!A:A,FTD!C:C)</f>
        <v>1000</v>
      </c>
      <c r="H544" cm="1">
        <f t="array" ref="H544">_xlfn.LET(
  _xlpm.s, TRIM(F544),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4" t="str">
        <f>_xlfn.XLOOKUP(E544,Calendar!C:C,Calendar!B:B)</f>
        <v>Working Day</v>
      </c>
      <c r="M544" s="2">
        <v>46227</v>
      </c>
      <c r="N544" t="s">
        <v>1431</v>
      </c>
      <c r="O544" t="s">
        <v>1789</v>
      </c>
      <c r="P544">
        <v>1</v>
      </c>
      <c r="Q544" t="str">
        <f>_xlfn.XLOOKUP(N544,Attendance!F:F,Attendance!J:J)</f>
        <v>Telegram</v>
      </c>
      <c r="R544">
        <f t="shared" si="17"/>
        <v>0</v>
      </c>
    </row>
    <row r="545" spans="1:18" x14ac:dyDescent="0.25">
      <c r="A545" t="s">
        <v>545</v>
      </c>
      <c r="B545" t="s">
        <v>1387</v>
      </c>
      <c r="C545" t="s">
        <v>1403</v>
      </c>
      <c r="D545" s="2">
        <v>46230.467881944445</v>
      </c>
      <c r="E545" s="2">
        <f t="shared" si="16"/>
        <v>46230</v>
      </c>
      <c r="F545" t="s">
        <v>1745</v>
      </c>
      <c r="G545">
        <f>_xlfn.XLOOKUP(A545,FTD!A:A,FTD!C:C)</f>
        <v>2000</v>
      </c>
      <c r="H545" cm="1">
        <f t="array" ref="H545">_xlfn.LET(
  _xlpm.s, TRIM(F545),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45" t="str">
        <f>_xlfn.XLOOKUP(E545,Calendar!C:C,Calendar!B:B)</f>
        <v>Working Day</v>
      </c>
      <c r="M545" s="2">
        <v>46227</v>
      </c>
      <c r="N545" t="s">
        <v>1402</v>
      </c>
      <c r="O545" t="s">
        <v>1789</v>
      </c>
      <c r="P545">
        <v>4</v>
      </c>
      <c r="Q545" t="str">
        <f>_xlfn.XLOOKUP(N545,Attendance!F:F,Attendance!J:J)</f>
        <v>1</v>
      </c>
      <c r="R545">
        <f t="shared" si="17"/>
        <v>0</v>
      </c>
    </row>
    <row r="546" spans="1:18" x14ac:dyDescent="0.25">
      <c r="A546" t="s">
        <v>546</v>
      </c>
      <c r="B546" t="s">
        <v>1387</v>
      </c>
      <c r="C546" t="s">
        <v>1418</v>
      </c>
      <c r="D546" s="2">
        <v>46220.525972222218</v>
      </c>
      <c r="E546" s="2">
        <f t="shared" si="16"/>
        <v>46220</v>
      </c>
      <c r="F546" t="s">
        <v>1738</v>
      </c>
      <c r="G546">
        <f>_xlfn.XLOOKUP(A546,FTD!A:A,FTD!C:C)</f>
        <v>1000</v>
      </c>
      <c r="H546" cm="1">
        <f t="array" ref="H546">_xlfn.LET(
  _xlpm.s, TRIM(F546),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6" t="str">
        <f>_xlfn.XLOOKUP(E546,Calendar!C:C,Calendar!B:B)</f>
        <v>Working Day</v>
      </c>
      <c r="M546" s="2">
        <v>46227</v>
      </c>
      <c r="N546" t="s">
        <v>1425</v>
      </c>
      <c r="O546" t="s">
        <v>1789</v>
      </c>
      <c r="P546">
        <v>1</v>
      </c>
      <c r="Q546" t="str">
        <f>_xlfn.XLOOKUP(N546,Attendance!F:F,Attendance!J:J)</f>
        <v>OJT 1</v>
      </c>
      <c r="R546">
        <f t="shared" si="17"/>
        <v>0</v>
      </c>
    </row>
    <row r="547" spans="1:18" x14ac:dyDescent="0.25">
      <c r="A547" t="s">
        <v>547</v>
      </c>
      <c r="B547" t="s">
        <v>1384</v>
      </c>
      <c r="C547" t="s">
        <v>1396</v>
      </c>
      <c r="D547" s="2">
        <v>46206.779976851853</v>
      </c>
      <c r="E547" s="2">
        <f t="shared" si="16"/>
        <v>46206</v>
      </c>
      <c r="F547" t="s">
        <v>1738</v>
      </c>
      <c r="G547">
        <f>_xlfn.XLOOKUP(A547,FTD!A:A,FTD!C:C)</f>
        <v>2000</v>
      </c>
      <c r="H547" cm="1">
        <f t="array" ref="H547">_xlfn.LET(
  _xlpm.s, TRIM(F547),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7" t="str">
        <f>_xlfn.XLOOKUP(E547,Calendar!C:C,Calendar!B:B)</f>
        <v>Working Day</v>
      </c>
      <c r="M547" s="2">
        <v>46227</v>
      </c>
      <c r="N547" t="s">
        <v>1391</v>
      </c>
      <c r="O547" t="s">
        <v>1789</v>
      </c>
      <c r="P547">
        <v>2</v>
      </c>
      <c r="Q547" t="str">
        <f>_xlfn.XLOOKUP(N547,Attendance!F:F,Attendance!J:J)</f>
        <v>Dialer</v>
      </c>
      <c r="R547">
        <f t="shared" si="17"/>
        <v>0</v>
      </c>
    </row>
    <row r="548" spans="1:18" x14ac:dyDescent="0.25">
      <c r="A548" t="s">
        <v>548</v>
      </c>
      <c r="B548" t="s">
        <v>1384</v>
      </c>
      <c r="C548" t="s">
        <v>1391</v>
      </c>
      <c r="D548" s="2">
        <v>46209.940532407403</v>
      </c>
      <c r="E548" s="2">
        <f t="shared" si="16"/>
        <v>46209</v>
      </c>
      <c r="F548" t="s">
        <v>1738</v>
      </c>
      <c r="G548">
        <f>_xlfn.XLOOKUP(A548,FTD!A:A,FTD!C:C)</f>
        <v>472.5</v>
      </c>
      <c r="H548" cm="1">
        <f t="array" ref="H548">_xlfn.LET(
  _xlpm.s, TRIM(F548),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48" t="str">
        <f>_xlfn.XLOOKUP(E548,Calendar!C:C,Calendar!B:B)</f>
        <v>Working Day</v>
      </c>
      <c r="M548" s="2">
        <v>46227</v>
      </c>
      <c r="N548" t="s">
        <v>1393</v>
      </c>
      <c r="O548" t="s">
        <v>1789</v>
      </c>
      <c r="P548">
        <v>1</v>
      </c>
      <c r="Q548" t="str">
        <f>_xlfn.XLOOKUP(N548,Attendance!F:F,Attendance!J:J)</f>
        <v>Dialer</v>
      </c>
      <c r="R548">
        <f t="shared" si="17"/>
        <v>0</v>
      </c>
    </row>
    <row r="549" spans="1:18" x14ac:dyDescent="0.25">
      <c r="A549" t="s">
        <v>549</v>
      </c>
      <c r="B549" t="s">
        <v>1384</v>
      </c>
      <c r="C549" t="s">
        <v>1418</v>
      </c>
      <c r="D549" s="2">
        <v>46212.491620370369</v>
      </c>
      <c r="E549" s="2">
        <f t="shared" si="16"/>
        <v>46212</v>
      </c>
      <c r="F549" t="s">
        <v>1706</v>
      </c>
      <c r="G549">
        <f>_xlfn.XLOOKUP(A549,FTD!A:A,FTD!C:C)</f>
        <v>1000</v>
      </c>
      <c r="H549" cm="1">
        <f t="array" ref="H549">_xlfn.LET(
  _xlpm.s, TRIM(F549),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49" t="str">
        <f>_xlfn.XLOOKUP(E549,Calendar!C:C,Calendar!B:B)</f>
        <v>Working Day</v>
      </c>
      <c r="M549" s="2">
        <v>46227</v>
      </c>
      <c r="N549" t="s">
        <v>1390</v>
      </c>
      <c r="O549" t="s">
        <v>1789</v>
      </c>
      <c r="P549">
        <v>1</v>
      </c>
      <c r="Q549" t="str">
        <f>_xlfn.XLOOKUP(N549,Attendance!F:F,Attendance!J:J)</f>
        <v>Meta</v>
      </c>
      <c r="R549">
        <f t="shared" si="17"/>
        <v>0</v>
      </c>
    </row>
    <row r="550" spans="1:18" x14ac:dyDescent="0.25">
      <c r="A550" t="s">
        <v>550</v>
      </c>
      <c r="B550" t="s">
        <v>1384</v>
      </c>
      <c r="C550" t="s">
        <v>1421</v>
      </c>
      <c r="D550" s="2">
        <v>46220.641898148147</v>
      </c>
      <c r="E550" s="2">
        <f t="shared" si="16"/>
        <v>46220</v>
      </c>
      <c r="F550" t="s">
        <v>1738</v>
      </c>
      <c r="G550">
        <f>_xlfn.XLOOKUP(A550,FTD!A:A,FTD!C:C)</f>
        <v>1000</v>
      </c>
      <c r="H550" cm="1">
        <f t="array" ref="H550">_xlfn.LET(
  _xlpm.s, TRIM(F550),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50" t="str">
        <f>_xlfn.XLOOKUP(E550,Calendar!C:C,Calendar!B:B)</f>
        <v>Working Day</v>
      </c>
      <c r="M550" s="2">
        <v>46227</v>
      </c>
      <c r="N550" t="s">
        <v>1392</v>
      </c>
      <c r="O550" t="s">
        <v>1789</v>
      </c>
      <c r="P550">
        <v>1</v>
      </c>
      <c r="Q550" t="str">
        <f>_xlfn.XLOOKUP(N550,Attendance!F:F,Attendance!J:J)</f>
        <v>Telegram</v>
      </c>
      <c r="R550">
        <f t="shared" si="17"/>
        <v>0</v>
      </c>
    </row>
    <row r="551" spans="1:18" x14ac:dyDescent="0.25">
      <c r="A551" t="s">
        <v>551</v>
      </c>
      <c r="B551" t="s">
        <v>1384</v>
      </c>
      <c r="C551" t="s">
        <v>1422</v>
      </c>
      <c r="D551" s="2">
        <v>46217.45076388889</v>
      </c>
      <c r="E551" s="2">
        <f t="shared" si="16"/>
        <v>46217</v>
      </c>
      <c r="F551" t="s">
        <v>1740</v>
      </c>
      <c r="G551">
        <f>_xlfn.XLOOKUP(A551,FTD!A:A,FTD!C:C)</f>
        <v>1000</v>
      </c>
      <c r="H551" cm="1">
        <f t="array" ref="H551">_xlfn.LET(
  _xlpm.s, TRIM(F551),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51" t="str">
        <f>_xlfn.XLOOKUP(E551,Calendar!C:C,Calendar!B:B)</f>
        <v>Working Day</v>
      </c>
      <c r="M551" s="2">
        <v>46227</v>
      </c>
      <c r="N551" t="s">
        <v>1394</v>
      </c>
      <c r="O551" t="s">
        <v>1789</v>
      </c>
      <c r="P551">
        <v>2</v>
      </c>
      <c r="Q551" t="str">
        <f>_xlfn.XLOOKUP(N551,Attendance!F:F,Attendance!J:J)</f>
        <v>OJT 1</v>
      </c>
      <c r="R551">
        <f t="shared" si="17"/>
        <v>0</v>
      </c>
    </row>
    <row r="552" spans="1:18" x14ac:dyDescent="0.25">
      <c r="A552" t="s">
        <v>552</v>
      </c>
      <c r="B552" t="s">
        <v>1384</v>
      </c>
      <c r="C552" t="s">
        <v>1389</v>
      </c>
      <c r="D552" s="2">
        <v>46223.409999999996</v>
      </c>
      <c r="E552" s="2">
        <f t="shared" si="16"/>
        <v>46223</v>
      </c>
      <c r="F552" t="s">
        <v>1742</v>
      </c>
      <c r="G552">
        <f>_xlfn.XLOOKUP(A552,FTD!A:A,FTD!C:C)</f>
        <v>2000</v>
      </c>
      <c r="H552" cm="1">
        <f t="array" ref="H552">_xlfn.LET(
  _xlpm.s, TRIM(F552),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52" t="str">
        <f>_xlfn.XLOOKUP(E552,Calendar!C:C,Calendar!B:B)</f>
        <v>Working Day</v>
      </c>
      <c r="M552" s="2">
        <v>46227</v>
      </c>
      <c r="N552" t="s">
        <v>1409</v>
      </c>
      <c r="O552" t="s">
        <v>1789</v>
      </c>
      <c r="P552">
        <v>1</v>
      </c>
      <c r="Q552" t="str">
        <f>_xlfn.XLOOKUP(N552,Attendance!F:F,Attendance!J:J)</f>
        <v>Dialer</v>
      </c>
      <c r="R552">
        <f t="shared" si="17"/>
        <v>0</v>
      </c>
    </row>
    <row r="553" spans="1:18" x14ac:dyDescent="0.25">
      <c r="A553" t="s">
        <v>553</v>
      </c>
      <c r="B553" t="s">
        <v>1384</v>
      </c>
      <c r="C553" t="s">
        <v>1422</v>
      </c>
      <c r="D553" s="2">
        <v>46227.388807870368</v>
      </c>
      <c r="E553" s="2">
        <f t="shared" si="16"/>
        <v>46227</v>
      </c>
      <c r="F553" t="s">
        <v>1740</v>
      </c>
      <c r="G553">
        <f>_xlfn.XLOOKUP(A553,FTD!A:A,FTD!C:C)</f>
        <v>736</v>
      </c>
      <c r="H553" cm="1">
        <f t="array" ref="H553">_xlfn.LET(
  _xlpm.s, TRIM(F553),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53" t="str">
        <f>_xlfn.XLOOKUP(E553,Calendar!C:C,Calendar!B:B)</f>
        <v>Working Day</v>
      </c>
      <c r="M553" s="2">
        <v>46227</v>
      </c>
      <c r="N553" t="s">
        <v>1399</v>
      </c>
      <c r="O553" t="s">
        <v>1789</v>
      </c>
      <c r="P553">
        <v>3</v>
      </c>
      <c r="Q553" t="str">
        <f>_xlfn.XLOOKUP(N553,Attendance!F:F,Attendance!J:J)</f>
        <v>1</v>
      </c>
      <c r="R553">
        <f t="shared" si="17"/>
        <v>0</v>
      </c>
    </row>
    <row r="554" spans="1:18" x14ac:dyDescent="0.25">
      <c r="A554" t="s">
        <v>554</v>
      </c>
      <c r="B554" t="s">
        <v>1384</v>
      </c>
      <c r="C554" t="s">
        <v>1435</v>
      </c>
      <c r="D554" s="2">
        <v>46206.89331018518</v>
      </c>
      <c r="E554" s="2">
        <f t="shared" si="16"/>
        <v>46206</v>
      </c>
      <c r="F554" t="s">
        <v>1738</v>
      </c>
      <c r="G554">
        <f>_xlfn.XLOOKUP(A554,FTD!A:A,FTD!C:C)</f>
        <v>1000</v>
      </c>
      <c r="H554" cm="1">
        <f t="array" ref="H554">_xlfn.LET(
  _xlpm.s, TRIM(F554),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54" t="str">
        <f>_xlfn.XLOOKUP(E554,Calendar!C:C,Calendar!B:B)</f>
        <v>Working Day</v>
      </c>
      <c r="M554" s="2">
        <v>46227</v>
      </c>
      <c r="N554" t="s">
        <v>1408</v>
      </c>
      <c r="O554" t="s">
        <v>1789</v>
      </c>
      <c r="P554">
        <v>1</v>
      </c>
      <c r="Q554" t="str">
        <f>_xlfn.XLOOKUP(N554,Attendance!F:F,Attendance!J:J)</f>
        <v>1</v>
      </c>
      <c r="R554">
        <f t="shared" si="17"/>
        <v>0</v>
      </c>
    </row>
    <row r="555" spans="1:18" x14ac:dyDescent="0.25">
      <c r="A555" t="s">
        <v>555</v>
      </c>
      <c r="B555" t="s">
        <v>1384</v>
      </c>
      <c r="C555" t="s">
        <v>1407</v>
      </c>
      <c r="D555" s="2">
        <v>46219.616041666668</v>
      </c>
      <c r="E555" s="2">
        <f t="shared" si="16"/>
        <v>46219</v>
      </c>
      <c r="F555" t="s">
        <v>1738</v>
      </c>
      <c r="G555">
        <f>_xlfn.XLOOKUP(A555,FTD!A:A,FTD!C:C)</f>
        <v>3000</v>
      </c>
      <c r="H555" cm="1">
        <f t="array" ref="H555">_xlfn.LET(
  _xlpm.s, TRIM(F555),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55" t="str">
        <f>_xlfn.XLOOKUP(E555,Calendar!C:C,Calendar!B:B)</f>
        <v>Working Day</v>
      </c>
      <c r="M555" s="2">
        <v>46228</v>
      </c>
      <c r="N555" t="s">
        <v>1403</v>
      </c>
      <c r="O555" t="s">
        <v>1783</v>
      </c>
      <c r="P555">
        <v>1</v>
      </c>
      <c r="Q555" t="str">
        <f>_xlfn.XLOOKUP(N555,Attendance!F:F,Attendance!J:J)</f>
        <v>Meta</v>
      </c>
      <c r="R555">
        <f t="shared" si="17"/>
        <v>0</v>
      </c>
    </row>
    <row r="556" spans="1:18" x14ac:dyDescent="0.25">
      <c r="A556" t="s">
        <v>556</v>
      </c>
      <c r="B556" t="s">
        <v>1384</v>
      </c>
      <c r="C556" t="s">
        <v>1392</v>
      </c>
      <c r="D556" s="2">
        <v>46223.154606481483</v>
      </c>
      <c r="E556" s="2">
        <f t="shared" si="16"/>
        <v>46223</v>
      </c>
      <c r="F556" t="s">
        <v>1763</v>
      </c>
      <c r="G556">
        <f>_xlfn.XLOOKUP(A556,FTD!A:A,FTD!C:C)</f>
        <v>5500</v>
      </c>
      <c r="H556" cm="1">
        <f t="array" ref="H556">_xlfn.LET(
  _xlpm.s, TRIM(F556),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56" t="str">
        <f>_xlfn.XLOOKUP(E556,Calendar!C:C,Calendar!B:B)</f>
        <v>Working Day</v>
      </c>
      <c r="M556" s="2">
        <v>46228</v>
      </c>
      <c r="N556" t="s">
        <v>1398</v>
      </c>
      <c r="O556" t="s">
        <v>1783</v>
      </c>
      <c r="P556">
        <v>1</v>
      </c>
      <c r="Q556" t="str">
        <f>_xlfn.XLOOKUP(N556,Attendance!F:F,Attendance!J:J)</f>
        <v>1</v>
      </c>
      <c r="R556">
        <f t="shared" si="17"/>
        <v>0</v>
      </c>
    </row>
    <row r="557" spans="1:18" x14ac:dyDescent="0.25">
      <c r="A557" t="s">
        <v>557</v>
      </c>
      <c r="B557" t="s">
        <v>1384</v>
      </c>
      <c r="C557" t="s">
        <v>1424</v>
      </c>
      <c r="D557" s="2">
        <v>46227.481423611112</v>
      </c>
      <c r="E557" s="2">
        <f t="shared" si="16"/>
        <v>46227</v>
      </c>
      <c r="F557" t="s">
        <v>1740</v>
      </c>
      <c r="G557">
        <f>_xlfn.XLOOKUP(A557,FTD!A:A,FTD!C:C)</f>
        <v>501</v>
      </c>
      <c r="H557" cm="1">
        <f t="array" ref="H557">_xlfn.LET(
  _xlpm.s, TRIM(F557),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57" t="str">
        <f>_xlfn.XLOOKUP(E557,Calendar!C:C,Calendar!B:B)</f>
        <v>Working Day</v>
      </c>
      <c r="M557" s="2">
        <v>46228</v>
      </c>
      <c r="N557" t="s">
        <v>1412</v>
      </c>
      <c r="O557" t="s">
        <v>1783</v>
      </c>
      <c r="P557">
        <v>1</v>
      </c>
      <c r="Q557" t="str">
        <f>_xlfn.XLOOKUP(N557,Attendance!F:F,Attendance!J:J)</f>
        <v>1</v>
      </c>
      <c r="R557">
        <f t="shared" si="17"/>
        <v>0</v>
      </c>
    </row>
    <row r="558" spans="1:18" x14ac:dyDescent="0.25">
      <c r="A558" t="s">
        <v>558</v>
      </c>
      <c r="B558" t="s">
        <v>1387</v>
      </c>
      <c r="C558" t="s">
        <v>1412</v>
      </c>
      <c r="D558" s="2">
        <v>46206.505798611106</v>
      </c>
      <c r="E558" s="2">
        <f t="shared" si="16"/>
        <v>46206</v>
      </c>
      <c r="F558" t="s">
        <v>1738</v>
      </c>
      <c r="G558">
        <f>_xlfn.XLOOKUP(A558,FTD!A:A,FTD!C:C)</f>
        <v>1000</v>
      </c>
      <c r="H558" cm="1">
        <f t="array" ref="H558">_xlfn.LET(
  _xlpm.s, TRIM(F558),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58" t="str">
        <f>_xlfn.XLOOKUP(E558,Calendar!C:C,Calendar!B:B)</f>
        <v>Working Day</v>
      </c>
      <c r="M558" s="2">
        <v>46228</v>
      </c>
      <c r="N558" t="s">
        <v>1408</v>
      </c>
      <c r="O558" t="s">
        <v>1783</v>
      </c>
      <c r="P558">
        <v>2</v>
      </c>
      <c r="Q558" t="str">
        <f>_xlfn.XLOOKUP(N558,Attendance!F:F,Attendance!J:J)</f>
        <v>1</v>
      </c>
      <c r="R558">
        <f t="shared" si="17"/>
        <v>0</v>
      </c>
    </row>
    <row r="559" spans="1:18" x14ac:dyDescent="0.25">
      <c r="A559" t="s">
        <v>559</v>
      </c>
      <c r="B559" t="s">
        <v>1387</v>
      </c>
      <c r="C559" t="s">
        <v>1436</v>
      </c>
      <c r="D559" s="2">
        <v>46223.420208333329</v>
      </c>
      <c r="E559" s="2">
        <f t="shared" si="16"/>
        <v>46223</v>
      </c>
      <c r="F559" t="s">
        <v>1745</v>
      </c>
      <c r="G559">
        <f>_xlfn.XLOOKUP(A559,FTD!A:A,FTD!C:C)</f>
        <v>1001</v>
      </c>
      <c r="H559" cm="1">
        <f t="array" ref="H559">_xlfn.LET(
  _xlpm.s, TRIM(F559),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59" t="str">
        <f>_xlfn.XLOOKUP(E559,Calendar!C:C,Calendar!B:B)</f>
        <v>Working Day</v>
      </c>
      <c r="M559" s="2">
        <v>46229</v>
      </c>
      <c r="N559" t="s">
        <v>1413</v>
      </c>
      <c r="O559" t="s">
        <v>1784</v>
      </c>
      <c r="P559">
        <v>1</v>
      </c>
      <c r="Q559" t="str">
        <f>_xlfn.XLOOKUP(N559,Attendance!F:F,Attendance!J:J)</f>
        <v>Dialer</v>
      </c>
      <c r="R559">
        <f t="shared" si="17"/>
        <v>0</v>
      </c>
    </row>
    <row r="560" spans="1:18" x14ac:dyDescent="0.25">
      <c r="A560" t="s">
        <v>560</v>
      </c>
      <c r="B560" t="s">
        <v>1387</v>
      </c>
      <c r="C560" t="s">
        <v>1433</v>
      </c>
      <c r="D560" s="2">
        <v>46206.454409722217</v>
      </c>
      <c r="E560" s="2">
        <f t="shared" si="16"/>
        <v>46206</v>
      </c>
      <c r="F560" t="s">
        <v>1744</v>
      </c>
      <c r="G560">
        <f>_xlfn.XLOOKUP(A560,FTD!A:A,FTD!C:C)</f>
        <v>1000</v>
      </c>
      <c r="H560" cm="1">
        <f t="array" ref="H560">_xlfn.LET(
  _xlpm.s, TRIM(F560),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60" t="str">
        <f>_xlfn.XLOOKUP(E560,Calendar!C:C,Calendar!B:B)</f>
        <v>Working Day</v>
      </c>
      <c r="M560" s="2">
        <v>46229</v>
      </c>
      <c r="N560" t="s">
        <v>1397</v>
      </c>
      <c r="O560" t="s">
        <v>1784</v>
      </c>
      <c r="P560">
        <v>1</v>
      </c>
      <c r="Q560" t="str">
        <f>_xlfn.XLOOKUP(N560,Attendance!F:F,Attendance!J:J)</f>
        <v>Meta</v>
      </c>
      <c r="R560">
        <f t="shared" si="17"/>
        <v>0</v>
      </c>
    </row>
    <row r="561" spans="1:18" x14ac:dyDescent="0.25">
      <c r="A561" t="s">
        <v>561</v>
      </c>
      <c r="B561" t="s">
        <v>1387</v>
      </c>
      <c r="C561" t="s">
        <v>1408</v>
      </c>
      <c r="D561" s="2">
        <v>46209.745682870365</v>
      </c>
      <c r="E561" s="2">
        <f t="shared" si="16"/>
        <v>46209</v>
      </c>
      <c r="F561" t="s">
        <v>1738</v>
      </c>
      <c r="G561">
        <f>_xlfn.XLOOKUP(A561,FTD!A:A,FTD!C:C)</f>
        <v>1500</v>
      </c>
      <c r="H561" cm="1">
        <f t="array" ref="H561">_xlfn.LET(
  _xlpm.s, TRIM(F561),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61" t="str">
        <f>_xlfn.XLOOKUP(E561,Calendar!C:C,Calendar!B:B)</f>
        <v>Working Day</v>
      </c>
      <c r="M561" s="2">
        <v>46229</v>
      </c>
      <c r="N561" t="s">
        <v>1407</v>
      </c>
      <c r="O561" t="s">
        <v>1784</v>
      </c>
      <c r="P561">
        <v>1</v>
      </c>
      <c r="Q561" t="str">
        <f>_xlfn.XLOOKUP(N561,Attendance!F:F,Attendance!J:J)</f>
        <v>Meta</v>
      </c>
      <c r="R561">
        <f t="shared" si="17"/>
        <v>0</v>
      </c>
    </row>
    <row r="562" spans="1:18" x14ac:dyDescent="0.25">
      <c r="A562" t="s">
        <v>562</v>
      </c>
      <c r="B562" t="s">
        <v>1387</v>
      </c>
      <c r="C562" t="s">
        <v>1389</v>
      </c>
      <c r="D562" s="2">
        <v>46205.743148148147</v>
      </c>
      <c r="E562" s="2">
        <f t="shared" si="16"/>
        <v>46205</v>
      </c>
      <c r="F562" t="s">
        <v>1740</v>
      </c>
      <c r="G562">
        <f>_xlfn.XLOOKUP(A562,FTD!A:A,FTD!C:C)</f>
        <v>1001</v>
      </c>
      <c r="H562" cm="1">
        <f t="array" ref="H562">_xlfn.LET(
  _xlpm.s, TRIM(F562),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62" t="str">
        <f>_xlfn.XLOOKUP(E562,Calendar!C:C,Calendar!B:B)</f>
        <v>Working Day</v>
      </c>
      <c r="M562" s="2">
        <v>46229</v>
      </c>
      <c r="N562" t="s">
        <v>1402</v>
      </c>
      <c r="O562" t="s">
        <v>1784</v>
      </c>
      <c r="P562">
        <v>1</v>
      </c>
      <c r="Q562" t="str">
        <f>_xlfn.XLOOKUP(N562,Attendance!F:F,Attendance!J:J)</f>
        <v>1</v>
      </c>
      <c r="R562">
        <f t="shared" si="17"/>
        <v>0</v>
      </c>
    </row>
    <row r="563" spans="1:18" x14ac:dyDescent="0.25">
      <c r="A563" t="s">
        <v>563</v>
      </c>
      <c r="B563" t="s">
        <v>1387</v>
      </c>
      <c r="C563" t="s">
        <v>1405</v>
      </c>
      <c r="D563" s="2">
        <v>46205.268449074072</v>
      </c>
      <c r="E563" s="2">
        <f t="shared" si="16"/>
        <v>46205</v>
      </c>
      <c r="F563" t="s">
        <v>1744</v>
      </c>
      <c r="G563">
        <f>_xlfn.XLOOKUP(A563,FTD!A:A,FTD!C:C)</f>
        <v>1000</v>
      </c>
      <c r="H563" cm="1">
        <f t="array" ref="H563">_xlfn.LET(
  _xlpm.s, TRIM(F563),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63" t="str">
        <f>_xlfn.XLOOKUP(E563,Calendar!C:C,Calendar!B:B)</f>
        <v>Working Day</v>
      </c>
      <c r="M563" s="2">
        <v>46229</v>
      </c>
      <c r="N563" t="s">
        <v>1408</v>
      </c>
      <c r="O563" t="s">
        <v>1784</v>
      </c>
      <c r="P563">
        <v>1</v>
      </c>
      <c r="Q563" t="str">
        <f>_xlfn.XLOOKUP(N563,Attendance!F:F,Attendance!J:J)</f>
        <v>1</v>
      </c>
      <c r="R563">
        <f t="shared" si="17"/>
        <v>0</v>
      </c>
    </row>
    <row r="564" spans="1:18" x14ac:dyDescent="0.25">
      <c r="A564" t="s">
        <v>564</v>
      </c>
      <c r="B564" t="s">
        <v>1387</v>
      </c>
      <c r="C564" t="s">
        <v>1402</v>
      </c>
      <c r="D564" s="2">
        <v>46208.487523148149</v>
      </c>
      <c r="E564" s="2">
        <f t="shared" si="16"/>
        <v>46208</v>
      </c>
      <c r="F564" t="s">
        <v>1743</v>
      </c>
      <c r="G564">
        <f>_xlfn.XLOOKUP(A564,FTD!A:A,FTD!C:C)</f>
        <v>15000</v>
      </c>
      <c r="H564" cm="1">
        <f t="array" ref="H564">_xlfn.LET(
  _xlpm.s, TRIM(F564),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64" t="str">
        <f>_xlfn.XLOOKUP(E564,Calendar!C:C,Calendar!B:B)</f>
        <v>Sunday</v>
      </c>
      <c r="M564" s="2">
        <v>46230</v>
      </c>
      <c r="N564" t="s">
        <v>1403</v>
      </c>
      <c r="O564" t="s">
        <v>1789</v>
      </c>
      <c r="P564">
        <v>4</v>
      </c>
      <c r="Q564" t="str">
        <f>_xlfn.XLOOKUP(N564,Attendance!F:F,Attendance!J:J)</f>
        <v>Meta</v>
      </c>
      <c r="R564">
        <f t="shared" si="17"/>
        <v>400</v>
      </c>
    </row>
    <row r="565" spans="1:18" x14ac:dyDescent="0.25">
      <c r="A565" t="s">
        <v>565</v>
      </c>
      <c r="B565" t="s">
        <v>1387</v>
      </c>
      <c r="C565" t="s">
        <v>1398</v>
      </c>
      <c r="D565" s="2">
        <v>46213.387083333335</v>
      </c>
      <c r="E565" s="2">
        <f t="shared" si="16"/>
        <v>46213</v>
      </c>
      <c r="F565" t="s">
        <v>1739</v>
      </c>
      <c r="G565">
        <f>_xlfn.XLOOKUP(A565,FTD!A:A,FTD!C:C)</f>
        <v>6000</v>
      </c>
      <c r="H565" cm="1">
        <f t="array" ref="H565">_xlfn.LET(
  _xlpm.s, TRIM(F565),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65" t="str">
        <f>_xlfn.XLOOKUP(E565,Calendar!C:C,Calendar!B:B)</f>
        <v>Working Day</v>
      </c>
      <c r="M565" s="2">
        <v>46230</v>
      </c>
      <c r="N565" t="s">
        <v>1415</v>
      </c>
      <c r="O565" t="s">
        <v>1789</v>
      </c>
      <c r="P565">
        <v>2</v>
      </c>
      <c r="Q565" t="str">
        <f>_xlfn.XLOOKUP(N565,Attendance!F:F,Attendance!J:J)</f>
        <v>Meta</v>
      </c>
      <c r="R565">
        <f t="shared" si="17"/>
        <v>0</v>
      </c>
    </row>
    <row r="566" spans="1:18" x14ac:dyDescent="0.25">
      <c r="A566" t="s">
        <v>566</v>
      </c>
      <c r="B566" t="s">
        <v>1387</v>
      </c>
      <c r="C566" t="s">
        <v>1398</v>
      </c>
      <c r="D566" s="2">
        <v>46206.389907407407</v>
      </c>
      <c r="E566" s="2">
        <f t="shared" si="16"/>
        <v>46206</v>
      </c>
      <c r="F566" t="s">
        <v>1738</v>
      </c>
      <c r="G566">
        <f>_xlfn.XLOOKUP(A566,FTD!A:A,FTD!C:C)</f>
        <v>2000</v>
      </c>
      <c r="H566" cm="1">
        <f t="array" ref="H566">_xlfn.LET(
  _xlpm.s, TRIM(F566),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66" t="str">
        <f>_xlfn.XLOOKUP(E566,Calendar!C:C,Calendar!B:B)</f>
        <v>Working Day</v>
      </c>
      <c r="M566" s="2">
        <v>46230</v>
      </c>
      <c r="N566" t="s">
        <v>1398</v>
      </c>
      <c r="O566" t="s">
        <v>1789</v>
      </c>
      <c r="P566">
        <v>5</v>
      </c>
      <c r="Q566" t="str">
        <f>_xlfn.XLOOKUP(N566,Attendance!F:F,Attendance!J:J)</f>
        <v>1</v>
      </c>
      <c r="R566">
        <f t="shared" si="17"/>
        <v>0</v>
      </c>
    </row>
    <row r="567" spans="1:18" x14ac:dyDescent="0.25">
      <c r="A567" t="s">
        <v>567</v>
      </c>
      <c r="B567" t="s">
        <v>1387</v>
      </c>
      <c r="C567" t="s">
        <v>1405</v>
      </c>
      <c r="D567" s="2">
        <v>46214.785381944443</v>
      </c>
      <c r="E567" s="2">
        <f t="shared" si="16"/>
        <v>46214</v>
      </c>
      <c r="F567" t="s">
        <v>1739</v>
      </c>
      <c r="G567">
        <f>_xlfn.XLOOKUP(A567,FTD!A:A,FTD!C:C)</f>
        <v>1000</v>
      </c>
      <c r="H567" cm="1">
        <f t="array" ref="H567">_xlfn.LET(
  _xlpm.s, TRIM(F567),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67" t="str">
        <f>_xlfn.XLOOKUP(E567,Calendar!C:C,Calendar!B:B)</f>
        <v>Saturday</v>
      </c>
      <c r="M567" s="2">
        <v>46230</v>
      </c>
      <c r="N567" t="s">
        <v>1389</v>
      </c>
      <c r="O567" t="s">
        <v>1789</v>
      </c>
      <c r="P567">
        <v>1</v>
      </c>
      <c r="Q567" t="str">
        <f>_xlfn.XLOOKUP(N567,Attendance!F:F,Attendance!J:J)</f>
        <v>Meta</v>
      </c>
      <c r="R567">
        <f t="shared" si="17"/>
        <v>0</v>
      </c>
    </row>
    <row r="568" spans="1:18" x14ac:dyDescent="0.25">
      <c r="A568" t="s">
        <v>568</v>
      </c>
      <c r="B568" t="s">
        <v>1387</v>
      </c>
      <c r="C568" t="s">
        <v>1399</v>
      </c>
      <c r="D568" s="2">
        <v>46224.598414351851</v>
      </c>
      <c r="E568" s="2">
        <f t="shared" si="16"/>
        <v>46224</v>
      </c>
      <c r="F568" t="s">
        <v>1746</v>
      </c>
      <c r="G568">
        <f>_xlfn.XLOOKUP(A568,FTD!A:A,FTD!C:C)</f>
        <v>3000</v>
      </c>
      <c r="H568" cm="1">
        <f t="array" ref="H568">_xlfn.LET(
  _xlpm.s, TRIM(F568),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68" t="str">
        <f>_xlfn.XLOOKUP(E568,Calendar!C:C,Calendar!B:B)</f>
        <v>Working Day</v>
      </c>
      <c r="M568" s="2">
        <v>46230</v>
      </c>
      <c r="N568" t="s">
        <v>1417</v>
      </c>
      <c r="O568" t="s">
        <v>1789</v>
      </c>
      <c r="P568">
        <v>1</v>
      </c>
      <c r="Q568" t="str">
        <f>_xlfn.XLOOKUP(N568,Attendance!F:F,Attendance!J:J)</f>
        <v>Meta</v>
      </c>
      <c r="R568">
        <f t="shared" si="17"/>
        <v>0</v>
      </c>
    </row>
    <row r="569" spans="1:18" x14ac:dyDescent="0.25">
      <c r="A569" t="s">
        <v>569</v>
      </c>
      <c r="B569" t="s">
        <v>1387</v>
      </c>
      <c r="C569" t="s">
        <v>1401</v>
      </c>
      <c r="D569" s="2">
        <v>46206.472974537035</v>
      </c>
      <c r="E569" s="2">
        <f t="shared" si="16"/>
        <v>46206</v>
      </c>
      <c r="F569" t="s">
        <v>1739</v>
      </c>
      <c r="G569">
        <f>_xlfn.XLOOKUP(A569,FTD!A:A,FTD!C:C)</f>
        <v>1000</v>
      </c>
      <c r="H569" cm="1">
        <f t="array" ref="H569">_xlfn.LET(
  _xlpm.s, TRIM(F569),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69" t="str">
        <f>_xlfn.XLOOKUP(E569,Calendar!C:C,Calendar!B:B)</f>
        <v>Working Day</v>
      </c>
      <c r="M569" s="2">
        <v>46230</v>
      </c>
      <c r="N569" t="s">
        <v>1400</v>
      </c>
      <c r="O569" t="s">
        <v>1789</v>
      </c>
      <c r="P569">
        <v>5</v>
      </c>
      <c r="Q569" t="str">
        <f>_xlfn.XLOOKUP(N569,Attendance!F:F,Attendance!J:J)</f>
        <v>Meta</v>
      </c>
      <c r="R569">
        <f t="shared" si="17"/>
        <v>400</v>
      </c>
    </row>
    <row r="570" spans="1:18" x14ac:dyDescent="0.25">
      <c r="A570" t="s">
        <v>570</v>
      </c>
      <c r="B570" t="s">
        <v>1387</v>
      </c>
      <c r="C570" t="s">
        <v>1399</v>
      </c>
      <c r="D570" s="2">
        <v>46209.814513888887</v>
      </c>
      <c r="E570" s="2">
        <f t="shared" si="16"/>
        <v>46209</v>
      </c>
      <c r="F570" t="s">
        <v>1738</v>
      </c>
      <c r="G570">
        <f>_xlfn.XLOOKUP(A570,FTD!A:A,FTD!C:C)</f>
        <v>1000</v>
      </c>
      <c r="H570" cm="1">
        <f t="array" ref="H570">_xlfn.LET(
  _xlpm.s, TRIM(F570),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0" t="str">
        <f>_xlfn.XLOOKUP(E570,Calendar!C:C,Calendar!B:B)</f>
        <v>Working Day</v>
      </c>
      <c r="M570" s="2">
        <v>46230</v>
      </c>
      <c r="N570" t="s">
        <v>1397</v>
      </c>
      <c r="O570" t="s">
        <v>1789</v>
      </c>
      <c r="P570">
        <v>1</v>
      </c>
      <c r="Q570" t="str">
        <f>_xlfn.XLOOKUP(N570,Attendance!F:F,Attendance!J:J)</f>
        <v>Meta</v>
      </c>
      <c r="R570">
        <f t="shared" si="17"/>
        <v>0</v>
      </c>
    </row>
    <row r="571" spans="1:18" x14ac:dyDescent="0.25">
      <c r="A571" t="s">
        <v>571</v>
      </c>
      <c r="B571" t="s">
        <v>1387</v>
      </c>
      <c r="C571" t="s">
        <v>1412</v>
      </c>
      <c r="D571" s="2">
        <v>46210.47688657407</v>
      </c>
      <c r="E571" s="2">
        <f t="shared" si="16"/>
        <v>46210</v>
      </c>
      <c r="F571" t="s">
        <v>1738</v>
      </c>
      <c r="G571">
        <f>_xlfn.XLOOKUP(A571,FTD!A:A,FTD!C:C)</f>
        <v>5000</v>
      </c>
      <c r="H571" cm="1">
        <f t="array" ref="H571">_xlfn.LET(
  _xlpm.s, TRIM(F571),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1" t="str">
        <f>_xlfn.XLOOKUP(E571,Calendar!C:C,Calendar!B:B)</f>
        <v>Working Day</v>
      </c>
      <c r="M571" s="2">
        <v>46230</v>
      </c>
      <c r="N571" t="s">
        <v>1395</v>
      </c>
      <c r="O571" t="s">
        <v>1789</v>
      </c>
      <c r="P571">
        <v>1</v>
      </c>
      <c r="Q571" t="str">
        <f>_xlfn.XLOOKUP(N571,Attendance!F:F,Attendance!J:J)</f>
        <v>OJT 1</v>
      </c>
      <c r="R571">
        <f t="shared" si="17"/>
        <v>0</v>
      </c>
    </row>
    <row r="572" spans="1:18" x14ac:dyDescent="0.25">
      <c r="A572" t="s">
        <v>572</v>
      </c>
      <c r="B572" t="s">
        <v>1387</v>
      </c>
      <c r="C572" t="s">
        <v>1408</v>
      </c>
      <c r="D572" s="2">
        <v>46210.681307870371</v>
      </c>
      <c r="E572" s="2">
        <f t="shared" si="16"/>
        <v>46210</v>
      </c>
      <c r="F572" t="s">
        <v>1738</v>
      </c>
      <c r="G572">
        <f>_xlfn.XLOOKUP(A572,FTD!A:A,FTD!C:C)</f>
        <v>2000</v>
      </c>
      <c r="H572" cm="1">
        <f t="array" ref="H572">_xlfn.LET(
  _xlpm.s, TRIM(F572),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2" t="str">
        <f>_xlfn.XLOOKUP(E572,Calendar!C:C,Calendar!B:B)</f>
        <v>Working Day</v>
      </c>
      <c r="M572" s="2">
        <v>46230</v>
      </c>
      <c r="N572" t="s">
        <v>1396</v>
      </c>
      <c r="O572" t="s">
        <v>1789</v>
      </c>
      <c r="P572">
        <v>3</v>
      </c>
      <c r="Q572" t="str">
        <f>_xlfn.XLOOKUP(N572,Attendance!F:F,Attendance!J:J)</f>
        <v>Telegram</v>
      </c>
      <c r="R572">
        <f t="shared" si="17"/>
        <v>500</v>
      </c>
    </row>
    <row r="573" spans="1:18" x14ac:dyDescent="0.25">
      <c r="A573" t="s">
        <v>573</v>
      </c>
      <c r="B573" t="s">
        <v>1387</v>
      </c>
      <c r="C573" t="s">
        <v>1433</v>
      </c>
      <c r="D573" s="2">
        <v>46205.812754629631</v>
      </c>
      <c r="E573" s="2">
        <f t="shared" si="16"/>
        <v>46205</v>
      </c>
      <c r="F573" t="s">
        <v>1743</v>
      </c>
      <c r="G573">
        <f>_xlfn.XLOOKUP(A573,FTD!A:A,FTD!C:C)</f>
        <v>1000</v>
      </c>
      <c r="H573" cm="1">
        <f t="array" ref="H573">_xlfn.LET(
  _xlpm.s, TRIM(F573),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3" t="str">
        <f>_xlfn.XLOOKUP(E573,Calendar!C:C,Calendar!B:B)</f>
        <v>Working Day</v>
      </c>
      <c r="M573" s="2">
        <v>46230</v>
      </c>
      <c r="N573" t="s">
        <v>1412</v>
      </c>
      <c r="O573" t="s">
        <v>1789</v>
      </c>
      <c r="P573">
        <v>3</v>
      </c>
      <c r="Q573" t="str">
        <f>_xlfn.XLOOKUP(N573,Attendance!F:F,Attendance!J:J)</f>
        <v>1</v>
      </c>
      <c r="R573">
        <f t="shared" si="17"/>
        <v>0</v>
      </c>
    </row>
    <row r="574" spans="1:18" x14ac:dyDescent="0.25">
      <c r="A574" t="s">
        <v>574</v>
      </c>
      <c r="B574" t="s">
        <v>1387</v>
      </c>
      <c r="C574" t="s">
        <v>1431</v>
      </c>
      <c r="D574" s="2">
        <v>46232.858877314815</v>
      </c>
      <c r="E574" s="2">
        <f t="shared" si="16"/>
        <v>46232</v>
      </c>
      <c r="F574" t="s">
        <v>1743</v>
      </c>
      <c r="G574">
        <f>_xlfn.XLOOKUP(A574,FTD!A:A,FTD!C:C)</f>
        <v>1000</v>
      </c>
      <c r="H574" cm="1">
        <f t="array" ref="H574">_xlfn.LET(
  _xlpm.s, TRIM(F574),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4" t="str">
        <f>_xlfn.XLOOKUP(E574,Calendar!C:C,Calendar!B:B)</f>
        <v>Working Day</v>
      </c>
      <c r="M574" s="2">
        <v>46230</v>
      </c>
      <c r="N574" t="s">
        <v>1404</v>
      </c>
      <c r="O574" t="s">
        <v>1789</v>
      </c>
      <c r="P574">
        <v>2</v>
      </c>
      <c r="Q574" t="str">
        <f>_xlfn.XLOOKUP(N574,Attendance!F:F,Attendance!J:J)</f>
        <v>OLD OJT</v>
      </c>
      <c r="R574">
        <f t="shared" si="17"/>
        <v>0</v>
      </c>
    </row>
    <row r="575" spans="1:18" x14ac:dyDescent="0.25">
      <c r="A575" t="s">
        <v>575</v>
      </c>
      <c r="B575" t="s">
        <v>1387</v>
      </c>
      <c r="C575" t="s">
        <v>1402</v>
      </c>
      <c r="D575" s="2">
        <v>46217.685787037037</v>
      </c>
      <c r="E575" s="2">
        <f t="shared" si="16"/>
        <v>46217</v>
      </c>
      <c r="F575" t="s">
        <v>1738</v>
      </c>
      <c r="G575">
        <f>_xlfn.XLOOKUP(A575,FTD!A:A,FTD!C:C)</f>
        <v>2000</v>
      </c>
      <c r="H575" cm="1">
        <f t="array" ref="H575">_xlfn.LET(
  _xlpm.s, TRIM(F575),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5" t="str">
        <f>_xlfn.XLOOKUP(E575,Calendar!C:C,Calendar!B:B)</f>
        <v>Working Day</v>
      </c>
      <c r="M575" s="2">
        <v>46230</v>
      </c>
      <c r="N575" t="s">
        <v>1406</v>
      </c>
      <c r="O575" t="s">
        <v>1789</v>
      </c>
      <c r="P575">
        <v>3</v>
      </c>
      <c r="Q575" t="str">
        <f>_xlfn.XLOOKUP(N575,Attendance!F:F,Attendance!J:J)</f>
        <v>1</v>
      </c>
      <c r="R575">
        <f t="shared" si="17"/>
        <v>0</v>
      </c>
    </row>
    <row r="576" spans="1:18" x14ac:dyDescent="0.25">
      <c r="A576" t="s">
        <v>576</v>
      </c>
      <c r="B576" t="s">
        <v>1387</v>
      </c>
      <c r="C576" t="s">
        <v>1415</v>
      </c>
      <c r="D576" s="2">
        <v>46225.436111111107</v>
      </c>
      <c r="E576" s="2">
        <f t="shared" si="16"/>
        <v>46225</v>
      </c>
      <c r="F576" t="s">
        <v>1738</v>
      </c>
      <c r="G576">
        <f>_xlfn.XLOOKUP(A576,FTD!A:A,FTD!C:C)</f>
        <v>5000</v>
      </c>
      <c r="H576" cm="1">
        <f t="array" ref="H576">_xlfn.LET(
  _xlpm.s, TRIM(F576),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6" t="str">
        <f>_xlfn.XLOOKUP(E576,Calendar!C:C,Calendar!B:B)</f>
        <v>Working Day</v>
      </c>
      <c r="M576" s="2">
        <v>46230</v>
      </c>
      <c r="N576" t="s">
        <v>1402</v>
      </c>
      <c r="O576" t="s">
        <v>1789</v>
      </c>
      <c r="P576">
        <v>7</v>
      </c>
      <c r="Q576" t="str">
        <f>_xlfn.XLOOKUP(N576,Attendance!F:F,Attendance!J:J)</f>
        <v>1</v>
      </c>
      <c r="R576">
        <f t="shared" si="17"/>
        <v>0</v>
      </c>
    </row>
    <row r="577" spans="1:18" x14ac:dyDescent="0.25">
      <c r="A577" t="s">
        <v>577</v>
      </c>
      <c r="B577" t="s">
        <v>1387</v>
      </c>
      <c r="C577" t="s">
        <v>1399</v>
      </c>
      <c r="D577" s="2">
        <v>46226.576562499999</v>
      </c>
      <c r="E577" s="2">
        <f t="shared" si="16"/>
        <v>46226</v>
      </c>
      <c r="F577" t="s">
        <v>1741</v>
      </c>
      <c r="G577">
        <f>_xlfn.XLOOKUP(A577,FTD!A:A,FTD!C:C)</f>
        <v>4000</v>
      </c>
      <c r="H577" cm="1">
        <f t="array" ref="H577">_xlfn.LET(
  _xlpm.s, TRIM(F577),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7" t="str">
        <f>_xlfn.XLOOKUP(E577,Calendar!C:C,Calendar!B:B)</f>
        <v>Working Day</v>
      </c>
      <c r="M577" s="2">
        <v>46230</v>
      </c>
      <c r="N577" t="s">
        <v>1392</v>
      </c>
      <c r="O577" t="s">
        <v>1789</v>
      </c>
      <c r="P577">
        <v>1</v>
      </c>
      <c r="Q577" t="str">
        <f>_xlfn.XLOOKUP(N577,Attendance!F:F,Attendance!J:J)</f>
        <v>Telegram</v>
      </c>
      <c r="R577">
        <f t="shared" si="17"/>
        <v>0</v>
      </c>
    </row>
    <row r="578" spans="1:18" x14ac:dyDescent="0.25">
      <c r="A578" t="s">
        <v>578</v>
      </c>
      <c r="B578" t="s">
        <v>1384</v>
      </c>
      <c r="C578" t="s">
        <v>1417</v>
      </c>
      <c r="D578" s="2">
        <v>46206.733888888884</v>
      </c>
      <c r="E578" s="2">
        <f t="shared" si="16"/>
        <v>46206</v>
      </c>
      <c r="F578" t="s">
        <v>1741</v>
      </c>
      <c r="G578">
        <f>_xlfn.XLOOKUP(A578,FTD!A:A,FTD!C:C)</f>
        <v>1000</v>
      </c>
      <c r="H578" cm="1">
        <f t="array" ref="H578">_xlfn.LET(
  _xlpm.s, TRIM(F578),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8" t="str">
        <f>_xlfn.XLOOKUP(E578,Calendar!C:C,Calendar!B:B)</f>
        <v>Working Day</v>
      </c>
      <c r="M578" s="2">
        <v>46230</v>
      </c>
      <c r="N578" t="s">
        <v>1399</v>
      </c>
      <c r="O578" t="s">
        <v>1789</v>
      </c>
      <c r="P578">
        <v>5</v>
      </c>
      <c r="Q578" t="str">
        <f>_xlfn.XLOOKUP(N578,Attendance!F:F,Attendance!J:J)</f>
        <v>1</v>
      </c>
      <c r="R578">
        <f t="shared" si="17"/>
        <v>0</v>
      </c>
    </row>
    <row r="579" spans="1:18" x14ac:dyDescent="0.25">
      <c r="A579" t="s">
        <v>579</v>
      </c>
      <c r="B579" t="s">
        <v>1384</v>
      </c>
      <c r="C579" t="s">
        <v>1424</v>
      </c>
      <c r="D579" s="2">
        <v>46206.505266203705</v>
      </c>
      <c r="E579" s="2">
        <f t="shared" ref="E579:E642" si="18">INT(D579)</f>
        <v>46206</v>
      </c>
      <c r="F579" t="s">
        <v>1738</v>
      </c>
      <c r="G579">
        <f>_xlfn.XLOOKUP(A579,FTD!A:A,FTD!C:C)</f>
        <v>451</v>
      </c>
      <c r="H579" cm="1">
        <f t="array" ref="H579">_xlfn.LET(
  _xlpm.s, TRIM(F579),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79" t="str">
        <f>_xlfn.XLOOKUP(E579,Calendar!C:C,Calendar!B:B)</f>
        <v>Working Day</v>
      </c>
      <c r="M579" s="2">
        <v>46230</v>
      </c>
      <c r="N579" t="s">
        <v>1418</v>
      </c>
      <c r="O579" t="s">
        <v>1789</v>
      </c>
      <c r="P579">
        <v>3</v>
      </c>
      <c r="Q579" t="str">
        <f>_xlfn.XLOOKUP(N579,Attendance!F:F,Attendance!J:J)</f>
        <v>OJT 1</v>
      </c>
      <c r="R579">
        <f t="shared" si="17"/>
        <v>500</v>
      </c>
    </row>
    <row r="580" spans="1:18" x14ac:dyDescent="0.25">
      <c r="A580" t="s">
        <v>580</v>
      </c>
      <c r="B580" t="s">
        <v>1384</v>
      </c>
      <c r="C580" t="s">
        <v>1414</v>
      </c>
      <c r="D580" s="2">
        <v>46204.431747685187</v>
      </c>
      <c r="E580" s="2">
        <f t="shared" si="18"/>
        <v>46204</v>
      </c>
      <c r="F580" t="s">
        <v>1706</v>
      </c>
      <c r="G580">
        <f>_xlfn.XLOOKUP(A580,FTD!A:A,FTD!C:C)</f>
        <v>10000</v>
      </c>
      <c r="H580" cm="1">
        <f t="array" ref="H580">_xlfn.LET(
  _xlpm.s, TRIM(F580),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80" t="str">
        <f>_xlfn.XLOOKUP(E580,Calendar!C:C,Calendar!B:B)</f>
        <v>Working Day</v>
      </c>
      <c r="M580" s="2">
        <v>46230</v>
      </c>
      <c r="N580" t="s">
        <v>1408</v>
      </c>
      <c r="O580" t="s">
        <v>1789</v>
      </c>
      <c r="P580">
        <v>5</v>
      </c>
      <c r="Q580" t="str">
        <f>_xlfn.XLOOKUP(N580,Attendance!F:F,Attendance!J:J)</f>
        <v>1</v>
      </c>
      <c r="R580">
        <f t="shared" ref="R580:R643" si="19">_xlfn.LET(
  _xlpm.pool, IFERROR(Q580&amp;"", ""),
  _xlpm.conv, IFERROR(--P580, 0),
  _xlpm.mkt,  O581="Working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581" spans="1:18" x14ac:dyDescent="0.25">
      <c r="A581" t="s">
        <v>581</v>
      </c>
      <c r="B581" t="s">
        <v>1384</v>
      </c>
      <c r="C581" t="s">
        <v>1396</v>
      </c>
      <c r="D581" s="2">
        <v>46219.640879629631</v>
      </c>
      <c r="E581" s="2">
        <f t="shared" si="18"/>
        <v>46219</v>
      </c>
      <c r="F581" t="s">
        <v>1740</v>
      </c>
      <c r="G581">
        <f>_xlfn.XLOOKUP(A581,FTD!A:A,FTD!C:C)</f>
        <v>233</v>
      </c>
      <c r="H581" cm="1">
        <f t="array" ref="H581">_xlfn.LET(
  _xlpm.s, TRIM(F581),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81" t="str">
        <f>_xlfn.XLOOKUP(E581,Calendar!C:C,Calendar!B:B)</f>
        <v>Working Day</v>
      </c>
      <c r="M581" s="2">
        <v>46231</v>
      </c>
      <c r="N581" t="s">
        <v>1405</v>
      </c>
      <c r="O581" t="s">
        <v>1789</v>
      </c>
      <c r="P581">
        <v>2</v>
      </c>
      <c r="Q581" t="str">
        <f>_xlfn.XLOOKUP(N581,Attendance!F:F,Attendance!J:J)</f>
        <v>Dialer</v>
      </c>
      <c r="R581">
        <f t="shared" si="19"/>
        <v>0</v>
      </c>
    </row>
    <row r="582" spans="1:18" x14ac:dyDescent="0.25">
      <c r="A582" t="s">
        <v>582</v>
      </c>
      <c r="B582" t="s">
        <v>1384</v>
      </c>
      <c r="C582" t="s">
        <v>1390</v>
      </c>
      <c r="D582" s="2">
        <v>46227.73778935185</v>
      </c>
      <c r="E582" s="2">
        <f t="shared" si="18"/>
        <v>46227</v>
      </c>
      <c r="F582" t="s">
        <v>1764</v>
      </c>
      <c r="G582">
        <f>_xlfn.XLOOKUP(A582,FTD!A:A,FTD!C:C)</f>
        <v>2000</v>
      </c>
      <c r="H582" cm="1">
        <f t="array" ref="H582">_xlfn.LET(
  _xlpm.s, TRIM(F582),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82" t="str">
        <f>_xlfn.XLOOKUP(E582,Calendar!C:C,Calendar!B:B)</f>
        <v>Working Day</v>
      </c>
      <c r="M582" s="2">
        <v>46231</v>
      </c>
      <c r="N582" t="s">
        <v>1403</v>
      </c>
      <c r="O582" t="s">
        <v>1789</v>
      </c>
      <c r="P582">
        <v>1</v>
      </c>
      <c r="Q582" t="str">
        <f>_xlfn.XLOOKUP(N582,Attendance!F:F,Attendance!J:J)</f>
        <v>Meta</v>
      </c>
      <c r="R582">
        <f t="shared" si="19"/>
        <v>0</v>
      </c>
    </row>
    <row r="583" spans="1:18" x14ac:dyDescent="0.25">
      <c r="A583" t="s">
        <v>583</v>
      </c>
      <c r="B583" t="s">
        <v>1387</v>
      </c>
      <c r="C583" t="s">
        <v>1398</v>
      </c>
      <c r="D583" s="2">
        <v>46217.788888888885</v>
      </c>
      <c r="E583" s="2">
        <f t="shared" si="18"/>
        <v>46217</v>
      </c>
      <c r="F583" t="s">
        <v>1738</v>
      </c>
      <c r="G583">
        <f>_xlfn.XLOOKUP(A583,FTD!A:A,FTD!C:C)</f>
        <v>1000</v>
      </c>
      <c r="H583" cm="1">
        <f t="array" ref="H583">_xlfn.LET(
  _xlpm.s, TRIM(F583),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83" t="str">
        <f>_xlfn.XLOOKUP(E583,Calendar!C:C,Calendar!B:B)</f>
        <v>Working Day</v>
      </c>
      <c r="M583" s="2">
        <v>46231</v>
      </c>
      <c r="N583" t="s">
        <v>1436</v>
      </c>
      <c r="O583" t="s">
        <v>1789</v>
      </c>
      <c r="P583">
        <v>1</v>
      </c>
      <c r="Q583" t="str">
        <f>_xlfn.XLOOKUP(N583,Attendance!F:F,Attendance!J:J)</f>
        <v>Telegram</v>
      </c>
      <c r="R583">
        <f t="shared" si="19"/>
        <v>0</v>
      </c>
    </row>
    <row r="584" spans="1:18" x14ac:dyDescent="0.25">
      <c r="A584" t="s">
        <v>584</v>
      </c>
      <c r="B584" t="s">
        <v>1387</v>
      </c>
      <c r="C584" t="s">
        <v>1400</v>
      </c>
      <c r="D584" s="2">
        <v>46206.408043981479</v>
      </c>
      <c r="E584" s="2">
        <f t="shared" si="18"/>
        <v>46206</v>
      </c>
      <c r="F584" t="s">
        <v>1739</v>
      </c>
      <c r="G584">
        <f>_xlfn.XLOOKUP(A584,FTD!A:A,FTD!C:C)</f>
        <v>1000</v>
      </c>
      <c r="H584" cm="1">
        <f t="array" ref="H584">_xlfn.LET(
  _xlpm.s, TRIM(F584),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84" t="str">
        <f>_xlfn.XLOOKUP(E584,Calendar!C:C,Calendar!B:B)</f>
        <v>Working Day</v>
      </c>
      <c r="M584" s="2">
        <v>46231</v>
      </c>
      <c r="N584" t="s">
        <v>1432</v>
      </c>
      <c r="O584" t="s">
        <v>1789</v>
      </c>
      <c r="P584">
        <v>1</v>
      </c>
      <c r="Q584" t="str">
        <f>_xlfn.XLOOKUP(N584,Attendance!F:F,Attendance!J:J)</f>
        <v>New OJT</v>
      </c>
      <c r="R584">
        <f t="shared" si="19"/>
        <v>0</v>
      </c>
    </row>
    <row r="585" spans="1:18" x14ac:dyDescent="0.25">
      <c r="A585" t="s">
        <v>585</v>
      </c>
      <c r="B585" t="s">
        <v>1387</v>
      </c>
      <c r="C585" t="s">
        <v>1434</v>
      </c>
      <c r="D585" s="2">
        <v>46219.421909722223</v>
      </c>
      <c r="E585" s="2">
        <f t="shared" si="18"/>
        <v>46219</v>
      </c>
      <c r="F585" t="s">
        <v>1761</v>
      </c>
      <c r="G585">
        <f>_xlfn.XLOOKUP(A585,FTD!A:A,FTD!C:C)</f>
        <v>1000</v>
      </c>
      <c r="H585" cm="1">
        <f t="array" ref="H585">_xlfn.LET(
  _xlpm.s, TRIM(F585),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85" t="str">
        <f>_xlfn.XLOOKUP(E585,Calendar!C:C,Calendar!B:B)</f>
        <v>Working Day</v>
      </c>
      <c r="M585" s="2">
        <v>46231</v>
      </c>
      <c r="N585" t="s">
        <v>1388</v>
      </c>
      <c r="O585" t="s">
        <v>1789</v>
      </c>
      <c r="P585">
        <v>1</v>
      </c>
      <c r="Q585" t="str">
        <f>_xlfn.XLOOKUP(N585,Attendance!F:F,Attendance!J:J)</f>
        <v>Telegram</v>
      </c>
      <c r="R585">
        <f t="shared" si="19"/>
        <v>0</v>
      </c>
    </row>
    <row r="586" spans="1:18" x14ac:dyDescent="0.25">
      <c r="A586" t="s">
        <v>586</v>
      </c>
      <c r="B586" t="s">
        <v>1387</v>
      </c>
      <c r="C586" t="s">
        <v>1399</v>
      </c>
      <c r="D586" s="2">
        <v>46233.609375</v>
      </c>
      <c r="E586" s="2">
        <f t="shared" si="18"/>
        <v>46233</v>
      </c>
      <c r="F586" t="s">
        <v>1738</v>
      </c>
      <c r="G586">
        <f>_xlfn.XLOOKUP(A586,FTD!A:A,FTD!C:C)</f>
        <v>2000</v>
      </c>
      <c r="H586" cm="1">
        <f t="array" ref="H586">_xlfn.LET(
  _xlpm.s, TRIM(F586),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86" t="str">
        <f>_xlfn.XLOOKUP(E586,Calendar!C:C,Calendar!B:B)</f>
        <v>Working Day</v>
      </c>
      <c r="M586" s="2">
        <v>46231</v>
      </c>
      <c r="N586" t="s">
        <v>1415</v>
      </c>
      <c r="O586" t="s">
        <v>1789</v>
      </c>
      <c r="P586">
        <v>1</v>
      </c>
      <c r="Q586" t="str">
        <f>_xlfn.XLOOKUP(N586,Attendance!F:F,Attendance!J:J)</f>
        <v>Meta</v>
      </c>
      <c r="R586">
        <f t="shared" si="19"/>
        <v>0</v>
      </c>
    </row>
    <row r="587" spans="1:18" x14ac:dyDescent="0.25">
      <c r="A587" t="s">
        <v>587</v>
      </c>
      <c r="B587" t="s">
        <v>1387</v>
      </c>
      <c r="C587" t="s">
        <v>1414</v>
      </c>
      <c r="D587" s="2">
        <v>46207.753055555557</v>
      </c>
      <c r="E587" s="2">
        <f t="shared" si="18"/>
        <v>46207</v>
      </c>
      <c r="F587" t="s">
        <v>1738</v>
      </c>
      <c r="G587">
        <f>_xlfn.XLOOKUP(A587,FTD!A:A,FTD!C:C)</f>
        <v>1000</v>
      </c>
      <c r="H587" cm="1">
        <f t="array" ref="H587">_xlfn.LET(
  _xlpm.s, TRIM(F587),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87" t="str">
        <f>_xlfn.XLOOKUP(E587,Calendar!C:C,Calendar!B:B)</f>
        <v>Saturday</v>
      </c>
      <c r="M587" s="2">
        <v>46231</v>
      </c>
      <c r="N587" t="s">
        <v>1433</v>
      </c>
      <c r="O587" t="s">
        <v>1789</v>
      </c>
      <c r="P587">
        <v>2</v>
      </c>
      <c r="Q587" t="str">
        <f>_xlfn.XLOOKUP(N587,Attendance!F:F,Attendance!J:J)</f>
        <v>Meta</v>
      </c>
      <c r="R587">
        <f t="shared" si="19"/>
        <v>0</v>
      </c>
    </row>
    <row r="588" spans="1:18" x14ac:dyDescent="0.25">
      <c r="A588" t="s">
        <v>588</v>
      </c>
      <c r="B588" t="s">
        <v>1387</v>
      </c>
      <c r="C588" t="s">
        <v>1399</v>
      </c>
      <c r="D588" s="2">
        <v>46234.822326388887</v>
      </c>
      <c r="E588" s="2">
        <f t="shared" si="18"/>
        <v>46234</v>
      </c>
      <c r="F588" t="s">
        <v>1738</v>
      </c>
      <c r="G588">
        <f>_xlfn.XLOOKUP(A588,FTD!A:A,FTD!C:C)</f>
        <v>2000</v>
      </c>
      <c r="H588" cm="1">
        <f t="array" ref="H588">_xlfn.LET(
  _xlpm.s, TRIM(F588),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88" t="str">
        <f>_xlfn.XLOOKUP(E588,Calendar!C:C,Calendar!B:B)</f>
        <v>Working Day</v>
      </c>
      <c r="M588" s="2">
        <v>46231</v>
      </c>
      <c r="N588" t="s">
        <v>1413</v>
      </c>
      <c r="O588" t="s">
        <v>1789</v>
      </c>
      <c r="P588">
        <v>1</v>
      </c>
      <c r="Q588" t="str">
        <f>_xlfn.XLOOKUP(N588,Attendance!F:F,Attendance!J:J)</f>
        <v>Dialer</v>
      </c>
      <c r="R588">
        <f t="shared" si="19"/>
        <v>0</v>
      </c>
    </row>
    <row r="589" spans="1:18" x14ac:dyDescent="0.25">
      <c r="A589" t="s">
        <v>589</v>
      </c>
      <c r="B589" t="s">
        <v>1384</v>
      </c>
      <c r="C589" t="s">
        <v>1405</v>
      </c>
      <c r="D589" s="2">
        <v>46212.782997685186</v>
      </c>
      <c r="E589" s="2">
        <f t="shared" si="18"/>
        <v>46212</v>
      </c>
      <c r="F589" t="s">
        <v>1765</v>
      </c>
      <c r="G589">
        <f>_xlfn.XLOOKUP(A589,FTD!A:A,FTD!C:C)</f>
        <v>447</v>
      </c>
      <c r="H589" cm="1">
        <f t="array" ref="H589">_xlfn.LET(
  _xlpm.s, TRIM(F589),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89" t="str">
        <f>_xlfn.XLOOKUP(E589,Calendar!C:C,Calendar!B:B)</f>
        <v>Working Day</v>
      </c>
      <c r="M589" s="2">
        <v>46231</v>
      </c>
      <c r="N589" t="s">
        <v>1389</v>
      </c>
      <c r="O589" t="s">
        <v>1789</v>
      </c>
      <c r="P589">
        <v>4</v>
      </c>
      <c r="Q589" t="str">
        <f>_xlfn.XLOOKUP(N589,Attendance!F:F,Attendance!J:J)</f>
        <v>Meta</v>
      </c>
      <c r="R589">
        <f t="shared" si="19"/>
        <v>400</v>
      </c>
    </row>
    <row r="590" spans="1:18" x14ac:dyDescent="0.25">
      <c r="A590" t="s">
        <v>590</v>
      </c>
      <c r="B590" t="s">
        <v>1384</v>
      </c>
      <c r="C590" t="s">
        <v>1400</v>
      </c>
      <c r="D590" s="2">
        <v>46230.496087962958</v>
      </c>
      <c r="E590" s="2">
        <f t="shared" si="18"/>
        <v>46230</v>
      </c>
      <c r="F590" t="s">
        <v>1738</v>
      </c>
      <c r="G590">
        <f>_xlfn.XLOOKUP(A590,FTD!A:A,FTD!C:C)</f>
        <v>2000</v>
      </c>
      <c r="H590" cm="1">
        <f t="array" ref="H590">_xlfn.LET(
  _xlpm.s, TRIM(F590),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0" t="str">
        <f>_xlfn.XLOOKUP(E590,Calendar!C:C,Calendar!B:B)</f>
        <v>Working Day</v>
      </c>
      <c r="M590" s="2">
        <v>46231</v>
      </c>
      <c r="N590" t="s">
        <v>1414</v>
      </c>
      <c r="O590" t="s">
        <v>1789</v>
      </c>
      <c r="P590">
        <v>1</v>
      </c>
      <c r="Q590" t="str">
        <f>_xlfn.XLOOKUP(N590,Attendance!F:F,Attendance!J:J)</f>
        <v>New OJT</v>
      </c>
      <c r="R590">
        <f t="shared" si="19"/>
        <v>0</v>
      </c>
    </row>
    <row r="591" spans="1:18" x14ac:dyDescent="0.25">
      <c r="A591" t="s">
        <v>591</v>
      </c>
      <c r="B591" t="s">
        <v>1387</v>
      </c>
      <c r="C591" t="s">
        <v>1398</v>
      </c>
      <c r="D591" s="2">
        <v>46207.536562499998</v>
      </c>
      <c r="E591" s="2">
        <f t="shared" si="18"/>
        <v>46207</v>
      </c>
      <c r="F591" t="s">
        <v>1738</v>
      </c>
      <c r="G591">
        <f>_xlfn.XLOOKUP(A591,FTD!A:A,FTD!C:C)</f>
        <v>1001</v>
      </c>
      <c r="H591" cm="1">
        <f t="array" ref="H591">_xlfn.LET(
  _xlpm.s, TRIM(F591),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1" t="str">
        <f>_xlfn.XLOOKUP(E591,Calendar!C:C,Calendar!B:B)</f>
        <v>Saturday</v>
      </c>
      <c r="M591" s="2">
        <v>46231</v>
      </c>
      <c r="N591" t="s">
        <v>1417</v>
      </c>
      <c r="O591" t="s">
        <v>1789</v>
      </c>
      <c r="P591">
        <v>3</v>
      </c>
      <c r="Q591" t="str">
        <f>_xlfn.XLOOKUP(N591,Attendance!F:F,Attendance!J:J)</f>
        <v>Meta</v>
      </c>
      <c r="R591">
        <f t="shared" si="19"/>
        <v>0</v>
      </c>
    </row>
    <row r="592" spans="1:18" x14ac:dyDescent="0.25">
      <c r="A592" t="s">
        <v>592</v>
      </c>
      <c r="B592" t="s">
        <v>1387</v>
      </c>
      <c r="C592" t="s">
        <v>1403</v>
      </c>
      <c r="D592" s="2">
        <v>46206.788576388884</v>
      </c>
      <c r="E592" s="2">
        <f t="shared" si="18"/>
        <v>46206</v>
      </c>
      <c r="F592" t="s">
        <v>1744</v>
      </c>
      <c r="G592">
        <f>_xlfn.XLOOKUP(A592,FTD!A:A,FTD!C:C)</f>
        <v>1000</v>
      </c>
      <c r="H592" cm="1">
        <f t="array" ref="H592">_xlfn.LET(
  _xlpm.s, TRIM(F592),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2" t="str">
        <f>_xlfn.XLOOKUP(E592,Calendar!C:C,Calendar!B:B)</f>
        <v>Working Day</v>
      </c>
      <c r="M592" s="2">
        <v>46231</v>
      </c>
      <c r="N592" t="s">
        <v>1400</v>
      </c>
      <c r="O592" t="s">
        <v>1789</v>
      </c>
      <c r="P592">
        <v>2</v>
      </c>
      <c r="Q592" t="str">
        <f>_xlfn.XLOOKUP(N592,Attendance!F:F,Attendance!J:J)</f>
        <v>Meta</v>
      </c>
      <c r="R592">
        <f t="shared" si="19"/>
        <v>0</v>
      </c>
    </row>
    <row r="593" spans="1:18" x14ac:dyDescent="0.25">
      <c r="A593" t="s">
        <v>593</v>
      </c>
      <c r="B593" t="s">
        <v>1387</v>
      </c>
      <c r="C593" t="s">
        <v>1398</v>
      </c>
      <c r="D593" s="2">
        <v>46204.50645833333</v>
      </c>
      <c r="E593" s="2">
        <f t="shared" si="18"/>
        <v>46204</v>
      </c>
      <c r="F593" t="s">
        <v>1738</v>
      </c>
      <c r="G593">
        <f>_xlfn.XLOOKUP(A593,FTD!A:A,FTD!C:C)</f>
        <v>1000</v>
      </c>
      <c r="H593" cm="1">
        <f t="array" ref="H593">_xlfn.LET(
  _xlpm.s, TRIM(F593),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3" t="str">
        <f>_xlfn.XLOOKUP(E593,Calendar!C:C,Calendar!B:B)</f>
        <v>Working Day</v>
      </c>
      <c r="M593" s="2">
        <v>46231</v>
      </c>
      <c r="N593" t="s">
        <v>1397</v>
      </c>
      <c r="O593" t="s">
        <v>1789</v>
      </c>
      <c r="P593">
        <v>4</v>
      </c>
      <c r="Q593" t="str">
        <f>_xlfn.XLOOKUP(N593,Attendance!F:F,Attendance!J:J)</f>
        <v>Meta</v>
      </c>
      <c r="R593">
        <f t="shared" si="19"/>
        <v>400</v>
      </c>
    </row>
    <row r="594" spans="1:18" x14ac:dyDescent="0.25">
      <c r="A594" t="s">
        <v>594</v>
      </c>
      <c r="B594" t="s">
        <v>1387</v>
      </c>
      <c r="C594" t="s">
        <v>1393</v>
      </c>
      <c r="D594" s="2">
        <v>46223.160520833335</v>
      </c>
      <c r="E594" s="2">
        <f t="shared" si="18"/>
        <v>46223</v>
      </c>
      <c r="F594" t="s">
        <v>1740</v>
      </c>
      <c r="G594">
        <f>_xlfn.XLOOKUP(A594,FTD!A:A,FTD!C:C)</f>
        <v>1000</v>
      </c>
      <c r="H594" cm="1">
        <f t="array" ref="H594">_xlfn.LET(
  _xlpm.s, TRIM(F594),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594" t="str">
        <f>_xlfn.XLOOKUP(E594,Calendar!C:C,Calendar!B:B)</f>
        <v>Working Day</v>
      </c>
      <c r="M594" s="2">
        <v>46231</v>
      </c>
      <c r="N594" t="s">
        <v>1401</v>
      </c>
      <c r="O594" t="s">
        <v>1789</v>
      </c>
      <c r="P594">
        <v>1</v>
      </c>
      <c r="Q594" t="str">
        <f>_xlfn.XLOOKUP(N594,Attendance!F:F,Attendance!J:J)</f>
        <v>OJT 2</v>
      </c>
      <c r="R594">
        <f t="shared" si="19"/>
        <v>0</v>
      </c>
    </row>
    <row r="595" spans="1:18" x14ac:dyDescent="0.25">
      <c r="A595" t="s">
        <v>595</v>
      </c>
      <c r="B595" t="s">
        <v>1387</v>
      </c>
      <c r="C595" t="s">
        <v>1412</v>
      </c>
      <c r="D595" s="2">
        <v>46225.390555555554</v>
      </c>
      <c r="E595" s="2">
        <f t="shared" si="18"/>
        <v>46225</v>
      </c>
      <c r="F595" t="s">
        <v>1738</v>
      </c>
      <c r="G595">
        <f>_xlfn.XLOOKUP(A595,FTD!A:A,FTD!C:C)</f>
        <v>10000</v>
      </c>
      <c r="H595" cm="1">
        <f t="array" ref="H595">_xlfn.LET(
  _xlpm.s, TRIM(F595),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5" t="str">
        <f>_xlfn.XLOOKUP(E595,Calendar!C:C,Calendar!B:B)</f>
        <v>Working Day</v>
      </c>
      <c r="M595" s="2">
        <v>46231</v>
      </c>
      <c r="N595" t="s">
        <v>1395</v>
      </c>
      <c r="O595" t="s">
        <v>1789</v>
      </c>
      <c r="P595">
        <v>1</v>
      </c>
      <c r="Q595" t="str">
        <f>_xlfn.XLOOKUP(N595,Attendance!F:F,Attendance!J:J)</f>
        <v>OJT 1</v>
      </c>
      <c r="R595">
        <f t="shared" si="19"/>
        <v>0</v>
      </c>
    </row>
    <row r="596" spans="1:18" x14ac:dyDescent="0.25">
      <c r="A596" t="s">
        <v>596</v>
      </c>
      <c r="B596" t="s">
        <v>1387</v>
      </c>
      <c r="C596" t="s">
        <v>1408</v>
      </c>
      <c r="D596" s="2">
        <v>46206.593958333331</v>
      </c>
      <c r="E596" s="2">
        <f t="shared" si="18"/>
        <v>46206</v>
      </c>
      <c r="F596" t="s">
        <v>1738</v>
      </c>
      <c r="G596">
        <f>_xlfn.XLOOKUP(A596,FTD!A:A,FTD!C:C)</f>
        <v>1000</v>
      </c>
      <c r="H596" cm="1">
        <f t="array" ref="H596">_xlfn.LET(
  _xlpm.s, TRIM(F596),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6" t="str">
        <f>_xlfn.XLOOKUP(E596,Calendar!C:C,Calendar!B:B)</f>
        <v>Working Day</v>
      </c>
      <c r="M596" s="2">
        <v>46231</v>
      </c>
      <c r="N596" t="s">
        <v>1407</v>
      </c>
      <c r="O596" t="s">
        <v>1789</v>
      </c>
      <c r="P596">
        <v>3</v>
      </c>
      <c r="Q596" t="str">
        <f>_xlfn.XLOOKUP(N596,Attendance!F:F,Attendance!J:J)</f>
        <v>Meta</v>
      </c>
      <c r="R596">
        <f t="shared" si="19"/>
        <v>0</v>
      </c>
    </row>
    <row r="597" spans="1:18" x14ac:dyDescent="0.25">
      <c r="A597" t="s">
        <v>597</v>
      </c>
      <c r="B597" t="s">
        <v>1387</v>
      </c>
      <c r="C597" t="s">
        <v>1420</v>
      </c>
      <c r="D597" s="2">
        <v>46204.59674768518</v>
      </c>
      <c r="E597" s="2">
        <f t="shared" si="18"/>
        <v>46204</v>
      </c>
      <c r="F597" t="s">
        <v>1743</v>
      </c>
      <c r="G597">
        <f>_xlfn.XLOOKUP(A597,FTD!A:A,FTD!C:C)</f>
        <v>1000</v>
      </c>
      <c r="H597" cm="1">
        <f t="array" ref="H597">_xlfn.LET(
  _xlpm.s, TRIM(F597),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7" t="str">
        <f>_xlfn.XLOOKUP(E597,Calendar!C:C,Calendar!B:B)</f>
        <v>Working Day</v>
      </c>
      <c r="M597" s="2">
        <v>46231</v>
      </c>
      <c r="N597" t="s">
        <v>1411</v>
      </c>
      <c r="O597" t="s">
        <v>1789</v>
      </c>
      <c r="P597">
        <v>1</v>
      </c>
      <c r="Q597" t="str">
        <f>_xlfn.XLOOKUP(N597,Attendance!F:F,Attendance!J:J)</f>
        <v>OJT4</v>
      </c>
      <c r="R597">
        <f t="shared" si="19"/>
        <v>0</v>
      </c>
    </row>
    <row r="598" spans="1:18" x14ac:dyDescent="0.25">
      <c r="A598" t="s">
        <v>598</v>
      </c>
      <c r="B598" t="s">
        <v>1385</v>
      </c>
      <c r="C598" t="s">
        <v>1389</v>
      </c>
      <c r="D598" s="2">
        <v>46232.9921412037</v>
      </c>
      <c r="E598" s="2">
        <f t="shared" si="18"/>
        <v>46232</v>
      </c>
      <c r="F598" t="s">
        <v>1706</v>
      </c>
      <c r="G598">
        <f>_xlfn.XLOOKUP(A598,FTD!A:A,FTD!C:C)</f>
        <v>1000</v>
      </c>
      <c r="H598" cm="1">
        <f t="array" ref="H598">_xlfn.LET(
  _xlpm.s, TRIM(F598),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598" t="str">
        <f>_xlfn.XLOOKUP(E598,Calendar!C:C,Calendar!B:B)</f>
        <v>Working Day</v>
      </c>
      <c r="M598" s="2">
        <v>46231</v>
      </c>
      <c r="N598" t="s">
        <v>1396</v>
      </c>
      <c r="O598" t="s">
        <v>1789</v>
      </c>
      <c r="P598">
        <v>3</v>
      </c>
      <c r="Q598" t="str">
        <f>_xlfn.XLOOKUP(N598,Attendance!F:F,Attendance!J:J)</f>
        <v>Telegram</v>
      </c>
      <c r="R598">
        <f t="shared" si="19"/>
        <v>500</v>
      </c>
    </row>
    <row r="599" spans="1:18" x14ac:dyDescent="0.25">
      <c r="A599" t="s">
        <v>599</v>
      </c>
      <c r="B599" t="s">
        <v>1387</v>
      </c>
      <c r="C599" t="s">
        <v>1409</v>
      </c>
      <c r="D599" s="2">
        <v>46226.610532407409</v>
      </c>
      <c r="E599" s="2">
        <f t="shared" si="18"/>
        <v>46226</v>
      </c>
      <c r="F599" t="s">
        <v>1738</v>
      </c>
      <c r="G599">
        <f>_xlfn.XLOOKUP(A599,FTD!A:A,FTD!C:C)</f>
        <v>1000</v>
      </c>
      <c r="H599" cm="1">
        <f t="array" ref="H599">_xlfn.LET(
  _xlpm.s, TRIM(F599),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599" t="str">
        <f>_xlfn.XLOOKUP(E599,Calendar!C:C,Calendar!B:B)</f>
        <v>Working Day</v>
      </c>
      <c r="M599" s="2">
        <v>46231</v>
      </c>
      <c r="N599" t="s">
        <v>1423</v>
      </c>
      <c r="O599" t="s">
        <v>1789</v>
      </c>
      <c r="P599">
        <v>1</v>
      </c>
      <c r="Q599" t="e">
        <f>_xlfn.XLOOKUP(N599,Attendance!F:F,Attendance!J:J)</f>
        <v>#N/A</v>
      </c>
      <c r="R599">
        <f t="shared" si="19"/>
        <v>0</v>
      </c>
    </row>
    <row r="600" spans="1:18" x14ac:dyDescent="0.25">
      <c r="A600" t="s">
        <v>600</v>
      </c>
      <c r="B600" t="s">
        <v>1387</v>
      </c>
      <c r="C600" t="s">
        <v>1392</v>
      </c>
      <c r="D600" s="2">
        <v>46205.574421296296</v>
      </c>
      <c r="E600" s="2">
        <f t="shared" si="18"/>
        <v>46205</v>
      </c>
      <c r="F600" t="s">
        <v>1743</v>
      </c>
      <c r="G600">
        <f>_xlfn.XLOOKUP(A600,FTD!A:A,FTD!C:C)</f>
        <v>1000</v>
      </c>
      <c r="H600" cm="1">
        <f t="array" ref="H600">_xlfn.LET(
  _xlpm.s, TRIM(F600),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00" t="str">
        <f>_xlfn.XLOOKUP(E600,Calendar!C:C,Calendar!B:B)</f>
        <v>Working Day</v>
      </c>
      <c r="M600" s="2">
        <v>46231</v>
      </c>
      <c r="N600" t="s">
        <v>1412</v>
      </c>
      <c r="O600" t="s">
        <v>1789</v>
      </c>
      <c r="P600">
        <v>1</v>
      </c>
      <c r="Q600" t="str">
        <f>_xlfn.XLOOKUP(N600,Attendance!F:F,Attendance!J:J)</f>
        <v>1</v>
      </c>
      <c r="R600">
        <f t="shared" si="19"/>
        <v>0</v>
      </c>
    </row>
    <row r="601" spans="1:18" x14ac:dyDescent="0.25">
      <c r="A601" t="s">
        <v>601</v>
      </c>
      <c r="B601" t="s">
        <v>1387</v>
      </c>
      <c r="C601" t="s">
        <v>1399</v>
      </c>
      <c r="D601" s="2">
        <v>46220.461296296293</v>
      </c>
      <c r="E601" s="2">
        <f t="shared" si="18"/>
        <v>46220</v>
      </c>
      <c r="F601" t="s">
        <v>1738</v>
      </c>
      <c r="G601">
        <f>_xlfn.XLOOKUP(A601,FTD!A:A,FTD!C:C)</f>
        <v>5000</v>
      </c>
      <c r="H601" cm="1">
        <f t="array" ref="H601">_xlfn.LET(
  _xlpm.s, TRIM(F601),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01" t="str">
        <f>_xlfn.XLOOKUP(E601,Calendar!C:C,Calendar!B:B)</f>
        <v>Working Day</v>
      </c>
      <c r="M601" s="2">
        <v>46231</v>
      </c>
      <c r="N601" t="s">
        <v>1404</v>
      </c>
      <c r="O601" t="s">
        <v>1789</v>
      </c>
      <c r="P601">
        <v>1</v>
      </c>
      <c r="Q601" t="str">
        <f>_xlfn.XLOOKUP(N601,Attendance!F:F,Attendance!J:J)</f>
        <v>OLD OJT</v>
      </c>
      <c r="R601">
        <f t="shared" si="19"/>
        <v>0</v>
      </c>
    </row>
    <row r="602" spans="1:18" x14ac:dyDescent="0.25">
      <c r="A602" t="s">
        <v>602</v>
      </c>
      <c r="B602" t="s">
        <v>1387</v>
      </c>
      <c r="C602" t="s">
        <v>1394</v>
      </c>
      <c r="D602" s="2">
        <v>46234.42863425926</v>
      </c>
      <c r="E602" s="2">
        <f t="shared" si="18"/>
        <v>46234</v>
      </c>
      <c r="F602" t="s">
        <v>1739</v>
      </c>
      <c r="G602">
        <f>_xlfn.XLOOKUP(A602,FTD!A:A,FTD!C:C)</f>
        <v>4000</v>
      </c>
      <c r="H602" cm="1">
        <f t="array" ref="H602">_xlfn.LET(
  _xlpm.s, TRIM(F602),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02" t="str">
        <f>_xlfn.XLOOKUP(E602,Calendar!C:C,Calendar!B:B)</f>
        <v>Working Day</v>
      </c>
      <c r="M602" s="2">
        <v>46231</v>
      </c>
      <c r="N602" t="s">
        <v>1406</v>
      </c>
      <c r="O602" t="s">
        <v>1789</v>
      </c>
      <c r="P602">
        <v>6</v>
      </c>
      <c r="Q602" t="str">
        <f>_xlfn.XLOOKUP(N602,Attendance!F:F,Attendance!J:J)</f>
        <v>1</v>
      </c>
      <c r="R602">
        <f t="shared" si="19"/>
        <v>0</v>
      </c>
    </row>
    <row r="603" spans="1:18" x14ac:dyDescent="0.25">
      <c r="A603" t="s">
        <v>603</v>
      </c>
      <c r="B603" t="s">
        <v>1387</v>
      </c>
      <c r="C603" t="s">
        <v>1433</v>
      </c>
      <c r="D603" s="2">
        <v>46209.669189814813</v>
      </c>
      <c r="E603" s="2">
        <f t="shared" si="18"/>
        <v>46209</v>
      </c>
      <c r="F603" t="s">
        <v>1739</v>
      </c>
      <c r="G603">
        <f>_xlfn.XLOOKUP(A603,FTD!A:A,FTD!C:C)</f>
        <v>2000</v>
      </c>
      <c r="H603" cm="1">
        <f t="array" ref="H603">_xlfn.LET(
  _xlpm.s, TRIM(F603),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03" t="str">
        <f>_xlfn.XLOOKUP(E603,Calendar!C:C,Calendar!B:B)</f>
        <v>Working Day</v>
      </c>
      <c r="M603" s="2">
        <v>46231</v>
      </c>
      <c r="N603" t="s">
        <v>1402</v>
      </c>
      <c r="O603" t="s">
        <v>1789</v>
      </c>
      <c r="P603">
        <v>4</v>
      </c>
      <c r="Q603" t="str">
        <f>_xlfn.XLOOKUP(N603,Attendance!F:F,Attendance!J:J)</f>
        <v>1</v>
      </c>
      <c r="R603">
        <f t="shared" si="19"/>
        <v>0</v>
      </c>
    </row>
    <row r="604" spans="1:18" x14ac:dyDescent="0.25">
      <c r="A604" t="s">
        <v>604</v>
      </c>
      <c r="B604" t="s">
        <v>1387</v>
      </c>
      <c r="C604" t="s">
        <v>1391</v>
      </c>
      <c r="D604" s="2">
        <v>46210.350347222222</v>
      </c>
      <c r="E604" s="2">
        <f t="shared" si="18"/>
        <v>46210</v>
      </c>
      <c r="F604" t="s">
        <v>1739</v>
      </c>
      <c r="G604">
        <f>_xlfn.XLOOKUP(A604,FTD!A:A,FTD!C:C)</f>
        <v>3000</v>
      </c>
      <c r="H604" cm="1">
        <f t="array" ref="H604">_xlfn.LET(
  _xlpm.s, TRIM(F604),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04" t="str">
        <f>_xlfn.XLOOKUP(E604,Calendar!C:C,Calendar!B:B)</f>
        <v>Working Day</v>
      </c>
      <c r="M604" s="2">
        <v>46231</v>
      </c>
      <c r="N604" t="s">
        <v>1425</v>
      </c>
      <c r="O604" t="s">
        <v>1789</v>
      </c>
      <c r="P604">
        <v>1</v>
      </c>
      <c r="Q604" t="str">
        <f>_xlfn.XLOOKUP(N604,Attendance!F:F,Attendance!J:J)</f>
        <v>OJT 1</v>
      </c>
      <c r="R604">
        <f t="shared" si="19"/>
        <v>0</v>
      </c>
    </row>
    <row r="605" spans="1:18" x14ac:dyDescent="0.25">
      <c r="A605" t="s">
        <v>605</v>
      </c>
      <c r="B605" t="s">
        <v>1387</v>
      </c>
      <c r="C605" t="s">
        <v>1396</v>
      </c>
      <c r="D605" s="2">
        <v>46225.394918981481</v>
      </c>
      <c r="E605" s="2">
        <f t="shared" si="18"/>
        <v>46225</v>
      </c>
      <c r="F605" t="s">
        <v>1739</v>
      </c>
      <c r="G605">
        <f>_xlfn.XLOOKUP(A605,FTD!A:A,FTD!C:C)</f>
        <v>10000</v>
      </c>
      <c r="H605" cm="1">
        <f t="array" ref="H605">_xlfn.LET(
  _xlpm.s, TRIM(F605),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05" t="str">
        <f>_xlfn.XLOOKUP(E605,Calendar!C:C,Calendar!B:B)</f>
        <v>Working Day</v>
      </c>
      <c r="M605" s="2">
        <v>46231</v>
      </c>
      <c r="N605" t="s">
        <v>1390</v>
      </c>
      <c r="O605" t="s">
        <v>1789</v>
      </c>
      <c r="P605">
        <v>2</v>
      </c>
      <c r="Q605" t="str">
        <f>_xlfn.XLOOKUP(N605,Attendance!F:F,Attendance!J:J)</f>
        <v>Meta</v>
      </c>
      <c r="R605">
        <f t="shared" si="19"/>
        <v>0</v>
      </c>
    </row>
    <row r="606" spans="1:18" x14ac:dyDescent="0.25">
      <c r="A606" t="s">
        <v>606</v>
      </c>
      <c r="B606" t="s">
        <v>1384</v>
      </c>
      <c r="C606" t="s">
        <v>1405</v>
      </c>
      <c r="D606" s="2">
        <v>46234.744131944441</v>
      </c>
      <c r="E606" s="2">
        <f t="shared" si="18"/>
        <v>46234</v>
      </c>
      <c r="F606" t="s">
        <v>1738</v>
      </c>
      <c r="G606">
        <f>_xlfn.XLOOKUP(A606,FTD!A:A,FTD!C:C)</f>
        <v>789</v>
      </c>
      <c r="H606" cm="1">
        <f t="array" ref="H606">_xlfn.LET(
  _xlpm.s, TRIM(F606),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06" t="str">
        <f>_xlfn.XLOOKUP(E606,Calendar!C:C,Calendar!B:B)</f>
        <v>Working Day</v>
      </c>
      <c r="M606" s="2">
        <v>46231</v>
      </c>
      <c r="N606" t="s">
        <v>1421</v>
      </c>
      <c r="O606" t="s">
        <v>1789</v>
      </c>
      <c r="P606">
        <v>1</v>
      </c>
      <c r="Q606" t="str">
        <f>_xlfn.XLOOKUP(N606,Attendance!F:F,Attendance!J:J)</f>
        <v>OJT 1</v>
      </c>
      <c r="R606">
        <f t="shared" si="19"/>
        <v>0</v>
      </c>
    </row>
    <row r="607" spans="1:18" x14ac:dyDescent="0.25">
      <c r="A607" t="s">
        <v>607</v>
      </c>
      <c r="B607" t="s">
        <v>1384</v>
      </c>
      <c r="C607" t="s">
        <v>1399</v>
      </c>
      <c r="D607" s="2">
        <v>46217.970972222218</v>
      </c>
      <c r="E607" s="2">
        <f t="shared" si="18"/>
        <v>46217</v>
      </c>
      <c r="F607" t="s">
        <v>1738</v>
      </c>
      <c r="G607">
        <f>_xlfn.XLOOKUP(A607,FTD!A:A,FTD!C:C)</f>
        <v>3003</v>
      </c>
      <c r="H607" cm="1">
        <f t="array" ref="H607">_xlfn.LET(
  _xlpm.s, TRIM(F607),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07" t="str">
        <f>_xlfn.XLOOKUP(E607,Calendar!C:C,Calendar!B:B)</f>
        <v>Working Day</v>
      </c>
      <c r="M607" s="2">
        <v>46231</v>
      </c>
      <c r="N607" t="s">
        <v>1394</v>
      </c>
      <c r="O607" t="s">
        <v>1789</v>
      </c>
      <c r="P607">
        <v>1</v>
      </c>
      <c r="Q607" t="str">
        <f>_xlfn.XLOOKUP(N607,Attendance!F:F,Attendance!J:J)</f>
        <v>OJT 1</v>
      </c>
      <c r="R607">
        <f t="shared" si="19"/>
        <v>0</v>
      </c>
    </row>
    <row r="608" spans="1:18" x14ac:dyDescent="0.25">
      <c r="A608" t="s">
        <v>608</v>
      </c>
      <c r="B608" t="s">
        <v>1384</v>
      </c>
      <c r="C608" t="s">
        <v>1415</v>
      </c>
      <c r="D608" s="2">
        <v>46209.588506944441</v>
      </c>
      <c r="E608" s="2">
        <f t="shared" si="18"/>
        <v>46209</v>
      </c>
      <c r="F608" t="s">
        <v>1739</v>
      </c>
      <c r="G608">
        <f>_xlfn.XLOOKUP(A608,FTD!A:A,FTD!C:C)</f>
        <v>1000</v>
      </c>
      <c r="H608" cm="1">
        <f t="array" ref="H608">_xlfn.LET(
  _xlpm.s, TRIM(F608),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08" t="str">
        <f>_xlfn.XLOOKUP(E608,Calendar!C:C,Calendar!B:B)</f>
        <v>Working Day</v>
      </c>
      <c r="M608" s="2">
        <v>46231</v>
      </c>
      <c r="N608" t="s">
        <v>1410</v>
      </c>
      <c r="O608" t="s">
        <v>1789</v>
      </c>
      <c r="P608">
        <v>1</v>
      </c>
      <c r="Q608" t="str">
        <f>_xlfn.XLOOKUP(N608,Attendance!F:F,Attendance!J:J)</f>
        <v>New OJT</v>
      </c>
      <c r="R608">
        <f t="shared" si="19"/>
        <v>0</v>
      </c>
    </row>
    <row r="609" spans="1:18" x14ac:dyDescent="0.25">
      <c r="A609" t="s">
        <v>609</v>
      </c>
      <c r="B609" t="s">
        <v>1387</v>
      </c>
      <c r="C609" t="s">
        <v>1400</v>
      </c>
      <c r="D609" s="2">
        <v>46212.799745370372</v>
      </c>
      <c r="E609" s="2">
        <f t="shared" si="18"/>
        <v>46212</v>
      </c>
      <c r="F609" t="s">
        <v>1739</v>
      </c>
      <c r="G609">
        <f>_xlfn.XLOOKUP(A609,FTD!A:A,FTD!C:C)</f>
        <v>1000</v>
      </c>
      <c r="H609" cm="1">
        <f t="array" ref="H609">_xlfn.LET(
  _xlpm.s, TRIM(F609),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09" t="str">
        <f>_xlfn.XLOOKUP(E609,Calendar!C:C,Calendar!B:B)</f>
        <v>Working Day</v>
      </c>
      <c r="M609" s="2">
        <v>46231</v>
      </c>
      <c r="N609" t="s">
        <v>1409</v>
      </c>
      <c r="O609" t="s">
        <v>1789</v>
      </c>
      <c r="P609">
        <v>2</v>
      </c>
      <c r="Q609" t="str">
        <f>_xlfn.XLOOKUP(N609,Attendance!F:F,Attendance!J:J)</f>
        <v>Dialer</v>
      </c>
      <c r="R609">
        <f t="shared" si="19"/>
        <v>0</v>
      </c>
    </row>
    <row r="610" spans="1:18" x14ac:dyDescent="0.25">
      <c r="A610" t="s">
        <v>610</v>
      </c>
      <c r="B610" t="s">
        <v>1387</v>
      </c>
      <c r="C610" t="s">
        <v>1406</v>
      </c>
      <c r="D610" s="2">
        <v>46231.51149305555</v>
      </c>
      <c r="E610" s="2">
        <f t="shared" si="18"/>
        <v>46231</v>
      </c>
      <c r="F610" t="s">
        <v>1739</v>
      </c>
      <c r="G610">
        <f>_xlfn.XLOOKUP(A610,FTD!A:A,FTD!C:C)</f>
        <v>1000</v>
      </c>
      <c r="H610" cm="1">
        <f t="array" ref="H610">_xlfn.LET(
  _xlpm.s, TRIM(F610),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10" t="str">
        <f>_xlfn.XLOOKUP(E610,Calendar!C:C,Calendar!B:B)</f>
        <v>Working Day</v>
      </c>
      <c r="M610" s="2">
        <v>46231</v>
      </c>
      <c r="N610" t="s">
        <v>1399</v>
      </c>
      <c r="O610" t="s">
        <v>1789</v>
      </c>
      <c r="P610">
        <v>4</v>
      </c>
      <c r="Q610" t="str">
        <f>_xlfn.XLOOKUP(N610,Attendance!F:F,Attendance!J:J)</f>
        <v>1</v>
      </c>
      <c r="R610">
        <f t="shared" si="19"/>
        <v>0</v>
      </c>
    </row>
    <row r="611" spans="1:18" x14ac:dyDescent="0.25">
      <c r="A611" t="s">
        <v>611</v>
      </c>
      <c r="B611" t="s">
        <v>1387</v>
      </c>
      <c r="C611" t="s">
        <v>1406</v>
      </c>
      <c r="D611" s="2">
        <v>46232.528680555552</v>
      </c>
      <c r="E611" s="2">
        <f t="shared" si="18"/>
        <v>46232</v>
      </c>
      <c r="F611" t="s">
        <v>1739</v>
      </c>
      <c r="G611">
        <f>_xlfn.XLOOKUP(A611,FTD!A:A,FTD!C:C)</f>
        <v>1000</v>
      </c>
      <c r="H611" cm="1">
        <f t="array" ref="H611">_xlfn.LET(
  _xlpm.s, TRIM(F611),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11" t="str">
        <f>_xlfn.XLOOKUP(E611,Calendar!C:C,Calendar!B:B)</f>
        <v>Working Day</v>
      </c>
      <c r="M611" s="2">
        <v>46231</v>
      </c>
      <c r="N611" t="s">
        <v>1418</v>
      </c>
      <c r="O611" t="s">
        <v>1789</v>
      </c>
      <c r="P611">
        <v>1</v>
      </c>
      <c r="Q611" t="str">
        <f>_xlfn.XLOOKUP(N611,Attendance!F:F,Attendance!J:J)</f>
        <v>OJT 1</v>
      </c>
      <c r="R611">
        <f t="shared" si="19"/>
        <v>0</v>
      </c>
    </row>
    <row r="612" spans="1:18" x14ac:dyDescent="0.25">
      <c r="A612" t="s">
        <v>612</v>
      </c>
      <c r="B612" t="s">
        <v>1387</v>
      </c>
      <c r="C612" t="s">
        <v>1395</v>
      </c>
      <c r="D612" s="2">
        <v>46227.49145833333</v>
      </c>
      <c r="E612" s="2">
        <f t="shared" si="18"/>
        <v>46227</v>
      </c>
      <c r="F612" t="s">
        <v>1738</v>
      </c>
      <c r="G612">
        <f>_xlfn.XLOOKUP(A612,FTD!A:A,FTD!C:C)</f>
        <v>1000</v>
      </c>
      <c r="H612" cm="1">
        <f t="array" ref="H612">_xlfn.LET(
  _xlpm.s, TRIM(F612),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12" t="str">
        <f>_xlfn.XLOOKUP(E612,Calendar!C:C,Calendar!B:B)</f>
        <v>Working Day</v>
      </c>
      <c r="M612" s="2">
        <v>46231</v>
      </c>
      <c r="N612" t="s">
        <v>1408</v>
      </c>
      <c r="O612" t="s">
        <v>1789</v>
      </c>
      <c r="P612">
        <v>4</v>
      </c>
      <c r="Q612" t="str">
        <f>_xlfn.XLOOKUP(N612,Attendance!F:F,Attendance!J:J)</f>
        <v>1</v>
      </c>
      <c r="R612">
        <f t="shared" si="19"/>
        <v>0</v>
      </c>
    </row>
    <row r="613" spans="1:18" x14ac:dyDescent="0.25">
      <c r="A613" t="s">
        <v>613</v>
      </c>
      <c r="B613" t="s">
        <v>1387</v>
      </c>
      <c r="C613" t="s">
        <v>1402</v>
      </c>
      <c r="D613" s="2">
        <v>46219.586817129624</v>
      </c>
      <c r="E613" s="2">
        <f t="shared" si="18"/>
        <v>46219</v>
      </c>
      <c r="F613" t="s">
        <v>1738</v>
      </c>
      <c r="G613">
        <f>_xlfn.XLOOKUP(A613,FTD!A:A,FTD!C:C)</f>
        <v>9000</v>
      </c>
      <c r="H613" cm="1">
        <f t="array" ref="H613">_xlfn.LET(
  _xlpm.s, TRIM(F613),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13" t="str">
        <f>_xlfn.XLOOKUP(E613,Calendar!C:C,Calendar!B:B)</f>
        <v>Working Day</v>
      </c>
      <c r="M613" s="2">
        <v>46232</v>
      </c>
      <c r="N613" t="s">
        <v>1405</v>
      </c>
      <c r="O613" t="s">
        <v>1789</v>
      </c>
      <c r="P613">
        <v>1</v>
      </c>
      <c r="Q613" t="str">
        <f>_xlfn.XLOOKUP(N613,Attendance!F:F,Attendance!J:J)</f>
        <v>Dialer</v>
      </c>
      <c r="R613">
        <f t="shared" si="19"/>
        <v>0</v>
      </c>
    </row>
    <row r="614" spans="1:18" x14ac:dyDescent="0.25">
      <c r="A614" t="s">
        <v>614</v>
      </c>
      <c r="B614" t="s">
        <v>1387</v>
      </c>
      <c r="C614" t="s">
        <v>1408</v>
      </c>
      <c r="D614" s="2">
        <v>46225.929895833331</v>
      </c>
      <c r="E614" s="2">
        <f t="shared" si="18"/>
        <v>46225</v>
      </c>
      <c r="F614" t="s">
        <v>1739</v>
      </c>
      <c r="G614">
        <f>_xlfn.XLOOKUP(A614,FTD!A:A,FTD!C:C)</f>
        <v>1000</v>
      </c>
      <c r="H614" cm="1">
        <f t="array" ref="H614">_xlfn.LET(
  _xlpm.s, TRIM(F614),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14" t="str">
        <f>_xlfn.XLOOKUP(E614,Calendar!C:C,Calendar!B:B)</f>
        <v>Working Day</v>
      </c>
      <c r="M614" s="2">
        <v>46232</v>
      </c>
      <c r="N614" t="s">
        <v>1403</v>
      </c>
      <c r="O614" t="s">
        <v>1789</v>
      </c>
      <c r="P614">
        <v>1</v>
      </c>
      <c r="Q614" t="str">
        <f>_xlfn.XLOOKUP(N614,Attendance!F:F,Attendance!J:J)</f>
        <v>Meta</v>
      </c>
      <c r="R614">
        <f t="shared" si="19"/>
        <v>0</v>
      </c>
    </row>
    <row r="615" spans="1:18" x14ac:dyDescent="0.25">
      <c r="A615" t="s">
        <v>615</v>
      </c>
      <c r="B615" t="s">
        <v>1387</v>
      </c>
      <c r="C615" t="s">
        <v>1399</v>
      </c>
      <c r="D615" s="2">
        <v>46226.771597222221</v>
      </c>
      <c r="E615" s="2">
        <f t="shared" si="18"/>
        <v>46226</v>
      </c>
      <c r="F615" t="s">
        <v>1738</v>
      </c>
      <c r="G615">
        <f>_xlfn.XLOOKUP(A615,FTD!A:A,FTD!C:C)</f>
        <v>1000</v>
      </c>
      <c r="H615" cm="1">
        <f t="array" ref="H615">_xlfn.LET(
  _xlpm.s, TRIM(F615),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15" t="str">
        <f>_xlfn.XLOOKUP(E615,Calendar!C:C,Calendar!B:B)</f>
        <v>Working Day</v>
      </c>
      <c r="M615" s="2">
        <v>46232</v>
      </c>
      <c r="N615" t="s">
        <v>1436</v>
      </c>
      <c r="O615" t="s">
        <v>1789</v>
      </c>
      <c r="P615">
        <v>1</v>
      </c>
      <c r="Q615" t="str">
        <f>_xlfn.XLOOKUP(N615,Attendance!F:F,Attendance!J:J)</f>
        <v>Telegram</v>
      </c>
      <c r="R615">
        <f t="shared" si="19"/>
        <v>0</v>
      </c>
    </row>
    <row r="616" spans="1:18" x14ac:dyDescent="0.25">
      <c r="A616" t="s">
        <v>616</v>
      </c>
      <c r="B616" t="s">
        <v>1387</v>
      </c>
      <c r="C616" t="s">
        <v>1425</v>
      </c>
      <c r="D616" s="2">
        <v>46222.617546296293</v>
      </c>
      <c r="E616" s="2">
        <f t="shared" si="18"/>
        <v>46222</v>
      </c>
      <c r="F616" t="s">
        <v>1738</v>
      </c>
      <c r="G616">
        <f>_xlfn.XLOOKUP(A616,FTD!A:A,FTD!C:C)</f>
        <v>5000</v>
      </c>
      <c r="H616" cm="1">
        <f t="array" ref="H616">_xlfn.LET(
  _xlpm.s, TRIM(F616),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16" t="str">
        <f>_xlfn.XLOOKUP(E616,Calendar!C:C,Calendar!B:B)</f>
        <v>Sunday</v>
      </c>
      <c r="M616" s="2">
        <v>46232</v>
      </c>
      <c r="N616" t="s">
        <v>1415</v>
      </c>
      <c r="O616" t="s">
        <v>1789</v>
      </c>
      <c r="P616">
        <v>1</v>
      </c>
      <c r="Q616" t="str">
        <f>_xlfn.XLOOKUP(N616,Attendance!F:F,Attendance!J:J)</f>
        <v>Meta</v>
      </c>
      <c r="R616">
        <f t="shared" si="19"/>
        <v>0</v>
      </c>
    </row>
    <row r="617" spans="1:18" x14ac:dyDescent="0.25">
      <c r="A617" t="s">
        <v>617</v>
      </c>
      <c r="B617" t="s">
        <v>1387</v>
      </c>
      <c r="C617" t="s">
        <v>1431</v>
      </c>
      <c r="D617" s="2">
        <v>46224.825162037036</v>
      </c>
      <c r="E617" s="2">
        <f t="shared" si="18"/>
        <v>46224</v>
      </c>
      <c r="F617" t="s">
        <v>1739</v>
      </c>
      <c r="G617">
        <f>_xlfn.XLOOKUP(A617,FTD!A:A,FTD!C:C)</f>
        <v>20000</v>
      </c>
      <c r="H617" cm="1">
        <f t="array" ref="H617">_xlfn.LET(
  _xlpm.s, TRIM(F617),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17" t="str">
        <f>_xlfn.XLOOKUP(E617,Calendar!C:C,Calendar!B:B)</f>
        <v>Working Day</v>
      </c>
      <c r="M617" s="2">
        <v>46232</v>
      </c>
      <c r="N617" t="s">
        <v>1398</v>
      </c>
      <c r="O617" t="s">
        <v>1789</v>
      </c>
      <c r="P617">
        <v>2</v>
      </c>
      <c r="Q617" t="str">
        <f>_xlfn.XLOOKUP(N617,Attendance!F:F,Attendance!J:J)</f>
        <v>1</v>
      </c>
      <c r="R617">
        <f t="shared" si="19"/>
        <v>0</v>
      </c>
    </row>
    <row r="618" spans="1:18" x14ac:dyDescent="0.25">
      <c r="A618" t="s">
        <v>618</v>
      </c>
      <c r="B618" t="s">
        <v>1387</v>
      </c>
      <c r="C618" t="s">
        <v>1399</v>
      </c>
      <c r="D618" s="2">
        <v>46205.750057870369</v>
      </c>
      <c r="E618" s="2">
        <f t="shared" si="18"/>
        <v>46205</v>
      </c>
      <c r="F618" t="s">
        <v>1738</v>
      </c>
      <c r="G618">
        <f>_xlfn.XLOOKUP(A618,FTD!A:A,FTD!C:C)</f>
        <v>10000</v>
      </c>
      <c r="H618" cm="1">
        <f t="array" ref="H618">_xlfn.LET(
  _xlpm.s, TRIM(F618),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18" t="str">
        <f>_xlfn.XLOOKUP(E618,Calendar!C:C,Calendar!B:B)</f>
        <v>Working Day</v>
      </c>
      <c r="M618" s="2">
        <v>46232</v>
      </c>
      <c r="N618" t="s">
        <v>1413</v>
      </c>
      <c r="O618" t="s">
        <v>1789</v>
      </c>
      <c r="P618">
        <v>1</v>
      </c>
      <c r="Q618" t="str">
        <f>_xlfn.XLOOKUP(N618,Attendance!F:F,Attendance!J:J)</f>
        <v>Dialer</v>
      </c>
      <c r="R618">
        <f t="shared" si="19"/>
        <v>0</v>
      </c>
    </row>
    <row r="619" spans="1:18" x14ac:dyDescent="0.25">
      <c r="A619" t="s">
        <v>619</v>
      </c>
      <c r="B619" t="s">
        <v>1387</v>
      </c>
      <c r="C619" t="s">
        <v>1399</v>
      </c>
      <c r="D619" s="2">
        <v>46205.632534722223</v>
      </c>
      <c r="E619" s="2">
        <f t="shared" si="18"/>
        <v>46205</v>
      </c>
      <c r="F619" t="s">
        <v>1738</v>
      </c>
      <c r="G619">
        <f>_xlfn.XLOOKUP(A619,FTD!A:A,FTD!C:C)</f>
        <v>5000</v>
      </c>
      <c r="H619" cm="1">
        <f t="array" ref="H619">_xlfn.LET(
  _xlpm.s, TRIM(F619),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19" t="str">
        <f>_xlfn.XLOOKUP(E619,Calendar!C:C,Calendar!B:B)</f>
        <v>Working Day</v>
      </c>
      <c r="M619" s="2">
        <v>46232</v>
      </c>
      <c r="N619" t="s">
        <v>1420</v>
      </c>
      <c r="O619" t="s">
        <v>1789</v>
      </c>
      <c r="P619">
        <v>1</v>
      </c>
      <c r="Q619" t="e">
        <f>_xlfn.XLOOKUP(N619,Attendance!F:F,Attendance!J:J)</f>
        <v>#N/A</v>
      </c>
      <c r="R619">
        <f t="shared" si="19"/>
        <v>0</v>
      </c>
    </row>
    <row r="620" spans="1:18" x14ac:dyDescent="0.25">
      <c r="A620" t="s">
        <v>620</v>
      </c>
      <c r="B620" t="s">
        <v>1387</v>
      </c>
      <c r="C620" t="s">
        <v>1408</v>
      </c>
      <c r="D620" s="2">
        <v>46217.464641203704</v>
      </c>
      <c r="E620" s="2">
        <f t="shared" si="18"/>
        <v>46217</v>
      </c>
      <c r="F620" t="s">
        <v>1738</v>
      </c>
      <c r="G620">
        <f>_xlfn.XLOOKUP(A620,FTD!A:A,FTD!C:C)</f>
        <v>4500</v>
      </c>
      <c r="H620" cm="1">
        <f t="array" ref="H620">_xlfn.LET(
  _xlpm.s, TRIM(F620),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0" t="str">
        <f>_xlfn.XLOOKUP(E620,Calendar!C:C,Calendar!B:B)</f>
        <v>Working Day</v>
      </c>
      <c r="M620" s="2">
        <v>46232</v>
      </c>
      <c r="N620" t="s">
        <v>1389</v>
      </c>
      <c r="O620" t="s">
        <v>1789</v>
      </c>
      <c r="P620">
        <v>1</v>
      </c>
      <c r="Q620" t="str">
        <f>_xlfn.XLOOKUP(N620,Attendance!F:F,Attendance!J:J)</f>
        <v>Meta</v>
      </c>
      <c r="R620">
        <f t="shared" si="19"/>
        <v>0</v>
      </c>
    </row>
    <row r="621" spans="1:18" x14ac:dyDescent="0.25">
      <c r="A621" t="s">
        <v>621</v>
      </c>
      <c r="B621" t="s">
        <v>1387</v>
      </c>
      <c r="C621" t="s">
        <v>1405</v>
      </c>
      <c r="D621" s="2">
        <v>46231.729212962964</v>
      </c>
      <c r="E621" s="2">
        <f t="shared" si="18"/>
        <v>46231</v>
      </c>
      <c r="F621" t="s">
        <v>1738</v>
      </c>
      <c r="G621">
        <f>_xlfn.XLOOKUP(A621,FTD!A:A,FTD!C:C)</f>
        <v>1000</v>
      </c>
      <c r="H621" cm="1">
        <f t="array" ref="H621">_xlfn.LET(
  _xlpm.s, TRIM(F621),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1" t="str">
        <f>_xlfn.XLOOKUP(E621,Calendar!C:C,Calendar!B:B)</f>
        <v>Working Day</v>
      </c>
      <c r="M621" s="2">
        <v>46232</v>
      </c>
      <c r="N621" t="s">
        <v>1416</v>
      </c>
      <c r="O621" t="s">
        <v>1789</v>
      </c>
      <c r="P621">
        <v>1</v>
      </c>
      <c r="Q621" t="str">
        <f>_xlfn.XLOOKUP(N621,Attendance!F:F,Attendance!J:J)</f>
        <v>OJT4</v>
      </c>
      <c r="R621">
        <f t="shared" si="19"/>
        <v>0</v>
      </c>
    </row>
    <row r="622" spans="1:18" x14ac:dyDescent="0.25">
      <c r="A622" t="s">
        <v>622</v>
      </c>
      <c r="B622" t="s">
        <v>1387</v>
      </c>
      <c r="C622" t="s">
        <v>1396</v>
      </c>
      <c r="D622" s="2">
        <v>46231.454409722217</v>
      </c>
      <c r="E622" s="2">
        <f t="shared" si="18"/>
        <v>46231</v>
      </c>
      <c r="F622" t="s">
        <v>1738</v>
      </c>
      <c r="G622">
        <f>_xlfn.XLOOKUP(A622,FTD!A:A,FTD!C:C)</f>
        <v>50000</v>
      </c>
      <c r="H622" cm="1">
        <f t="array" ref="H622">_xlfn.LET(
  _xlpm.s, TRIM(F622),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2" t="str">
        <f>_xlfn.XLOOKUP(E622,Calendar!C:C,Calendar!B:B)</f>
        <v>Working Day</v>
      </c>
      <c r="M622" s="2">
        <v>46232</v>
      </c>
      <c r="N622" t="s">
        <v>1414</v>
      </c>
      <c r="O622" t="s">
        <v>1789</v>
      </c>
      <c r="P622">
        <v>1</v>
      </c>
      <c r="Q622" t="str">
        <f>_xlfn.XLOOKUP(N622,Attendance!F:F,Attendance!J:J)</f>
        <v>New OJT</v>
      </c>
      <c r="R622">
        <f t="shared" si="19"/>
        <v>0</v>
      </c>
    </row>
    <row r="623" spans="1:18" x14ac:dyDescent="0.25">
      <c r="A623" t="s">
        <v>623</v>
      </c>
      <c r="B623" t="s">
        <v>1387</v>
      </c>
      <c r="C623" t="s">
        <v>1418</v>
      </c>
      <c r="D623" s="2">
        <v>46218.746064814812</v>
      </c>
      <c r="E623" s="2">
        <f t="shared" si="18"/>
        <v>46218</v>
      </c>
      <c r="F623" t="s">
        <v>1738</v>
      </c>
      <c r="G623">
        <f>_xlfn.XLOOKUP(A623,FTD!A:A,FTD!C:C)</f>
        <v>1000</v>
      </c>
      <c r="H623" cm="1">
        <f t="array" ref="H623">_xlfn.LET(
  _xlpm.s, TRIM(F623),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3" t="str">
        <f>_xlfn.XLOOKUP(E623,Calendar!C:C,Calendar!B:B)</f>
        <v>Working Day</v>
      </c>
      <c r="M623" s="2">
        <v>46232</v>
      </c>
      <c r="N623" t="s">
        <v>1417</v>
      </c>
      <c r="O623" t="s">
        <v>1789</v>
      </c>
      <c r="P623">
        <v>1</v>
      </c>
      <c r="Q623" t="str">
        <f>_xlfn.XLOOKUP(N623,Attendance!F:F,Attendance!J:J)</f>
        <v>Meta</v>
      </c>
      <c r="R623">
        <f t="shared" si="19"/>
        <v>0</v>
      </c>
    </row>
    <row r="624" spans="1:18" x14ac:dyDescent="0.25">
      <c r="A624" t="s">
        <v>624</v>
      </c>
      <c r="B624" t="s">
        <v>1387</v>
      </c>
      <c r="C624" t="s">
        <v>1406</v>
      </c>
      <c r="D624" s="2">
        <v>46218.63386574074</v>
      </c>
      <c r="E624" s="2">
        <f t="shared" si="18"/>
        <v>46218</v>
      </c>
      <c r="F624" t="s">
        <v>1738</v>
      </c>
      <c r="G624">
        <f>_xlfn.XLOOKUP(A624,FTD!A:A,FTD!C:C)</f>
        <v>6000</v>
      </c>
      <c r="H624" cm="1">
        <f t="array" ref="H624">_xlfn.LET(
  _xlpm.s, TRIM(F624),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4" t="str">
        <f>_xlfn.XLOOKUP(E624,Calendar!C:C,Calendar!B:B)</f>
        <v>Working Day</v>
      </c>
      <c r="M624" s="2">
        <v>46232</v>
      </c>
      <c r="N624" t="s">
        <v>1400</v>
      </c>
      <c r="O624" t="s">
        <v>1789</v>
      </c>
      <c r="P624">
        <v>5</v>
      </c>
      <c r="Q624" t="str">
        <f>_xlfn.XLOOKUP(N624,Attendance!F:F,Attendance!J:J)</f>
        <v>Meta</v>
      </c>
      <c r="R624">
        <f t="shared" si="19"/>
        <v>400</v>
      </c>
    </row>
    <row r="625" spans="1:18" x14ac:dyDescent="0.25">
      <c r="A625" t="s">
        <v>625</v>
      </c>
      <c r="B625" t="s">
        <v>1387</v>
      </c>
      <c r="C625" t="s">
        <v>1399</v>
      </c>
      <c r="D625" s="2">
        <v>46230.523263888885</v>
      </c>
      <c r="E625" s="2">
        <f t="shared" si="18"/>
        <v>46230</v>
      </c>
      <c r="F625" t="s">
        <v>1738</v>
      </c>
      <c r="G625">
        <f>_xlfn.XLOOKUP(A625,FTD!A:A,FTD!C:C)</f>
        <v>50000</v>
      </c>
      <c r="H625" cm="1">
        <f t="array" ref="H625">_xlfn.LET(
  _xlpm.s, TRIM(F625),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5" t="str">
        <f>_xlfn.XLOOKUP(E625,Calendar!C:C,Calendar!B:B)</f>
        <v>Working Day</v>
      </c>
      <c r="M625" s="2">
        <v>46232</v>
      </c>
      <c r="N625" t="s">
        <v>1407</v>
      </c>
      <c r="O625" t="s">
        <v>1789</v>
      </c>
      <c r="P625">
        <v>3</v>
      </c>
      <c r="Q625" t="str">
        <f>_xlfn.XLOOKUP(N625,Attendance!F:F,Attendance!J:J)</f>
        <v>Meta</v>
      </c>
      <c r="R625">
        <f t="shared" si="19"/>
        <v>0</v>
      </c>
    </row>
    <row r="626" spans="1:18" x14ac:dyDescent="0.25">
      <c r="A626" t="s">
        <v>626</v>
      </c>
      <c r="B626" t="s">
        <v>1387</v>
      </c>
      <c r="C626" t="s">
        <v>1405</v>
      </c>
      <c r="D626" s="2">
        <v>46212.399212962962</v>
      </c>
      <c r="E626" s="2">
        <f t="shared" si="18"/>
        <v>46212</v>
      </c>
      <c r="F626" t="s">
        <v>1738</v>
      </c>
      <c r="G626">
        <f>_xlfn.XLOOKUP(A626,FTD!A:A,FTD!C:C)</f>
        <v>2000</v>
      </c>
      <c r="H626" cm="1">
        <f t="array" ref="H626">_xlfn.LET(
  _xlpm.s, TRIM(F626),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6" t="str">
        <f>_xlfn.XLOOKUP(E626,Calendar!C:C,Calendar!B:B)</f>
        <v>Working Day</v>
      </c>
      <c r="M626" s="2">
        <v>46232</v>
      </c>
      <c r="N626" t="s">
        <v>1396</v>
      </c>
      <c r="O626" t="s">
        <v>1789</v>
      </c>
      <c r="P626">
        <v>1</v>
      </c>
      <c r="Q626" t="str">
        <f>_xlfn.XLOOKUP(N626,Attendance!F:F,Attendance!J:J)</f>
        <v>Telegram</v>
      </c>
      <c r="R626">
        <f t="shared" si="19"/>
        <v>0</v>
      </c>
    </row>
    <row r="627" spans="1:18" x14ac:dyDescent="0.25">
      <c r="A627" t="s">
        <v>627</v>
      </c>
      <c r="B627" t="s">
        <v>1387</v>
      </c>
      <c r="C627" t="s">
        <v>1407</v>
      </c>
      <c r="D627" s="2">
        <v>46226.543611111112</v>
      </c>
      <c r="E627" s="2">
        <f t="shared" si="18"/>
        <v>46226</v>
      </c>
      <c r="F627" t="s">
        <v>1738</v>
      </c>
      <c r="G627">
        <f>_xlfn.XLOOKUP(A627,FTD!A:A,FTD!C:C)</f>
        <v>1000</v>
      </c>
      <c r="H627" cm="1">
        <f t="array" ref="H627">_xlfn.LET(
  _xlpm.s, TRIM(F627),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7" t="str">
        <f>_xlfn.XLOOKUP(E627,Calendar!C:C,Calendar!B:B)</f>
        <v>Working Day</v>
      </c>
      <c r="M627" s="2">
        <v>46232</v>
      </c>
      <c r="N627" t="s">
        <v>1412</v>
      </c>
      <c r="O627" t="s">
        <v>1789</v>
      </c>
      <c r="P627">
        <v>3</v>
      </c>
      <c r="Q627" t="str">
        <f>_xlfn.XLOOKUP(N627,Attendance!F:F,Attendance!J:J)</f>
        <v>1</v>
      </c>
      <c r="R627">
        <f t="shared" si="19"/>
        <v>0</v>
      </c>
    </row>
    <row r="628" spans="1:18" x14ac:dyDescent="0.25">
      <c r="A628" t="s">
        <v>628</v>
      </c>
      <c r="B628" t="s">
        <v>1387</v>
      </c>
      <c r="C628" t="s">
        <v>1417</v>
      </c>
      <c r="D628" s="2">
        <v>46217.494432870371</v>
      </c>
      <c r="E628" s="2">
        <f t="shared" si="18"/>
        <v>46217</v>
      </c>
      <c r="F628" t="s">
        <v>1743</v>
      </c>
      <c r="G628">
        <f>_xlfn.XLOOKUP(A628,FTD!A:A,FTD!C:C)</f>
        <v>1000</v>
      </c>
      <c r="H628" cm="1">
        <f t="array" ref="H628">_xlfn.LET(
  _xlpm.s, TRIM(F628),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28" t="str">
        <f>_xlfn.XLOOKUP(E628,Calendar!C:C,Calendar!B:B)</f>
        <v>Working Day</v>
      </c>
      <c r="M628" s="2">
        <v>46232</v>
      </c>
      <c r="N628" t="s">
        <v>1406</v>
      </c>
      <c r="O628" t="s">
        <v>1789</v>
      </c>
      <c r="P628">
        <v>2</v>
      </c>
      <c r="Q628" t="str">
        <f>_xlfn.XLOOKUP(N628,Attendance!F:F,Attendance!J:J)</f>
        <v>1</v>
      </c>
      <c r="R628">
        <f t="shared" si="19"/>
        <v>0</v>
      </c>
    </row>
    <row r="629" spans="1:18" x14ac:dyDescent="0.25">
      <c r="A629" t="s">
        <v>629</v>
      </c>
      <c r="B629" t="s">
        <v>1387</v>
      </c>
      <c r="C629" t="s">
        <v>1429</v>
      </c>
      <c r="D629" s="2">
        <v>46216.408749999995</v>
      </c>
      <c r="E629" s="2">
        <f t="shared" si="18"/>
        <v>46216</v>
      </c>
      <c r="F629" t="s">
        <v>1739</v>
      </c>
      <c r="G629">
        <f>_xlfn.XLOOKUP(A629,FTD!A:A,FTD!C:C)</f>
        <v>2000</v>
      </c>
      <c r="H629" cm="1">
        <f t="array" ref="H629">_xlfn.LET(
  _xlpm.s, TRIM(F629),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29" t="str">
        <f>_xlfn.XLOOKUP(E629,Calendar!C:C,Calendar!B:B)</f>
        <v>Working Day</v>
      </c>
      <c r="M629" s="2">
        <v>46232</v>
      </c>
      <c r="N629" t="s">
        <v>1431</v>
      </c>
      <c r="O629" t="s">
        <v>1789</v>
      </c>
      <c r="P629">
        <v>2</v>
      </c>
      <c r="Q629" t="str">
        <f>_xlfn.XLOOKUP(N629,Attendance!F:F,Attendance!J:J)</f>
        <v>Telegram</v>
      </c>
      <c r="R629">
        <f t="shared" si="19"/>
        <v>0</v>
      </c>
    </row>
    <row r="630" spans="1:18" x14ac:dyDescent="0.25">
      <c r="A630" t="s">
        <v>630</v>
      </c>
      <c r="B630" t="s">
        <v>1387</v>
      </c>
      <c r="C630" t="s">
        <v>1434</v>
      </c>
      <c r="D630" s="2">
        <v>46218.570173611108</v>
      </c>
      <c r="E630" s="2">
        <f t="shared" si="18"/>
        <v>46218</v>
      </c>
      <c r="F630" t="s">
        <v>1738</v>
      </c>
      <c r="G630">
        <f>_xlfn.XLOOKUP(A630,FTD!A:A,FTD!C:C)</f>
        <v>1000</v>
      </c>
      <c r="H630" cm="1">
        <f t="array" ref="H630">_xlfn.LET(
  _xlpm.s, TRIM(F630),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0" t="str">
        <f>_xlfn.XLOOKUP(E630,Calendar!C:C,Calendar!B:B)</f>
        <v>Working Day</v>
      </c>
      <c r="M630" s="2">
        <v>46232</v>
      </c>
      <c r="N630" t="s">
        <v>1402</v>
      </c>
      <c r="O630" t="s">
        <v>1789</v>
      </c>
      <c r="P630">
        <v>1</v>
      </c>
      <c r="Q630" t="str">
        <f>_xlfn.XLOOKUP(N630,Attendance!F:F,Attendance!J:J)</f>
        <v>1</v>
      </c>
      <c r="R630">
        <f t="shared" si="19"/>
        <v>0</v>
      </c>
    </row>
    <row r="631" spans="1:18" x14ac:dyDescent="0.25">
      <c r="A631" t="s">
        <v>631</v>
      </c>
      <c r="B631" t="s">
        <v>1387</v>
      </c>
      <c r="C631" t="s">
        <v>1408</v>
      </c>
      <c r="D631" s="2">
        <v>46217.412916666668</v>
      </c>
      <c r="E631" s="2">
        <f t="shared" si="18"/>
        <v>46217</v>
      </c>
      <c r="F631" t="s">
        <v>1738</v>
      </c>
      <c r="G631">
        <f>_xlfn.XLOOKUP(A631,FTD!A:A,FTD!C:C)</f>
        <v>3698</v>
      </c>
      <c r="H631" cm="1">
        <f t="array" ref="H631">_xlfn.LET(
  _xlpm.s, TRIM(F631),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1" t="str">
        <f>_xlfn.XLOOKUP(E631,Calendar!C:C,Calendar!B:B)</f>
        <v>Working Day</v>
      </c>
      <c r="M631" s="2">
        <v>46232</v>
      </c>
      <c r="N631" t="s">
        <v>1391</v>
      </c>
      <c r="O631" t="s">
        <v>1789</v>
      </c>
      <c r="P631">
        <v>4</v>
      </c>
      <c r="Q631" t="str">
        <f>_xlfn.XLOOKUP(N631,Attendance!F:F,Attendance!J:J)</f>
        <v>Dialer</v>
      </c>
      <c r="R631">
        <f t="shared" si="19"/>
        <v>500</v>
      </c>
    </row>
    <row r="632" spans="1:18" x14ac:dyDescent="0.25">
      <c r="A632" t="s">
        <v>632</v>
      </c>
      <c r="B632" t="s">
        <v>1387</v>
      </c>
      <c r="C632" t="s">
        <v>1406</v>
      </c>
      <c r="D632" s="2">
        <v>46220.963240740741</v>
      </c>
      <c r="E632" s="2">
        <f t="shared" si="18"/>
        <v>46220</v>
      </c>
      <c r="F632" t="s">
        <v>1738</v>
      </c>
      <c r="G632">
        <f>_xlfn.XLOOKUP(A632,FTD!A:A,FTD!C:C)</f>
        <v>2000</v>
      </c>
      <c r="H632" cm="1">
        <f t="array" ref="H632">_xlfn.LET(
  _xlpm.s, TRIM(F632),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2" t="str">
        <f>_xlfn.XLOOKUP(E632,Calendar!C:C,Calendar!B:B)</f>
        <v>Working Day</v>
      </c>
      <c r="M632" s="2">
        <v>46232</v>
      </c>
      <c r="N632" t="s">
        <v>1390</v>
      </c>
      <c r="O632" t="s">
        <v>1789</v>
      </c>
      <c r="P632">
        <v>2</v>
      </c>
      <c r="Q632" t="str">
        <f>_xlfn.XLOOKUP(N632,Attendance!F:F,Attendance!J:J)</f>
        <v>Meta</v>
      </c>
      <c r="R632">
        <f t="shared" si="19"/>
        <v>0</v>
      </c>
    </row>
    <row r="633" spans="1:18" x14ac:dyDescent="0.25">
      <c r="A633" t="s">
        <v>633</v>
      </c>
      <c r="B633" t="s">
        <v>1387</v>
      </c>
      <c r="C633" t="s">
        <v>1400</v>
      </c>
      <c r="D633" s="2">
        <v>46234.574004629627</v>
      </c>
      <c r="E633" s="2">
        <f t="shared" si="18"/>
        <v>46234</v>
      </c>
      <c r="F633" t="s">
        <v>1739</v>
      </c>
      <c r="G633">
        <f>_xlfn.XLOOKUP(A633,FTD!A:A,FTD!C:C)</f>
        <v>1000</v>
      </c>
      <c r="H633" cm="1">
        <f t="array" ref="H633">_xlfn.LET(
  _xlpm.s, TRIM(F633),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33" t="str">
        <f>_xlfn.XLOOKUP(E633,Calendar!C:C,Calendar!B:B)</f>
        <v>Working Day</v>
      </c>
      <c r="M633" s="2">
        <v>46232</v>
      </c>
      <c r="N633" t="s">
        <v>1392</v>
      </c>
      <c r="O633" t="s">
        <v>1789</v>
      </c>
      <c r="P633">
        <v>1</v>
      </c>
      <c r="Q633" t="str">
        <f>_xlfn.XLOOKUP(N633,Attendance!F:F,Attendance!J:J)</f>
        <v>Telegram</v>
      </c>
      <c r="R633">
        <f t="shared" si="19"/>
        <v>0</v>
      </c>
    </row>
    <row r="634" spans="1:18" x14ac:dyDescent="0.25">
      <c r="A634" t="s">
        <v>634</v>
      </c>
      <c r="B634" t="s">
        <v>1387</v>
      </c>
      <c r="C634" t="s">
        <v>1413</v>
      </c>
      <c r="D634" s="2">
        <v>46233.49083333333</v>
      </c>
      <c r="E634" s="2">
        <f t="shared" si="18"/>
        <v>46233</v>
      </c>
      <c r="F634" t="s">
        <v>1743</v>
      </c>
      <c r="G634">
        <f>_xlfn.XLOOKUP(A634,FTD!A:A,FTD!C:C)</f>
        <v>1000</v>
      </c>
      <c r="H634" cm="1">
        <f t="array" ref="H634">_xlfn.LET(
  _xlpm.s, TRIM(F634),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4" t="str">
        <f>_xlfn.XLOOKUP(E634,Calendar!C:C,Calendar!B:B)</f>
        <v>Working Day</v>
      </c>
      <c r="M634" s="2">
        <v>46232</v>
      </c>
      <c r="N634" t="s">
        <v>1429</v>
      </c>
      <c r="O634" t="s">
        <v>1789</v>
      </c>
      <c r="P634">
        <v>1</v>
      </c>
      <c r="Q634" t="e">
        <f>_xlfn.XLOOKUP(N634,Attendance!F:F,Attendance!J:J)</f>
        <v>#N/A</v>
      </c>
      <c r="R634">
        <f t="shared" si="19"/>
        <v>0</v>
      </c>
    </row>
    <row r="635" spans="1:18" x14ac:dyDescent="0.25">
      <c r="A635" t="s">
        <v>635</v>
      </c>
      <c r="B635" t="s">
        <v>1387</v>
      </c>
      <c r="C635" t="s">
        <v>1406</v>
      </c>
      <c r="D635" s="2">
        <v>46223.389236111107</v>
      </c>
      <c r="E635" s="2">
        <f t="shared" si="18"/>
        <v>46223</v>
      </c>
      <c r="F635" t="s">
        <v>1738</v>
      </c>
      <c r="G635">
        <f>_xlfn.XLOOKUP(A635,FTD!A:A,FTD!C:C)</f>
        <v>51000</v>
      </c>
      <c r="H635" cm="1">
        <f t="array" ref="H635">_xlfn.LET(
  _xlpm.s, TRIM(F635),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5" t="str">
        <f>_xlfn.XLOOKUP(E635,Calendar!C:C,Calendar!B:B)</f>
        <v>Working Day</v>
      </c>
      <c r="M635" s="2">
        <v>46232</v>
      </c>
      <c r="N635" t="s">
        <v>1399</v>
      </c>
      <c r="O635" t="s">
        <v>1789</v>
      </c>
      <c r="P635">
        <v>3</v>
      </c>
      <c r="Q635" t="str">
        <f>_xlfn.XLOOKUP(N635,Attendance!F:F,Attendance!J:J)</f>
        <v>1</v>
      </c>
      <c r="R635">
        <f t="shared" si="19"/>
        <v>0</v>
      </c>
    </row>
    <row r="636" spans="1:18" x14ac:dyDescent="0.25">
      <c r="A636" t="s">
        <v>636</v>
      </c>
      <c r="B636" t="s">
        <v>1387</v>
      </c>
      <c r="C636" t="s">
        <v>1409</v>
      </c>
      <c r="D636" s="2">
        <v>46213.835358796292</v>
      </c>
      <c r="E636" s="2">
        <f t="shared" si="18"/>
        <v>46213</v>
      </c>
      <c r="F636" t="s">
        <v>1747</v>
      </c>
      <c r="G636">
        <f>_xlfn.XLOOKUP(A636,FTD!A:A,FTD!C:C)</f>
        <v>1000</v>
      </c>
      <c r="H636" cm="1">
        <f t="array" ref="H636">_xlfn.LET(
  _xlpm.s, TRIM(F636),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36" t="str">
        <f>_xlfn.XLOOKUP(E636,Calendar!C:C,Calendar!B:B)</f>
        <v>Working Day</v>
      </c>
      <c r="M636" s="2">
        <v>46232</v>
      </c>
      <c r="N636" t="s">
        <v>1408</v>
      </c>
      <c r="O636" t="s">
        <v>1789</v>
      </c>
      <c r="P636">
        <v>4</v>
      </c>
      <c r="Q636" t="str">
        <f>_xlfn.XLOOKUP(N636,Attendance!F:F,Attendance!J:J)</f>
        <v>1</v>
      </c>
      <c r="R636">
        <f t="shared" si="19"/>
        <v>0</v>
      </c>
    </row>
    <row r="637" spans="1:18" x14ac:dyDescent="0.25">
      <c r="A637" t="s">
        <v>637</v>
      </c>
      <c r="B637" t="s">
        <v>1387</v>
      </c>
      <c r="C637" t="s">
        <v>1402</v>
      </c>
      <c r="D637" s="2">
        <v>46223.277222222219</v>
      </c>
      <c r="E637" s="2">
        <f t="shared" si="18"/>
        <v>46223</v>
      </c>
      <c r="F637" t="s">
        <v>1738</v>
      </c>
      <c r="G637">
        <f>_xlfn.XLOOKUP(A637,FTD!A:A,FTD!C:C)</f>
        <v>2000</v>
      </c>
      <c r="H637" cm="1">
        <f t="array" ref="H637">_xlfn.LET(
  _xlpm.s, TRIM(F637),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7" t="str">
        <f>_xlfn.XLOOKUP(E637,Calendar!C:C,Calendar!B:B)</f>
        <v>Working Day</v>
      </c>
      <c r="M637" s="2">
        <v>46233</v>
      </c>
      <c r="N637" t="s">
        <v>1405</v>
      </c>
      <c r="O637" t="s">
        <v>1789</v>
      </c>
      <c r="P637">
        <v>1</v>
      </c>
      <c r="Q637" t="str">
        <f>_xlfn.XLOOKUP(N637,Attendance!F:F,Attendance!J:J)</f>
        <v>Dialer</v>
      </c>
      <c r="R637">
        <f t="shared" si="19"/>
        <v>0</v>
      </c>
    </row>
    <row r="638" spans="1:18" x14ac:dyDescent="0.25">
      <c r="A638" t="s">
        <v>638</v>
      </c>
      <c r="B638" t="s">
        <v>1387</v>
      </c>
      <c r="C638" t="s">
        <v>1400</v>
      </c>
      <c r="D638" s="2">
        <v>46223.598738425921</v>
      </c>
      <c r="E638" s="2">
        <f t="shared" si="18"/>
        <v>46223</v>
      </c>
      <c r="F638" t="s">
        <v>1743</v>
      </c>
      <c r="G638">
        <f>_xlfn.XLOOKUP(A638,FTD!A:A,FTD!C:C)</f>
        <v>1000</v>
      </c>
      <c r="H638" cm="1">
        <f t="array" ref="H638">_xlfn.LET(
  _xlpm.s, TRIM(F638),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8" t="str">
        <f>_xlfn.XLOOKUP(E638,Calendar!C:C,Calendar!B:B)</f>
        <v>Working Day</v>
      </c>
      <c r="M638" s="2">
        <v>46233</v>
      </c>
      <c r="N638" t="s">
        <v>1403</v>
      </c>
      <c r="O638" t="s">
        <v>1789</v>
      </c>
      <c r="P638">
        <v>1</v>
      </c>
      <c r="Q638" t="str">
        <f>_xlfn.XLOOKUP(N638,Attendance!F:F,Attendance!J:J)</f>
        <v>Meta</v>
      </c>
      <c r="R638">
        <f t="shared" si="19"/>
        <v>0</v>
      </c>
    </row>
    <row r="639" spans="1:18" x14ac:dyDescent="0.25">
      <c r="A639" t="s">
        <v>639</v>
      </c>
      <c r="B639" t="s">
        <v>1387</v>
      </c>
      <c r="C639" t="s">
        <v>1408</v>
      </c>
      <c r="D639" s="2">
        <v>46204.893518518518</v>
      </c>
      <c r="E639" s="2">
        <f t="shared" si="18"/>
        <v>46204</v>
      </c>
      <c r="F639" t="s">
        <v>1738</v>
      </c>
      <c r="G639">
        <f>_xlfn.XLOOKUP(A639,FTD!A:A,FTD!C:C)</f>
        <v>200000</v>
      </c>
      <c r="H639" cm="1">
        <f t="array" ref="H639">_xlfn.LET(
  _xlpm.s, TRIM(F639),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39" t="str">
        <f>_xlfn.XLOOKUP(E639,Calendar!C:C,Calendar!B:B)</f>
        <v>Working Day</v>
      </c>
      <c r="M639" s="2">
        <v>46233</v>
      </c>
      <c r="N639" t="s">
        <v>1415</v>
      </c>
      <c r="O639" t="s">
        <v>1789</v>
      </c>
      <c r="P639">
        <v>1</v>
      </c>
      <c r="Q639" t="str">
        <f>_xlfn.XLOOKUP(N639,Attendance!F:F,Attendance!J:J)</f>
        <v>Meta</v>
      </c>
      <c r="R639">
        <f t="shared" si="19"/>
        <v>0</v>
      </c>
    </row>
    <row r="640" spans="1:18" x14ac:dyDescent="0.25">
      <c r="A640" t="s">
        <v>640</v>
      </c>
      <c r="B640" t="s">
        <v>1387</v>
      </c>
      <c r="C640" t="s">
        <v>1426</v>
      </c>
      <c r="D640" s="2">
        <v>46219.435891203699</v>
      </c>
      <c r="E640" s="2">
        <f t="shared" si="18"/>
        <v>46219</v>
      </c>
      <c r="F640" t="s">
        <v>1738</v>
      </c>
      <c r="G640">
        <f>_xlfn.XLOOKUP(A640,FTD!A:A,FTD!C:C)</f>
        <v>1000</v>
      </c>
      <c r="H640" cm="1">
        <f t="array" ref="H640">_xlfn.LET(
  _xlpm.s, TRIM(F640),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0" t="str">
        <f>_xlfn.XLOOKUP(E640,Calendar!C:C,Calendar!B:B)</f>
        <v>Working Day</v>
      </c>
      <c r="M640" s="2">
        <v>46233</v>
      </c>
      <c r="N640" t="s">
        <v>1433</v>
      </c>
      <c r="O640" t="s">
        <v>1789</v>
      </c>
      <c r="P640">
        <v>2</v>
      </c>
      <c r="Q640" t="str">
        <f>_xlfn.XLOOKUP(N640,Attendance!F:F,Attendance!J:J)</f>
        <v>Meta</v>
      </c>
      <c r="R640">
        <f t="shared" si="19"/>
        <v>0</v>
      </c>
    </row>
    <row r="641" spans="1:18" x14ac:dyDescent="0.25">
      <c r="A641" t="s">
        <v>641</v>
      </c>
      <c r="B641" t="s">
        <v>1384</v>
      </c>
      <c r="C641" t="s">
        <v>1438</v>
      </c>
      <c r="D641" s="2">
        <v>46227.43782407407</v>
      </c>
      <c r="E641" s="2">
        <f t="shared" si="18"/>
        <v>46227</v>
      </c>
      <c r="F641" t="s">
        <v>1738</v>
      </c>
      <c r="G641">
        <f>_xlfn.XLOOKUP(A641,FTD!A:A,FTD!C:C)</f>
        <v>16605</v>
      </c>
      <c r="H641" cm="1">
        <f t="array" ref="H641">_xlfn.LET(
  _xlpm.s, TRIM(F641),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1" t="str">
        <f>_xlfn.XLOOKUP(E641,Calendar!C:C,Calendar!B:B)</f>
        <v>Working Day</v>
      </c>
      <c r="M641" s="2">
        <v>46233</v>
      </c>
      <c r="N641" t="s">
        <v>1413</v>
      </c>
      <c r="O641" t="s">
        <v>1789</v>
      </c>
      <c r="P641">
        <v>1</v>
      </c>
      <c r="Q641" t="str">
        <f>_xlfn.XLOOKUP(N641,Attendance!F:F,Attendance!J:J)</f>
        <v>Dialer</v>
      </c>
      <c r="R641">
        <f t="shared" si="19"/>
        <v>0</v>
      </c>
    </row>
    <row r="642" spans="1:18" x14ac:dyDescent="0.25">
      <c r="A642" t="s">
        <v>642</v>
      </c>
      <c r="B642" t="s">
        <v>1384</v>
      </c>
      <c r="C642" t="s">
        <v>1408</v>
      </c>
      <c r="D642" s="2">
        <v>46213.399710648147</v>
      </c>
      <c r="E642" s="2">
        <f t="shared" si="18"/>
        <v>46213</v>
      </c>
      <c r="F642" t="s">
        <v>1738</v>
      </c>
      <c r="G642">
        <f>_xlfn.XLOOKUP(A642,FTD!A:A,FTD!C:C)</f>
        <v>1000</v>
      </c>
      <c r="H642" cm="1">
        <f t="array" ref="H642">_xlfn.LET(
  _xlpm.s, TRIM(F642),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2" t="str">
        <f>_xlfn.XLOOKUP(E642,Calendar!C:C,Calendar!B:B)</f>
        <v>Working Day</v>
      </c>
      <c r="M642" s="2">
        <v>46233</v>
      </c>
      <c r="N642" t="s">
        <v>1389</v>
      </c>
      <c r="O642" t="s">
        <v>1789</v>
      </c>
      <c r="P642">
        <v>1</v>
      </c>
      <c r="Q642" t="str">
        <f>_xlfn.XLOOKUP(N642,Attendance!F:F,Attendance!J:J)</f>
        <v>Meta</v>
      </c>
      <c r="R642">
        <f t="shared" si="19"/>
        <v>0</v>
      </c>
    </row>
    <row r="643" spans="1:18" x14ac:dyDescent="0.25">
      <c r="A643" t="s">
        <v>643</v>
      </c>
      <c r="B643" t="s">
        <v>1384</v>
      </c>
      <c r="C643" t="s">
        <v>1422</v>
      </c>
      <c r="D643" s="2">
        <v>46222.632488425923</v>
      </c>
      <c r="E643" s="2">
        <f t="shared" ref="E643:E706" si="20">INT(D643)</f>
        <v>46222</v>
      </c>
      <c r="F643" t="s">
        <v>1739</v>
      </c>
      <c r="G643">
        <f>_xlfn.XLOOKUP(A643,FTD!A:A,FTD!C:C)</f>
        <v>4070</v>
      </c>
      <c r="H643" cm="1">
        <f t="array" ref="H643">_xlfn.LET(
  _xlpm.s, TRIM(F643),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43" t="str">
        <f>_xlfn.XLOOKUP(E643,Calendar!C:C,Calendar!B:B)</f>
        <v>Sunday</v>
      </c>
      <c r="M643" s="2">
        <v>46233</v>
      </c>
      <c r="N643" t="s">
        <v>1414</v>
      </c>
      <c r="O643" t="s">
        <v>1789</v>
      </c>
      <c r="P643">
        <v>1</v>
      </c>
      <c r="Q643" t="str">
        <f>_xlfn.XLOOKUP(N643,Attendance!F:F,Attendance!J:J)</f>
        <v>New OJT</v>
      </c>
      <c r="R643">
        <f t="shared" si="19"/>
        <v>0</v>
      </c>
    </row>
    <row r="644" spans="1:18" x14ac:dyDescent="0.25">
      <c r="A644" t="s">
        <v>644</v>
      </c>
      <c r="B644" t="s">
        <v>1384</v>
      </c>
      <c r="C644" t="s">
        <v>1433</v>
      </c>
      <c r="D644" s="2">
        <v>46210.638657407406</v>
      </c>
      <c r="E644" s="2">
        <f t="shared" si="20"/>
        <v>46210</v>
      </c>
      <c r="F644" t="s">
        <v>1741</v>
      </c>
      <c r="G644">
        <f>_xlfn.XLOOKUP(A644,FTD!A:A,FTD!C:C)</f>
        <v>2000</v>
      </c>
      <c r="H644" cm="1">
        <f t="array" ref="H644">_xlfn.LET(
  _xlpm.s, TRIM(F644),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4" t="str">
        <f>_xlfn.XLOOKUP(E644,Calendar!C:C,Calendar!B:B)</f>
        <v>Working Day</v>
      </c>
      <c r="M644" s="2">
        <v>46233</v>
      </c>
      <c r="N644" t="s">
        <v>1417</v>
      </c>
      <c r="O644" t="s">
        <v>1789</v>
      </c>
      <c r="P644">
        <v>2</v>
      </c>
      <c r="Q644" t="str">
        <f>_xlfn.XLOOKUP(N644,Attendance!F:F,Attendance!J:J)</f>
        <v>Meta</v>
      </c>
      <c r="R644">
        <f t="shared" ref="R644:R691" si="21">_xlfn.LET(
  _xlpm.pool, IFERROR(Q644&amp;"", ""),
  _xlpm.conv, IFERROR(--P644, 0),
  _xlpm.mkt,  O645="Working Day",
  IF(_xlpm.pool="1",
     IF(_xlpm.mkt, IF(_xlpm.conv&gt;=12,700,IF(_xlpm.conv&gt;=8,300,0)),
             IF(_xlpm.conv&gt;=7,700,IF(_xlpm.conv&gt;=4,300,0))),
  IF(_xlpm.pool="Meta",
     IF(_xlpm.mkt, IF(_xlpm.conv&gt;=6,700,IF(_xlpm.conv&gt;=4,400,0)),
             IF(_xlpm.conv&gt;=4,700,IF(_xlpm.conv&gt;=3,400,0))),
     IF(_xlpm.mkt, IF(_xlpm.conv&gt;=5,700,IF(_xlpm.conv&gt;=3,500,0)),
             IF(_xlpm.conv&gt;=3,700,IF(_xlpm.conv&gt;=2,500,0)))
  )))</f>
        <v>0</v>
      </c>
    </row>
    <row r="645" spans="1:18" x14ac:dyDescent="0.25">
      <c r="A645" t="s">
        <v>645</v>
      </c>
      <c r="B645" t="s">
        <v>1384</v>
      </c>
      <c r="C645" t="s">
        <v>1415</v>
      </c>
      <c r="D645" s="2">
        <v>46227.529988425922</v>
      </c>
      <c r="E645" s="2">
        <f t="shared" si="20"/>
        <v>46227</v>
      </c>
      <c r="F645" t="s">
        <v>1738</v>
      </c>
      <c r="G645">
        <f>_xlfn.XLOOKUP(A645,FTD!A:A,FTD!C:C)</f>
        <v>27</v>
      </c>
      <c r="H645" cm="1">
        <f t="array" ref="H645">_xlfn.LET(
  _xlpm.s, TRIM(F645),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5" t="str">
        <f>_xlfn.XLOOKUP(E645,Calendar!C:C,Calendar!B:B)</f>
        <v>Working Day</v>
      </c>
      <c r="M645" s="2">
        <v>46233</v>
      </c>
      <c r="N645" t="s">
        <v>1400</v>
      </c>
      <c r="O645" t="s">
        <v>1789</v>
      </c>
      <c r="P645">
        <v>1</v>
      </c>
      <c r="Q645" t="str">
        <f>_xlfn.XLOOKUP(N645,Attendance!F:F,Attendance!J:J)</f>
        <v>Meta</v>
      </c>
      <c r="R645">
        <f t="shared" si="21"/>
        <v>0</v>
      </c>
    </row>
    <row r="646" spans="1:18" x14ac:dyDescent="0.25">
      <c r="A646" t="s">
        <v>646</v>
      </c>
      <c r="B646" t="s">
        <v>1384</v>
      </c>
      <c r="C646" t="s">
        <v>1407</v>
      </c>
      <c r="D646" s="2">
        <v>46220.597962962958</v>
      </c>
      <c r="E646" s="2">
        <f t="shared" si="20"/>
        <v>46220</v>
      </c>
      <c r="F646" t="s">
        <v>1738</v>
      </c>
      <c r="G646">
        <f>_xlfn.XLOOKUP(A646,FTD!A:A,FTD!C:C)</f>
        <v>5000</v>
      </c>
      <c r="H646" cm="1">
        <f t="array" ref="H646">_xlfn.LET(
  _xlpm.s, TRIM(F646),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6" t="str">
        <f>_xlfn.XLOOKUP(E646,Calendar!C:C,Calendar!B:B)</f>
        <v>Working Day</v>
      </c>
      <c r="M646" s="2">
        <v>46233</v>
      </c>
      <c r="N646" t="s">
        <v>1397</v>
      </c>
      <c r="O646" t="s">
        <v>1789</v>
      </c>
      <c r="P646">
        <v>3</v>
      </c>
      <c r="Q646" t="str">
        <f>_xlfn.XLOOKUP(N646,Attendance!F:F,Attendance!J:J)</f>
        <v>Meta</v>
      </c>
      <c r="R646">
        <f t="shared" si="21"/>
        <v>0</v>
      </c>
    </row>
    <row r="647" spans="1:18" x14ac:dyDescent="0.25">
      <c r="A647" t="s">
        <v>647</v>
      </c>
      <c r="B647" t="s">
        <v>1384</v>
      </c>
      <c r="C647" t="s">
        <v>1396</v>
      </c>
      <c r="D647" s="2">
        <v>46223.539606481478</v>
      </c>
      <c r="E647" s="2">
        <f t="shared" si="20"/>
        <v>46223</v>
      </c>
      <c r="F647" t="s">
        <v>1738</v>
      </c>
      <c r="G647">
        <f>_xlfn.XLOOKUP(A647,FTD!A:A,FTD!C:C)</f>
        <v>1000</v>
      </c>
      <c r="H647" cm="1">
        <f t="array" ref="H647">_xlfn.LET(
  _xlpm.s, TRIM(F647),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7" t="str">
        <f>_xlfn.XLOOKUP(E647,Calendar!C:C,Calendar!B:B)</f>
        <v>Working Day</v>
      </c>
      <c r="M647" s="2">
        <v>46233</v>
      </c>
      <c r="N647" t="s">
        <v>1407</v>
      </c>
      <c r="O647" t="s">
        <v>1789</v>
      </c>
      <c r="P647">
        <v>3</v>
      </c>
      <c r="Q647" t="str">
        <f>_xlfn.XLOOKUP(N647,Attendance!F:F,Attendance!J:J)</f>
        <v>Meta</v>
      </c>
      <c r="R647">
        <f t="shared" si="21"/>
        <v>0</v>
      </c>
    </row>
    <row r="648" spans="1:18" x14ac:dyDescent="0.25">
      <c r="A648" t="s">
        <v>648</v>
      </c>
      <c r="B648" t="s">
        <v>1384</v>
      </c>
      <c r="C648" t="s">
        <v>1403</v>
      </c>
      <c r="D648" s="2">
        <v>46217.607129629629</v>
      </c>
      <c r="E648" s="2">
        <f t="shared" si="20"/>
        <v>46217</v>
      </c>
      <c r="F648" t="s">
        <v>1706</v>
      </c>
      <c r="G648">
        <f>_xlfn.XLOOKUP(A648,FTD!A:A,FTD!C:C)</f>
        <v>1050</v>
      </c>
      <c r="H648" cm="1">
        <f t="array" ref="H648">_xlfn.LET(
  _xlpm.s, TRIM(F648),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48" t="str">
        <f>_xlfn.XLOOKUP(E648,Calendar!C:C,Calendar!B:B)</f>
        <v>Working Day</v>
      </c>
      <c r="M648" s="2">
        <v>46233</v>
      </c>
      <c r="N648" t="s">
        <v>1435</v>
      </c>
      <c r="O648" t="s">
        <v>1789</v>
      </c>
      <c r="P648">
        <v>2</v>
      </c>
      <c r="Q648" t="str">
        <f>_xlfn.XLOOKUP(N648,Attendance!F:F,Attendance!J:J)</f>
        <v>OLD OJT</v>
      </c>
      <c r="R648">
        <f t="shared" si="21"/>
        <v>0</v>
      </c>
    </row>
    <row r="649" spans="1:18" x14ac:dyDescent="0.25">
      <c r="A649" t="s">
        <v>649</v>
      </c>
      <c r="B649" t="s">
        <v>1387</v>
      </c>
      <c r="C649" t="s">
        <v>1405</v>
      </c>
      <c r="D649" s="2">
        <v>46231.391458333332</v>
      </c>
      <c r="E649" s="2">
        <f t="shared" si="20"/>
        <v>46231</v>
      </c>
      <c r="F649" t="s">
        <v>1744</v>
      </c>
      <c r="G649">
        <f>_xlfn.XLOOKUP(A649,FTD!A:A,FTD!C:C)</f>
        <v>4000</v>
      </c>
      <c r="H649" cm="1">
        <f t="array" ref="H649">_xlfn.LET(
  _xlpm.s, TRIM(F649),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49" t="str">
        <f>_xlfn.XLOOKUP(E649,Calendar!C:C,Calendar!B:B)</f>
        <v>Working Day</v>
      </c>
      <c r="M649" s="2">
        <v>46233</v>
      </c>
      <c r="N649" t="s">
        <v>1412</v>
      </c>
      <c r="O649" t="s">
        <v>1789</v>
      </c>
      <c r="P649">
        <v>2</v>
      </c>
      <c r="Q649" t="str">
        <f>_xlfn.XLOOKUP(N649,Attendance!F:F,Attendance!J:J)</f>
        <v>1</v>
      </c>
      <c r="R649">
        <f t="shared" si="21"/>
        <v>0</v>
      </c>
    </row>
    <row r="650" spans="1:18" x14ac:dyDescent="0.25">
      <c r="A650" t="s">
        <v>650</v>
      </c>
      <c r="B650" t="s">
        <v>1387</v>
      </c>
      <c r="C650" t="s">
        <v>1390</v>
      </c>
      <c r="D650" s="2">
        <v>46205.427488425921</v>
      </c>
      <c r="E650" s="2">
        <f t="shared" si="20"/>
        <v>46205</v>
      </c>
      <c r="F650" t="s">
        <v>1739</v>
      </c>
      <c r="G650">
        <f>_xlfn.XLOOKUP(A650,FTD!A:A,FTD!C:C)</f>
        <v>3000</v>
      </c>
      <c r="H650" cm="1">
        <f t="array" ref="H650">_xlfn.LET(
  _xlpm.s, TRIM(F650),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50" t="str">
        <f>_xlfn.XLOOKUP(E650,Calendar!C:C,Calendar!B:B)</f>
        <v>Working Day</v>
      </c>
      <c r="M650" s="2">
        <v>46233</v>
      </c>
      <c r="N650" t="s">
        <v>1406</v>
      </c>
      <c r="O650" t="s">
        <v>1789</v>
      </c>
      <c r="P650">
        <v>1</v>
      </c>
      <c r="Q650" t="str">
        <f>_xlfn.XLOOKUP(N650,Attendance!F:F,Attendance!J:J)</f>
        <v>1</v>
      </c>
      <c r="R650">
        <f t="shared" si="21"/>
        <v>0</v>
      </c>
    </row>
    <row r="651" spans="1:18" x14ac:dyDescent="0.25">
      <c r="A651" t="s">
        <v>651</v>
      </c>
      <c r="B651" t="s">
        <v>1387</v>
      </c>
      <c r="C651" t="s">
        <v>1408</v>
      </c>
      <c r="D651" s="2">
        <v>46208.658645833333</v>
      </c>
      <c r="E651" s="2">
        <f t="shared" si="20"/>
        <v>46208</v>
      </c>
      <c r="F651" t="s">
        <v>1739</v>
      </c>
      <c r="G651">
        <f>_xlfn.XLOOKUP(A651,FTD!A:A,FTD!C:C)</f>
        <v>1000</v>
      </c>
      <c r="H651" cm="1">
        <f t="array" ref="H651">_xlfn.LET(
  _xlpm.s, TRIM(F651),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51" t="str">
        <f>_xlfn.XLOOKUP(E651,Calendar!C:C,Calendar!B:B)</f>
        <v>Sunday</v>
      </c>
      <c r="M651" s="2">
        <v>46233</v>
      </c>
      <c r="N651" t="s">
        <v>1438</v>
      </c>
      <c r="O651" t="s">
        <v>1789</v>
      </c>
      <c r="P651">
        <v>2</v>
      </c>
      <c r="Q651" t="e">
        <f>_xlfn.XLOOKUP(N651,Attendance!F:F,Attendance!J:J)</f>
        <v>#N/A</v>
      </c>
      <c r="R651">
        <f t="shared" si="21"/>
        <v>0</v>
      </c>
    </row>
    <row r="652" spans="1:18" x14ac:dyDescent="0.25">
      <c r="A652" t="s">
        <v>652</v>
      </c>
      <c r="B652" t="s">
        <v>1387</v>
      </c>
      <c r="C652" t="s">
        <v>1392</v>
      </c>
      <c r="D652" s="2">
        <v>46205.777511574073</v>
      </c>
      <c r="E652" s="2">
        <f t="shared" si="20"/>
        <v>46205</v>
      </c>
      <c r="F652" t="s">
        <v>1740</v>
      </c>
      <c r="G652">
        <f>_xlfn.XLOOKUP(A652,FTD!A:A,FTD!C:C)</f>
        <v>12000</v>
      </c>
      <c r="H652" cm="1">
        <f t="array" ref="H652">_xlfn.LET(
  _xlpm.s, TRIM(F652),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52" t="str">
        <f>_xlfn.XLOOKUP(E652,Calendar!C:C,Calendar!B:B)</f>
        <v>Working Day</v>
      </c>
      <c r="M652" s="2">
        <v>46233</v>
      </c>
      <c r="N652" t="s">
        <v>1402</v>
      </c>
      <c r="O652" t="s">
        <v>1789</v>
      </c>
      <c r="P652">
        <v>5</v>
      </c>
      <c r="Q652" t="str">
        <f>_xlfn.XLOOKUP(N652,Attendance!F:F,Attendance!J:J)</f>
        <v>1</v>
      </c>
      <c r="R652">
        <f t="shared" si="21"/>
        <v>0</v>
      </c>
    </row>
    <row r="653" spans="1:18" x14ac:dyDescent="0.25">
      <c r="A653" t="s">
        <v>653</v>
      </c>
      <c r="B653" t="s">
        <v>1387</v>
      </c>
      <c r="C653" t="s">
        <v>1406</v>
      </c>
      <c r="D653" s="2">
        <v>46217.459293981483</v>
      </c>
      <c r="E653" s="2">
        <f t="shared" si="20"/>
        <v>46217</v>
      </c>
      <c r="F653" t="s">
        <v>1738</v>
      </c>
      <c r="G653">
        <f>_xlfn.XLOOKUP(A653,FTD!A:A,FTD!C:C)</f>
        <v>1000</v>
      </c>
      <c r="H653" cm="1">
        <f t="array" ref="H653">_xlfn.LET(
  _xlpm.s, TRIM(F653),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53" t="str">
        <f>_xlfn.XLOOKUP(E653,Calendar!C:C,Calendar!B:B)</f>
        <v>Working Day</v>
      </c>
      <c r="M653" s="2">
        <v>46233</v>
      </c>
      <c r="N653" t="s">
        <v>1425</v>
      </c>
      <c r="O653" t="s">
        <v>1789</v>
      </c>
      <c r="P653">
        <v>2</v>
      </c>
      <c r="Q653" t="str">
        <f>_xlfn.XLOOKUP(N653,Attendance!F:F,Attendance!J:J)</f>
        <v>OJT 1</v>
      </c>
      <c r="R653">
        <f t="shared" si="21"/>
        <v>0</v>
      </c>
    </row>
    <row r="654" spans="1:18" x14ac:dyDescent="0.25">
      <c r="A654" t="s">
        <v>654</v>
      </c>
      <c r="B654" t="s">
        <v>1387</v>
      </c>
      <c r="C654" t="s">
        <v>1412</v>
      </c>
      <c r="D654" s="2">
        <v>46211.535462962958</v>
      </c>
      <c r="E654" s="2">
        <f t="shared" si="20"/>
        <v>46211</v>
      </c>
      <c r="F654" t="s">
        <v>1738</v>
      </c>
      <c r="G654">
        <f>_xlfn.XLOOKUP(A654,FTD!A:A,FTD!C:C)</f>
        <v>14000</v>
      </c>
      <c r="H654" cm="1">
        <f t="array" ref="H654">_xlfn.LET(
  _xlpm.s, TRIM(F654),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54" t="str">
        <f>_xlfn.XLOOKUP(E654,Calendar!C:C,Calendar!B:B)</f>
        <v>Working Day</v>
      </c>
      <c r="M654" s="2">
        <v>46233</v>
      </c>
      <c r="N654" t="s">
        <v>1391</v>
      </c>
      <c r="O654" t="s">
        <v>1789</v>
      </c>
      <c r="P654">
        <v>2</v>
      </c>
      <c r="Q654" t="str">
        <f>_xlfn.XLOOKUP(N654,Attendance!F:F,Attendance!J:J)</f>
        <v>Dialer</v>
      </c>
      <c r="R654">
        <f t="shared" si="21"/>
        <v>0</v>
      </c>
    </row>
    <row r="655" spans="1:18" x14ac:dyDescent="0.25">
      <c r="A655" t="s">
        <v>655</v>
      </c>
      <c r="B655" t="s">
        <v>1387</v>
      </c>
      <c r="C655" t="s">
        <v>1408</v>
      </c>
      <c r="D655" s="2">
        <v>46206.594351851847</v>
      </c>
      <c r="E655" s="2">
        <f t="shared" si="20"/>
        <v>46206</v>
      </c>
      <c r="F655" t="s">
        <v>1738</v>
      </c>
      <c r="G655">
        <f>_xlfn.XLOOKUP(A655,FTD!A:A,FTD!C:C)</f>
        <v>1000</v>
      </c>
      <c r="H655" cm="1">
        <f t="array" ref="H655">_xlfn.LET(
  _xlpm.s, TRIM(F655),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55" t="str">
        <f>_xlfn.XLOOKUP(E655,Calendar!C:C,Calendar!B:B)</f>
        <v>Working Day</v>
      </c>
      <c r="M655" s="2">
        <v>46233</v>
      </c>
      <c r="N655" t="s">
        <v>1390</v>
      </c>
      <c r="O655" t="s">
        <v>1789</v>
      </c>
      <c r="P655">
        <v>1</v>
      </c>
      <c r="Q655" t="str">
        <f>_xlfn.XLOOKUP(N655,Attendance!F:F,Attendance!J:J)</f>
        <v>Meta</v>
      </c>
      <c r="R655">
        <f t="shared" si="21"/>
        <v>0</v>
      </c>
    </row>
    <row r="656" spans="1:18" x14ac:dyDescent="0.25">
      <c r="A656" t="s">
        <v>656</v>
      </c>
      <c r="B656" t="s">
        <v>1387</v>
      </c>
      <c r="C656" t="s">
        <v>1400</v>
      </c>
      <c r="D656" s="2">
        <v>46213.899571759255</v>
      </c>
      <c r="E656" s="2">
        <f t="shared" si="20"/>
        <v>46213</v>
      </c>
      <c r="F656" t="s">
        <v>1739</v>
      </c>
      <c r="G656">
        <f>_xlfn.XLOOKUP(A656,FTD!A:A,FTD!C:C)</f>
        <v>5000</v>
      </c>
      <c r="H656" cm="1">
        <f t="array" ref="H656">_xlfn.LET(
  _xlpm.s, TRIM(F656),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56" t="str">
        <f>_xlfn.XLOOKUP(E656,Calendar!C:C,Calendar!B:B)</f>
        <v>Working Day</v>
      </c>
      <c r="M656" s="2">
        <v>46233</v>
      </c>
      <c r="N656" t="s">
        <v>1392</v>
      </c>
      <c r="O656" t="s">
        <v>1789</v>
      </c>
      <c r="P656">
        <v>3</v>
      </c>
      <c r="Q656" t="str">
        <f>_xlfn.XLOOKUP(N656,Attendance!F:F,Attendance!J:J)</f>
        <v>Telegram</v>
      </c>
      <c r="R656">
        <f t="shared" si="21"/>
        <v>500</v>
      </c>
    </row>
    <row r="657" spans="1:18" x14ac:dyDescent="0.25">
      <c r="A657" t="s">
        <v>657</v>
      </c>
      <c r="B657" t="s">
        <v>1387</v>
      </c>
      <c r="C657" t="s">
        <v>1436</v>
      </c>
      <c r="D657" s="2">
        <v>46211.465046296296</v>
      </c>
      <c r="E657" s="2">
        <f t="shared" si="20"/>
        <v>46211</v>
      </c>
      <c r="F657" t="s">
        <v>1745</v>
      </c>
      <c r="G657">
        <f>_xlfn.XLOOKUP(A657,FTD!A:A,FTD!C:C)</f>
        <v>2000</v>
      </c>
      <c r="H657" cm="1">
        <f t="array" ref="H657">_xlfn.LET(
  _xlpm.s, TRIM(F657),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57" t="str">
        <f>_xlfn.XLOOKUP(E657,Calendar!C:C,Calendar!B:B)</f>
        <v>Working Day</v>
      </c>
      <c r="M657" s="2">
        <v>46233</v>
      </c>
      <c r="N657" t="s">
        <v>1429</v>
      </c>
      <c r="O657" t="s">
        <v>1789</v>
      </c>
      <c r="P657">
        <v>1</v>
      </c>
      <c r="Q657" t="e">
        <f>_xlfn.XLOOKUP(N657,Attendance!F:F,Attendance!J:J)</f>
        <v>#N/A</v>
      </c>
      <c r="R657">
        <f t="shared" si="21"/>
        <v>0</v>
      </c>
    </row>
    <row r="658" spans="1:18" x14ac:dyDescent="0.25">
      <c r="A658" t="s">
        <v>658</v>
      </c>
      <c r="B658" t="s">
        <v>1387</v>
      </c>
      <c r="C658" t="s">
        <v>1430</v>
      </c>
      <c r="D658" s="2">
        <v>46211.759016203701</v>
      </c>
      <c r="E658" s="2">
        <f t="shared" si="20"/>
        <v>46211</v>
      </c>
      <c r="F658" t="s">
        <v>1706</v>
      </c>
      <c r="G658">
        <f>_xlfn.XLOOKUP(A658,FTD!A:A,FTD!C:C)</f>
        <v>4000</v>
      </c>
      <c r="H658" cm="1">
        <f t="array" ref="H658">_xlfn.LET(
  _xlpm.s, TRIM(F658),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58" t="str">
        <f>_xlfn.XLOOKUP(E658,Calendar!C:C,Calendar!B:B)</f>
        <v>Working Day</v>
      </c>
      <c r="M658" s="2">
        <v>46233</v>
      </c>
      <c r="N658" t="s">
        <v>1394</v>
      </c>
      <c r="O658" t="s">
        <v>1789</v>
      </c>
      <c r="P658">
        <v>1</v>
      </c>
      <c r="Q658" t="str">
        <f>_xlfn.XLOOKUP(N658,Attendance!F:F,Attendance!J:J)</f>
        <v>OJT 1</v>
      </c>
      <c r="R658">
        <f t="shared" si="21"/>
        <v>0</v>
      </c>
    </row>
    <row r="659" spans="1:18" x14ac:dyDescent="0.25">
      <c r="A659" t="s">
        <v>659</v>
      </c>
      <c r="B659" t="s">
        <v>1387</v>
      </c>
      <c r="C659" t="s">
        <v>1406</v>
      </c>
      <c r="D659" s="2">
        <v>46231.805358796293</v>
      </c>
      <c r="E659" s="2">
        <f t="shared" si="20"/>
        <v>46231</v>
      </c>
      <c r="F659" t="s">
        <v>1706</v>
      </c>
      <c r="G659">
        <f>_xlfn.XLOOKUP(A659,FTD!A:A,FTD!C:C)</f>
        <v>1000</v>
      </c>
      <c r="H659" cm="1">
        <f t="array" ref="H659">_xlfn.LET(
  _xlpm.s, TRIM(F659),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59" t="str">
        <f>_xlfn.XLOOKUP(E659,Calendar!C:C,Calendar!B:B)</f>
        <v>Working Day</v>
      </c>
      <c r="M659" s="2">
        <v>46233</v>
      </c>
      <c r="N659" t="s">
        <v>1399</v>
      </c>
      <c r="O659" t="s">
        <v>1789</v>
      </c>
      <c r="P659">
        <v>6</v>
      </c>
      <c r="Q659" t="str">
        <f>_xlfn.XLOOKUP(N659,Attendance!F:F,Attendance!J:J)</f>
        <v>1</v>
      </c>
      <c r="R659">
        <f t="shared" si="21"/>
        <v>0</v>
      </c>
    </row>
    <row r="660" spans="1:18" x14ac:dyDescent="0.25">
      <c r="A660" t="s">
        <v>660</v>
      </c>
      <c r="B660" t="s">
        <v>1387</v>
      </c>
      <c r="C660" t="s">
        <v>1398</v>
      </c>
      <c r="D660" s="2">
        <v>46224.791122685187</v>
      </c>
      <c r="E660" s="2">
        <f t="shared" si="20"/>
        <v>46224</v>
      </c>
      <c r="F660" t="s">
        <v>1738</v>
      </c>
      <c r="G660">
        <f>_xlfn.XLOOKUP(A660,FTD!A:A,FTD!C:C)</f>
        <v>5000</v>
      </c>
      <c r="H660" cm="1">
        <f t="array" ref="H660">_xlfn.LET(
  _xlpm.s, TRIM(F660),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0" t="str">
        <f>_xlfn.XLOOKUP(E660,Calendar!C:C,Calendar!B:B)</f>
        <v>Working Day</v>
      </c>
      <c r="M660" s="2">
        <v>46233</v>
      </c>
      <c r="N660" t="s">
        <v>1418</v>
      </c>
      <c r="O660" t="s">
        <v>1789</v>
      </c>
      <c r="P660">
        <v>1</v>
      </c>
      <c r="Q660" t="str">
        <f>_xlfn.XLOOKUP(N660,Attendance!F:F,Attendance!J:J)</f>
        <v>OJT 1</v>
      </c>
      <c r="R660">
        <f t="shared" si="21"/>
        <v>0</v>
      </c>
    </row>
    <row r="661" spans="1:18" x14ac:dyDescent="0.25">
      <c r="A661" t="s">
        <v>661</v>
      </c>
      <c r="B661" t="s">
        <v>1387</v>
      </c>
      <c r="C661" t="s">
        <v>1398</v>
      </c>
      <c r="D661" s="2">
        <v>46219.688402777778</v>
      </c>
      <c r="E661" s="2">
        <f t="shared" si="20"/>
        <v>46219</v>
      </c>
      <c r="F661" t="s">
        <v>1739</v>
      </c>
      <c r="G661">
        <f>_xlfn.XLOOKUP(A661,FTD!A:A,FTD!C:C)</f>
        <v>10000</v>
      </c>
      <c r="H661" cm="1">
        <f t="array" ref="H661">_xlfn.LET(
  _xlpm.s, TRIM(F661),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61" t="str">
        <f>_xlfn.XLOOKUP(E661,Calendar!C:C,Calendar!B:B)</f>
        <v>Working Day</v>
      </c>
      <c r="M661" s="2">
        <v>46233</v>
      </c>
      <c r="N661" t="s">
        <v>1408</v>
      </c>
      <c r="O661" t="s">
        <v>1789</v>
      </c>
      <c r="P661">
        <v>2</v>
      </c>
      <c r="Q661" t="str">
        <f>_xlfn.XLOOKUP(N661,Attendance!F:F,Attendance!J:J)</f>
        <v>1</v>
      </c>
      <c r="R661">
        <f t="shared" si="21"/>
        <v>0</v>
      </c>
    </row>
    <row r="662" spans="1:18" x14ac:dyDescent="0.25">
      <c r="A662" t="s">
        <v>662</v>
      </c>
      <c r="B662" t="s">
        <v>1387</v>
      </c>
      <c r="C662" t="s">
        <v>1399</v>
      </c>
      <c r="D662" s="2">
        <v>46219.498391203699</v>
      </c>
      <c r="E662" s="2">
        <f t="shared" si="20"/>
        <v>46219</v>
      </c>
      <c r="F662" t="s">
        <v>1738</v>
      </c>
      <c r="G662">
        <f>_xlfn.XLOOKUP(A662,FTD!A:A,FTD!C:C)</f>
        <v>20000</v>
      </c>
      <c r="H662" cm="1">
        <f t="array" ref="H662">_xlfn.LET(
  _xlpm.s, TRIM(F662),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2" t="str">
        <f>_xlfn.XLOOKUP(E662,Calendar!C:C,Calendar!B:B)</f>
        <v>Working Day</v>
      </c>
      <c r="M662" s="2">
        <v>46234</v>
      </c>
      <c r="N662" t="s">
        <v>1405</v>
      </c>
      <c r="O662" t="s">
        <v>1789</v>
      </c>
      <c r="P662">
        <v>2</v>
      </c>
      <c r="Q662" t="str">
        <f>_xlfn.XLOOKUP(N662,Attendance!F:F,Attendance!J:J)</f>
        <v>Dialer</v>
      </c>
      <c r="R662">
        <f t="shared" si="21"/>
        <v>0</v>
      </c>
    </row>
    <row r="663" spans="1:18" x14ac:dyDescent="0.25">
      <c r="A663" t="s">
        <v>663</v>
      </c>
      <c r="B663" t="s">
        <v>1387</v>
      </c>
      <c r="C663" t="s">
        <v>1391</v>
      </c>
      <c r="D663" s="2">
        <v>46233.954189814816</v>
      </c>
      <c r="E663" s="2">
        <f t="shared" si="20"/>
        <v>46233</v>
      </c>
      <c r="F663" t="s">
        <v>1738</v>
      </c>
      <c r="G663">
        <f>_xlfn.XLOOKUP(A663,FTD!A:A,FTD!C:C)</f>
        <v>1000</v>
      </c>
      <c r="H663" cm="1">
        <f t="array" ref="H663">_xlfn.LET(
  _xlpm.s, TRIM(F663),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3" t="str">
        <f>_xlfn.XLOOKUP(E663,Calendar!C:C,Calendar!B:B)</f>
        <v>Working Day</v>
      </c>
      <c r="M663" s="2">
        <v>46234</v>
      </c>
      <c r="N663" t="s">
        <v>1403</v>
      </c>
      <c r="O663" t="s">
        <v>1789</v>
      </c>
      <c r="P663">
        <v>1</v>
      </c>
      <c r="Q663" t="str">
        <f>_xlfn.XLOOKUP(N663,Attendance!F:F,Attendance!J:J)</f>
        <v>Meta</v>
      </c>
      <c r="R663">
        <f t="shared" si="21"/>
        <v>0</v>
      </c>
    </row>
    <row r="664" spans="1:18" x14ac:dyDescent="0.25">
      <c r="A664" t="s">
        <v>664</v>
      </c>
      <c r="B664" t="s">
        <v>1387</v>
      </c>
      <c r="C664" t="s">
        <v>1414</v>
      </c>
      <c r="D664" s="2">
        <v>46217.515694444446</v>
      </c>
      <c r="E664" s="2">
        <f t="shared" si="20"/>
        <v>46217</v>
      </c>
      <c r="F664" t="s">
        <v>1741</v>
      </c>
      <c r="G664">
        <f>_xlfn.XLOOKUP(A664,FTD!A:A,FTD!C:C)</f>
        <v>1000</v>
      </c>
      <c r="H664" cm="1">
        <f t="array" ref="H664">_xlfn.LET(
  _xlpm.s, TRIM(F664),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4" t="str">
        <f>_xlfn.XLOOKUP(E664,Calendar!C:C,Calendar!B:B)</f>
        <v>Working Day</v>
      </c>
      <c r="M664" s="2">
        <v>46234</v>
      </c>
      <c r="N664" t="s">
        <v>1436</v>
      </c>
      <c r="O664" t="s">
        <v>1789</v>
      </c>
      <c r="P664">
        <v>1</v>
      </c>
      <c r="Q664" t="str">
        <f>_xlfn.XLOOKUP(N664,Attendance!F:F,Attendance!J:J)</f>
        <v>Telegram</v>
      </c>
      <c r="R664">
        <f t="shared" si="21"/>
        <v>0</v>
      </c>
    </row>
    <row r="665" spans="1:18" x14ac:dyDescent="0.25">
      <c r="A665" t="s">
        <v>665</v>
      </c>
      <c r="B665" t="s">
        <v>1384</v>
      </c>
      <c r="C665" t="s">
        <v>1402</v>
      </c>
      <c r="D665" s="2">
        <v>46209.921631944446</v>
      </c>
      <c r="E665" s="2">
        <f t="shared" si="20"/>
        <v>46209</v>
      </c>
      <c r="F665" t="s">
        <v>1741</v>
      </c>
      <c r="G665">
        <f>_xlfn.XLOOKUP(A665,FTD!A:A,FTD!C:C)</f>
        <v>1000</v>
      </c>
      <c r="H665" cm="1">
        <f t="array" ref="H665">_xlfn.LET(
  _xlpm.s, TRIM(F665),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5" t="str">
        <f>_xlfn.XLOOKUP(E665,Calendar!C:C,Calendar!B:B)</f>
        <v>Working Day</v>
      </c>
      <c r="M665" s="2">
        <v>46234</v>
      </c>
      <c r="N665" t="s">
        <v>1415</v>
      </c>
      <c r="O665" t="s">
        <v>1789</v>
      </c>
      <c r="P665">
        <v>2</v>
      </c>
      <c r="Q665" t="str">
        <f>_xlfn.XLOOKUP(N665,Attendance!F:F,Attendance!J:J)</f>
        <v>Meta</v>
      </c>
      <c r="R665">
        <f t="shared" si="21"/>
        <v>0</v>
      </c>
    </row>
    <row r="666" spans="1:18" x14ac:dyDescent="0.25">
      <c r="A666" t="s">
        <v>666</v>
      </c>
      <c r="B666" t="s">
        <v>1384</v>
      </c>
      <c r="C666" t="s">
        <v>1396</v>
      </c>
      <c r="D666" s="2">
        <v>46231.670405092591</v>
      </c>
      <c r="E666" s="2">
        <f t="shared" si="20"/>
        <v>46231</v>
      </c>
      <c r="F666" t="s">
        <v>1738</v>
      </c>
      <c r="G666">
        <f>_xlfn.XLOOKUP(A666,FTD!A:A,FTD!C:C)</f>
        <v>2000</v>
      </c>
      <c r="H666" cm="1">
        <f t="array" ref="H666">_xlfn.LET(
  _xlpm.s, TRIM(F666),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6" t="str">
        <f>_xlfn.XLOOKUP(E666,Calendar!C:C,Calendar!B:B)</f>
        <v>Working Day</v>
      </c>
      <c r="M666" s="2">
        <v>46234</v>
      </c>
      <c r="N666" t="s">
        <v>1433</v>
      </c>
      <c r="O666" t="s">
        <v>1789</v>
      </c>
      <c r="P666">
        <v>1</v>
      </c>
      <c r="Q666" t="str">
        <f>_xlfn.XLOOKUP(N666,Attendance!F:F,Attendance!J:J)</f>
        <v>Meta</v>
      </c>
      <c r="R666">
        <f t="shared" si="21"/>
        <v>0</v>
      </c>
    </row>
    <row r="667" spans="1:18" x14ac:dyDescent="0.25">
      <c r="A667" t="s">
        <v>667</v>
      </c>
      <c r="B667" t="s">
        <v>1384</v>
      </c>
      <c r="C667" t="s">
        <v>1388</v>
      </c>
      <c r="D667" s="2">
        <v>46226.470416666663</v>
      </c>
      <c r="E667" s="2">
        <f t="shared" si="20"/>
        <v>46226</v>
      </c>
      <c r="F667" t="s">
        <v>1741</v>
      </c>
      <c r="G667">
        <f>_xlfn.XLOOKUP(A667,FTD!A:A,FTD!C:C)</f>
        <v>501</v>
      </c>
      <c r="H667" cm="1">
        <f t="array" ref="H667">_xlfn.LET(
  _xlpm.s, TRIM(F667),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67" t="str">
        <f>_xlfn.XLOOKUP(E667,Calendar!C:C,Calendar!B:B)</f>
        <v>Working Day</v>
      </c>
      <c r="M667" s="2">
        <v>46234</v>
      </c>
      <c r="N667" t="s">
        <v>1398</v>
      </c>
      <c r="O667" t="s">
        <v>1789</v>
      </c>
      <c r="P667">
        <v>1</v>
      </c>
      <c r="Q667" t="str">
        <f>_xlfn.XLOOKUP(N667,Attendance!F:F,Attendance!J:J)</f>
        <v>1</v>
      </c>
      <c r="R667">
        <f t="shared" si="21"/>
        <v>0</v>
      </c>
    </row>
    <row r="668" spans="1:18" x14ac:dyDescent="0.25">
      <c r="A668" t="s">
        <v>668</v>
      </c>
      <c r="B668" t="s">
        <v>1387</v>
      </c>
      <c r="C668" t="s">
        <v>1408</v>
      </c>
      <c r="D668" s="2">
        <v>46213.827604166661</v>
      </c>
      <c r="E668" s="2">
        <f t="shared" si="20"/>
        <v>46213</v>
      </c>
      <c r="F668" t="s">
        <v>1739</v>
      </c>
      <c r="G668">
        <f>_xlfn.XLOOKUP(A668,FTD!A:A,FTD!C:C)</f>
        <v>3000</v>
      </c>
      <c r="H668" cm="1">
        <f t="array" ref="H668">_xlfn.LET(
  _xlpm.s, TRIM(F668),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68" t="str">
        <f>_xlfn.XLOOKUP(E668,Calendar!C:C,Calendar!B:B)</f>
        <v>Working Day</v>
      </c>
      <c r="M668" s="2">
        <v>46234</v>
      </c>
      <c r="N668" t="s">
        <v>1413</v>
      </c>
      <c r="O668" t="s">
        <v>1789</v>
      </c>
      <c r="P668">
        <v>2</v>
      </c>
      <c r="Q668" t="str">
        <f>_xlfn.XLOOKUP(N668,Attendance!F:F,Attendance!J:J)</f>
        <v>Dialer</v>
      </c>
      <c r="R668">
        <f t="shared" si="21"/>
        <v>0</v>
      </c>
    </row>
    <row r="669" spans="1:18" x14ac:dyDescent="0.25">
      <c r="A669" t="s">
        <v>669</v>
      </c>
      <c r="B669" t="s">
        <v>1387</v>
      </c>
      <c r="C669" t="s">
        <v>1394</v>
      </c>
      <c r="D669" s="2">
        <v>46204.490624999999</v>
      </c>
      <c r="E669" s="2">
        <f t="shared" si="20"/>
        <v>46204</v>
      </c>
      <c r="F669" t="s">
        <v>1739</v>
      </c>
      <c r="G669">
        <f>_xlfn.XLOOKUP(A669,FTD!A:A,FTD!C:C)</f>
        <v>1000</v>
      </c>
      <c r="H669" cm="1">
        <f t="array" ref="H669">_xlfn.LET(
  _xlpm.s, TRIM(F669),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69" t="str">
        <f>_xlfn.XLOOKUP(E669,Calendar!C:C,Calendar!B:B)</f>
        <v>Working Day</v>
      </c>
      <c r="M669" s="2">
        <v>46234</v>
      </c>
      <c r="N669" t="s">
        <v>1420</v>
      </c>
      <c r="O669" t="s">
        <v>1789</v>
      </c>
      <c r="P669">
        <v>1</v>
      </c>
      <c r="Q669" t="e">
        <f>_xlfn.XLOOKUP(N669,Attendance!F:F,Attendance!J:J)</f>
        <v>#N/A</v>
      </c>
      <c r="R669">
        <f t="shared" si="21"/>
        <v>0</v>
      </c>
    </row>
    <row r="670" spans="1:18" x14ac:dyDescent="0.25">
      <c r="A670" t="s">
        <v>670</v>
      </c>
      <c r="B670" t="s">
        <v>1387</v>
      </c>
      <c r="C670" t="s">
        <v>1408</v>
      </c>
      <c r="D670" s="2">
        <v>46228.015185185184</v>
      </c>
      <c r="E670" s="2">
        <f t="shared" si="20"/>
        <v>46228</v>
      </c>
      <c r="F670" t="s">
        <v>1738</v>
      </c>
      <c r="G670">
        <f>_xlfn.XLOOKUP(A670,FTD!A:A,FTD!C:C)</f>
        <v>10000</v>
      </c>
      <c r="H670" cm="1">
        <f t="array" ref="H670">_xlfn.LET(
  _xlpm.s, TRIM(F670),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70" t="str">
        <f>_xlfn.XLOOKUP(E670,Calendar!C:C,Calendar!B:B)</f>
        <v>Saturday</v>
      </c>
      <c r="M670" s="2">
        <v>46234</v>
      </c>
      <c r="N670" t="s">
        <v>1389</v>
      </c>
      <c r="O670" t="s">
        <v>1789</v>
      </c>
      <c r="P670">
        <v>1</v>
      </c>
      <c r="Q670" t="str">
        <f>_xlfn.XLOOKUP(N670,Attendance!F:F,Attendance!J:J)</f>
        <v>Meta</v>
      </c>
      <c r="R670">
        <f t="shared" si="21"/>
        <v>0</v>
      </c>
    </row>
    <row r="671" spans="1:18" x14ac:dyDescent="0.25">
      <c r="A671" t="s">
        <v>671</v>
      </c>
      <c r="B671" t="s">
        <v>1387</v>
      </c>
      <c r="C671" t="s">
        <v>1399</v>
      </c>
      <c r="D671" s="2">
        <v>46211.525104166663</v>
      </c>
      <c r="E671" s="2">
        <f t="shared" si="20"/>
        <v>46211</v>
      </c>
      <c r="F671" t="s">
        <v>1739</v>
      </c>
      <c r="G671">
        <f>_xlfn.XLOOKUP(A671,FTD!A:A,FTD!C:C)</f>
        <v>1000</v>
      </c>
      <c r="H671" cm="1">
        <f t="array" ref="H671">_xlfn.LET(
  _xlpm.s, TRIM(F671),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71" t="str">
        <f>_xlfn.XLOOKUP(E671,Calendar!C:C,Calendar!B:B)</f>
        <v>Working Day</v>
      </c>
      <c r="M671" s="2">
        <v>46234</v>
      </c>
      <c r="N671" t="s">
        <v>1416</v>
      </c>
      <c r="O671" t="s">
        <v>1789</v>
      </c>
      <c r="P671">
        <v>2</v>
      </c>
      <c r="Q671" t="str">
        <f>_xlfn.XLOOKUP(N671,Attendance!F:F,Attendance!J:J)</f>
        <v>OJT4</v>
      </c>
      <c r="R671">
        <f t="shared" si="21"/>
        <v>0</v>
      </c>
    </row>
    <row r="672" spans="1:18" x14ac:dyDescent="0.25">
      <c r="A672" t="s">
        <v>672</v>
      </c>
      <c r="B672" t="s">
        <v>1387</v>
      </c>
      <c r="C672" t="s">
        <v>1435</v>
      </c>
      <c r="D672" s="2">
        <v>46233.407372685186</v>
      </c>
      <c r="E672" s="2">
        <f t="shared" si="20"/>
        <v>46233</v>
      </c>
      <c r="F672" t="s">
        <v>1740</v>
      </c>
      <c r="G672">
        <f>_xlfn.XLOOKUP(A672,FTD!A:A,FTD!C:C)</f>
        <v>1000</v>
      </c>
      <c r="H672" cm="1">
        <f t="array" ref="H672">_xlfn.LET(
  _xlpm.s, TRIM(F672),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72" t="str">
        <f>_xlfn.XLOOKUP(E672,Calendar!C:C,Calendar!B:B)</f>
        <v>Working Day</v>
      </c>
      <c r="M672" s="2">
        <v>46234</v>
      </c>
      <c r="N672" t="s">
        <v>1400</v>
      </c>
      <c r="O672" t="s">
        <v>1789</v>
      </c>
      <c r="P672">
        <v>2</v>
      </c>
      <c r="Q672" t="str">
        <f>_xlfn.XLOOKUP(N672,Attendance!F:F,Attendance!J:J)</f>
        <v>Meta</v>
      </c>
      <c r="R672">
        <f t="shared" si="21"/>
        <v>0</v>
      </c>
    </row>
    <row r="673" spans="1:18" x14ac:dyDescent="0.25">
      <c r="A673" t="s">
        <v>673</v>
      </c>
      <c r="B673" t="s">
        <v>1387</v>
      </c>
      <c r="C673" t="s">
        <v>1415</v>
      </c>
      <c r="D673" s="2">
        <v>46212.486331018517</v>
      </c>
      <c r="E673" s="2">
        <f t="shared" si="20"/>
        <v>46212</v>
      </c>
      <c r="F673" t="s">
        <v>1743</v>
      </c>
      <c r="G673">
        <f>_xlfn.XLOOKUP(A673,FTD!A:A,FTD!C:C)</f>
        <v>1000</v>
      </c>
      <c r="H673" cm="1">
        <f t="array" ref="H673">_xlfn.LET(
  _xlpm.s, TRIM(F673),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73" t="str">
        <f>_xlfn.XLOOKUP(E673,Calendar!C:C,Calendar!B:B)</f>
        <v>Working Day</v>
      </c>
      <c r="M673" s="2">
        <v>46234</v>
      </c>
      <c r="N673" t="s">
        <v>1397</v>
      </c>
      <c r="O673" t="s">
        <v>1789</v>
      </c>
      <c r="P673">
        <v>1</v>
      </c>
      <c r="Q673" t="str">
        <f>_xlfn.XLOOKUP(N673,Attendance!F:F,Attendance!J:J)</f>
        <v>Meta</v>
      </c>
      <c r="R673">
        <f t="shared" si="21"/>
        <v>0</v>
      </c>
    </row>
    <row r="674" spans="1:18" x14ac:dyDescent="0.25">
      <c r="A674" t="s">
        <v>674</v>
      </c>
      <c r="B674" t="s">
        <v>1387</v>
      </c>
      <c r="C674" t="s">
        <v>1403</v>
      </c>
      <c r="D674" s="2">
        <v>46230.426273148143</v>
      </c>
      <c r="E674" s="2">
        <f t="shared" si="20"/>
        <v>46230</v>
      </c>
      <c r="F674" t="s">
        <v>1743</v>
      </c>
      <c r="G674">
        <f>_xlfn.XLOOKUP(A674,FTD!A:A,FTD!C:C)</f>
        <v>5000</v>
      </c>
      <c r="H674" cm="1">
        <f t="array" ref="H674">_xlfn.LET(
  _xlpm.s, TRIM(F674),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74" t="str">
        <f>_xlfn.XLOOKUP(E674,Calendar!C:C,Calendar!B:B)</f>
        <v>Working Day</v>
      </c>
      <c r="M674" s="2">
        <v>46234</v>
      </c>
      <c r="N674" t="s">
        <v>1401</v>
      </c>
      <c r="O674" t="s">
        <v>1789</v>
      </c>
      <c r="P674">
        <v>1</v>
      </c>
      <c r="Q674" t="str">
        <f>_xlfn.XLOOKUP(N674,Attendance!F:F,Attendance!J:J)</f>
        <v>OJT 2</v>
      </c>
      <c r="R674">
        <f t="shared" si="21"/>
        <v>0</v>
      </c>
    </row>
    <row r="675" spans="1:18" x14ac:dyDescent="0.25">
      <c r="A675" t="s">
        <v>675</v>
      </c>
      <c r="B675" t="s">
        <v>1387</v>
      </c>
      <c r="C675" t="s">
        <v>1406</v>
      </c>
      <c r="D675" s="2">
        <v>46223.392812499995</v>
      </c>
      <c r="E675" s="2">
        <f t="shared" si="20"/>
        <v>46223</v>
      </c>
      <c r="F675" t="s">
        <v>1738</v>
      </c>
      <c r="G675">
        <f>_xlfn.XLOOKUP(A675,FTD!A:A,FTD!C:C)</f>
        <v>2000</v>
      </c>
      <c r="H675" cm="1">
        <f t="array" ref="H675">_xlfn.LET(
  _xlpm.s, TRIM(F675),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75" t="str">
        <f>_xlfn.XLOOKUP(E675,Calendar!C:C,Calendar!B:B)</f>
        <v>Working Day</v>
      </c>
      <c r="M675" s="2">
        <v>46234</v>
      </c>
      <c r="N675" t="s">
        <v>1395</v>
      </c>
      <c r="O675" t="s">
        <v>1789</v>
      </c>
      <c r="P675">
        <v>1</v>
      </c>
      <c r="Q675" t="str">
        <f>_xlfn.XLOOKUP(N675,Attendance!F:F,Attendance!J:J)</f>
        <v>OJT 1</v>
      </c>
      <c r="R675">
        <f t="shared" si="21"/>
        <v>0</v>
      </c>
    </row>
    <row r="676" spans="1:18" x14ac:dyDescent="0.25">
      <c r="A676" t="s">
        <v>676</v>
      </c>
      <c r="B676" t="s">
        <v>1387</v>
      </c>
      <c r="C676" t="s">
        <v>1402</v>
      </c>
      <c r="D676" s="2">
        <v>46226.386296296296</v>
      </c>
      <c r="E676" s="2">
        <f t="shared" si="20"/>
        <v>46226</v>
      </c>
      <c r="F676" t="s">
        <v>1738</v>
      </c>
      <c r="G676">
        <f>_xlfn.XLOOKUP(A676,FTD!A:A,FTD!C:C)</f>
        <v>21000</v>
      </c>
      <c r="H676" cm="1">
        <f t="array" ref="H676">_xlfn.LET(
  _xlpm.s, TRIM(F676),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76" t="str">
        <f>_xlfn.XLOOKUP(E676,Calendar!C:C,Calendar!B:B)</f>
        <v>Working Day</v>
      </c>
      <c r="M676" s="2">
        <v>46234</v>
      </c>
      <c r="N676" t="s">
        <v>1407</v>
      </c>
      <c r="O676" t="s">
        <v>1789</v>
      </c>
      <c r="P676">
        <v>5</v>
      </c>
      <c r="Q676" t="str">
        <f>_xlfn.XLOOKUP(N676,Attendance!F:F,Attendance!J:J)</f>
        <v>Meta</v>
      </c>
      <c r="R676">
        <f t="shared" si="21"/>
        <v>400</v>
      </c>
    </row>
    <row r="677" spans="1:18" x14ac:dyDescent="0.25">
      <c r="A677" t="s">
        <v>677</v>
      </c>
      <c r="B677" t="s">
        <v>1387</v>
      </c>
      <c r="C677" t="s">
        <v>1405</v>
      </c>
      <c r="D677" s="2">
        <v>46219.601608796293</v>
      </c>
      <c r="E677" s="2">
        <f t="shared" si="20"/>
        <v>46219</v>
      </c>
      <c r="F677" t="s">
        <v>1739</v>
      </c>
      <c r="G677">
        <f>_xlfn.XLOOKUP(A677,FTD!A:A,FTD!C:C)</f>
        <v>5000</v>
      </c>
      <c r="H677" cm="1">
        <f t="array" ref="H677">_xlfn.LET(
  _xlpm.s, TRIM(F677),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77" t="str">
        <f>_xlfn.XLOOKUP(E677,Calendar!C:C,Calendar!B:B)</f>
        <v>Working Day</v>
      </c>
      <c r="M677" s="2">
        <v>46234</v>
      </c>
      <c r="N677" t="s">
        <v>1412</v>
      </c>
      <c r="O677" t="s">
        <v>1789</v>
      </c>
      <c r="P677">
        <v>1</v>
      </c>
      <c r="Q677" t="str">
        <f>_xlfn.XLOOKUP(N677,Attendance!F:F,Attendance!J:J)</f>
        <v>1</v>
      </c>
      <c r="R677">
        <f t="shared" si="21"/>
        <v>0</v>
      </c>
    </row>
    <row r="678" spans="1:18" x14ac:dyDescent="0.25">
      <c r="A678" t="s">
        <v>678</v>
      </c>
      <c r="B678" t="s">
        <v>1384</v>
      </c>
      <c r="C678" t="s">
        <v>1428</v>
      </c>
      <c r="D678" s="2">
        <v>46220.654444444444</v>
      </c>
      <c r="E678" s="2">
        <f t="shared" si="20"/>
        <v>46220</v>
      </c>
      <c r="F678" t="s">
        <v>1740</v>
      </c>
      <c r="G678">
        <f>_xlfn.XLOOKUP(A678,FTD!A:A,FTD!C:C)</f>
        <v>491</v>
      </c>
      <c r="H678" cm="1">
        <f t="array" ref="H678">_xlfn.LET(
  _xlpm.s, TRIM(F678),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78" t="str">
        <f>_xlfn.XLOOKUP(E678,Calendar!C:C,Calendar!B:B)</f>
        <v>Working Day</v>
      </c>
      <c r="M678" s="2">
        <v>46234</v>
      </c>
      <c r="N678" t="s">
        <v>1424</v>
      </c>
      <c r="O678" t="s">
        <v>1789</v>
      </c>
      <c r="P678">
        <v>1</v>
      </c>
      <c r="Q678" t="str">
        <f>_xlfn.XLOOKUP(N678,Attendance!F:F,Attendance!J:J)</f>
        <v>New OJT</v>
      </c>
      <c r="R678">
        <f t="shared" si="21"/>
        <v>0</v>
      </c>
    </row>
    <row r="679" spans="1:18" x14ac:dyDescent="0.25">
      <c r="A679" t="s">
        <v>679</v>
      </c>
      <c r="B679" t="s">
        <v>1384</v>
      </c>
      <c r="C679" t="s">
        <v>1394</v>
      </c>
      <c r="D679" s="2">
        <v>46225.574398148143</v>
      </c>
      <c r="E679" s="2">
        <f t="shared" si="20"/>
        <v>46225</v>
      </c>
      <c r="F679" t="s">
        <v>1739</v>
      </c>
      <c r="G679">
        <f>_xlfn.XLOOKUP(A679,FTD!A:A,FTD!C:C)</f>
        <v>3129</v>
      </c>
      <c r="H679" cm="1">
        <f t="array" ref="H679">_xlfn.LET(
  _xlpm.s, TRIM(F679),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79" t="str">
        <f>_xlfn.XLOOKUP(E679,Calendar!C:C,Calendar!B:B)</f>
        <v>Working Day</v>
      </c>
      <c r="M679" s="2">
        <v>46234</v>
      </c>
      <c r="N679" t="s">
        <v>1406</v>
      </c>
      <c r="O679" t="s">
        <v>1789</v>
      </c>
      <c r="P679">
        <v>2</v>
      </c>
      <c r="Q679" t="str">
        <f>_xlfn.XLOOKUP(N679,Attendance!F:F,Attendance!J:J)</f>
        <v>1</v>
      </c>
      <c r="R679">
        <f t="shared" si="21"/>
        <v>0</v>
      </c>
    </row>
    <row r="680" spans="1:18" x14ac:dyDescent="0.25">
      <c r="A680" t="s">
        <v>680</v>
      </c>
      <c r="B680" t="s">
        <v>1384</v>
      </c>
      <c r="C680" t="s">
        <v>1427</v>
      </c>
      <c r="D680" s="2">
        <v>46234.778090277774</v>
      </c>
      <c r="E680" s="2">
        <f t="shared" si="20"/>
        <v>46234</v>
      </c>
      <c r="F680" t="s">
        <v>1739</v>
      </c>
      <c r="G680">
        <f>_xlfn.XLOOKUP(A680,FTD!A:A,FTD!C:C)</f>
        <v>1500</v>
      </c>
      <c r="H680" cm="1">
        <f t="array" ref="H680">_xlfn.LET(
  _xlpm.s, TRIM(F680),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80" t="str">
        <f>_xlfn.XLOOKUP(E680,Calendar!C:C,Calendar!B:B)</f>
        <v>Working Day</v>
      </c>
      <c r="M680" s="2">
        <v>46234</v>
      </c>
      <c r="N680" t="s">
        <v>1431</v>
      </c>
      <c r="O680" t="s">
        <v>1789</v>
      </c>
      <c r="P680">
        <v>1</v>
      </c>
      <c r="Q680" t="str">
        <f>_xlfn.XLOOKUP(N680,Attendance!F:F,Attendance!J:J)</f>
        <v>Telegram</v>
      </c>
      <c r="R680">
        <f t="shared" si="21"/>
        <v>0</v>
      </c>
    </row>
    <row r="681" spans="1:18" x14ac:dyDescent="0.25">
      <c r="A681" t="s">
        <v>681</v>
      </c>
      <c r="B681" t="s">
        <v>1387</v>
      </c>
      <c r="C681" t="s">
        <v>1400</v>
      </c>
      <c r="D681" s="2">
        <v>46210.81722222222</v>
      </c>
      <c r="E681" s="2">
        <f t="shared" si="20"/>
        <v>46210</v>
      </c>
      <c r="F681" t="s">
        <v>1751</v>
      </c>
      <c r="G681">
        <f>_xlfn.XLOOKUP(A681,FTD!A:A,FTD!C:C)</f>
        <v>1000</v>
      </c>
      <c r="H681" cm="1">
        <f t="array" ref="H681">_xlfn.LET(
  _xlpm.s, TRIM(F681),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81" t="str">
        <f>_xlfn.XLOOKUP(E681,Calendar!C:C,Calendar!B:B)</f>
        <v>Working Day</v>
      </c>
      <c r="M681" s="2">
        <v>46234</v>
      </c>
      <c r="N681" t="s">
        <v>1430</v>
      </c>
      <c r="O681" t="s">
        <v>1789</v>
      </c>
      <c r="P681">
        <v>1</v>
      </c>
      <c r="Q681" t="str">
        <f>_xlfn.XLOOKUP(N681,Attendance!F:F,Attendance!J:J)</f>
        <v>Telegram</v>
      </c>
      <c r="R681">
        <f t="shared" si="21"/>
        <v>0</v>
      </c>
    </row>
    <row r="682" spans="1:18" x14ac:dyDescent="0.25">
      <c r="A682" t="s">
        <v>682</v>
      </c>
      <c r="B682" t="s">
        <v>1387</v>
      </c>
      <c r="C682" t="s">
        <v>1421</v>
      </c>
      <c r="D682" s="2">
        <v>46226.593206018515</v>
      </c>
      <c r="E682" s="2">
        <f t="shared" si="20"/>
        <v>46226</v>
      </c>
      <c r="F682" t="s">
        <v>1740</v>
      </c>
      <c r="G682">
        <f>_xlfn.XLOOKUP(A682,FTD!A:A,FTD!C:C)</f>
        <v>1000</v>
      </c>
      <c r="H682" cm="1">
        <f t="array" ref="H682">_xlfn.LET(
  _xlpm.s, TRIM(F682),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82" t="str">
        <f>_xlfn.XLOOKUP(E682,Calendar!C:C,Calendar!B:B)</f>
        <v>Working Day</v>
      </c>
      <c r="M682" s="2">
        <v>46234</v>
      </c>
      <c r="N682" t="s">
        <v>1402</v>
      </c>
      <c r="O682" t="s">
        <v>1789</v>
      </c>
      <c r="P682">
        <v>4</v>
      </c>
      <c r="Q682" t="str">
        <f>_xlfn.XLOOKUP(N682,Attendance!F:F,Attendance!J:J)</f>
        <v>1</v>
      </c>
      <c r="R682">
        <f t="shared" si="21"/>
        <v>0</v>
      </c>
    </row>
    <row r="683" spans="1:18" x14ac:dyDescent="0.25">
      <c r="A683" t="s">
        <v>683</v>
      </c>
      <c r="B683" t="s">
        <v>1387</v>
      </c>
      <c r="C683" t="s">
        <v>1398</v>
      </c>
      <c r="D683" s="2">
        <v>46232.965162037035</v>
      </c>
      <c r="E683" s="2">
        <f t="shared" si="20"/>
        <v>46232</v>
      </c>
      <c r="F683" t="s">
        <v>1738</v>
      </c>
      <c r="G683">
        <f>_xlfn.XLOOKUP(A683,FTD!A:A,FTD!C:C)</f>
        <v>1000</v>
      </c>
      <c r="H683" cm="1">
        <f t="array" ref="H683">_xlfn.LET(
  _xlpm.s, TRIM(F683),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83" t="str">
        <f>_xlfn.XLOOKUP(E683,Calendar!C:C,Calendar!B:B)</f>
        <v>Working Day</v>
      </c>
      <c r="M683" s="2">
        <v>46234</v>
      </c>
      <c r="N683" t="s">
        <v>1391</v>
      </c>
      <c r="O683" t="s">
        <v>1789</v>
      </c>
      <c r="P683">
        <v>2</v>
      </c>
      <c r="Q683" t="str">
        <f>_xlfn.XLOOKUP(N683,Attendance!F:F,Attendance!J:J)</f>
        <v>Dialer</v>
      </c>
      <c r="R683">
        <f t="shared" si="21"/>
        <v>0</v>
      </c>
    </row>
    <row r="684" spans="1:18" x14ac:dyDescent="0.25">
      <c r="A684" t="s">
        <v>684</v>
      </c>
      <c r="B684" t="s">
        <v>1387</v>
      </c>
      <c r="C684" t="s">
        <v>1398</v>
      </c>
      <c r="D684" s="2">
        <v>46223.540648148148</v>
      </c>
      <c r="E684" s="2">
        <f t="shared" si="20"/>
        <v>46223</v>
      </c>
      <c r="F684" t="s">
        <v>1738</v>
      </c>
      <c r="G684">
        <f>_xlfn.XLOOKUP(A684,FTD!A:A,FTD!C:C)</f>
        <v>10000</v>
      </c>
      <c r="H684" cm="1">
        <f t="array" ref="H684">_xlfn.LET(
  _xlpm.s, TRIM(F684),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84" t="str">
        <f>_xlfn.XLOOKUP(E684,Calendar!C:C,Calendar!B:B)</f>
        <v>Working Day</v>
      </c>
      <c r="M684" s="2">
        <v>46234</v>
      </c>
      <c r="N684" t="s">
        <v>1392</v>
      </c>
      <c r="O684" t="s">
        <v>1789</v>
      </c>
      <c r="P684">
        <v>1</v>
      </c>
      <c r="Q684" t="str">
        <f>_xlfn.XLOOKUP(N684,Attendance!F:F,Attendance!J:J)</f>
        <v>Telegram</v>
      </c>
      <c r="R684">
        <f t="shared" si="21"/>
        <v>0</v>
      </c>
    </row>
    <row r="685" spans="1:18" x14ac:dyDescent="0.25">
      <c r="A685" t="s">
        <v>685</v>
      </c>
      <c r="B685" t="s">
        <v>1387</v>
      </c>
      <c r="C685" t="s">
        <v>1425</v>
      </c>
      <c r="D685" s="2">
        <v>46209.697592592587</v>
      </c>
      <c r="E685" s="2">
        <f t="shared" si="20"/>
        <v>46209</v>
      </c>
      <c r="F685" t="s">
        <v>1739</v>
      </c>
      <c r="G685">
        <f>_xlfn.XLOOKUP(A685,FTD!A:A,FTD!C:C)</f>
        <v>1000</v>
      </c>
      <c r="H685" cm="1">
        <f t="array" ref="H685">_xlfn.LET(
  _xlpm.s, TRIM(F685),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85" t="str">
        <f>_xlfn.XLOOKUP(E685,Calendar!C:C,Calendar!B:B)</f>
        <v>Working Day</v>
      </c>
      <c r="M685" s="2">
        <v>46234</v>
      </c>
      <c r="N685" t="s">
        <v>1394</v>
      </c>
      <c r="O685" t="s">
        <v>1789</v>
      </c>
      <c r="P685">
        <v>1</v>
      </c>
      <c r="Q685" t="str">
        <f>_xlfn.XLOOKUP(N685,Attendance!F:F,Attendance!J:J)</f>
        <v>OJT 1</v>
      </c>
      <c r="R685">
        <f t="shared" si="21"/>
        <v>0</v>
      </c>
    </row>
    <row r="686" spans="1:18" x14ac:dyDescent="0.25">
      <c r="A686" t="s">
        <v>686</v>
      </c>
      <c r="B686" t="s">
        <v>1384</v>
      </c>
      <c r="C686" t="s">
        <v>1427</v>
      </c>
      <c r="D686" s="2">
        <v>46220.779826388884</v>
      </c>
      <c r="E686" s="2">
        <f t="shared" si="20"/>
        <v>46220</v>
      </c>
      <c r="F686" t="s">
        <v>1706</v>
      </c>
      <c r="G686">
        <f>_xlfn.XLOOKUP(A686,FTD!A:A,FTD!C:C)</f>
        <v>512</v>
      </c>
      <c r="H686" cm="1">
        <f t="array" ref="H686">_xlfn.LET(
  _xlpm.s, TRIM(F686),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86" t="str">
        <f>_xlfn.XLOOKUP(E686,Calendar!C:C,Calendar!B:B)</f>
        <v>Working Day</v>
      </c>
      <c r="M686" s="2">
        <v>46234</v>
      </c>
      <c r="N686" t="s">
        <v>1409</v>
      </c>
      <c r="O686" t="s">
        <v>1789</v>
      </c>
      <c r="P686">
        <v>3</v>
      </c>
      <c r="Q686" t="str">
        <f>_xlfn.XLOOKUP(N686,Attendance!F:F,Attendance!J:J)</f>
        <v>Dialer</v>
      </c>
      <c r="R686">
        <f t="shared" si="21"/>
        <v>500</v>
      </c>
    </row>
    <row r="687" spans="1:18" x14ac:dyDescent="0.25">
      <c r="A687" t="s">
        <v>687</v>
      </c>
      <c r="B687" t="s">
        <v>1384</v>
      </c>
      <c r="C687" t="s">
        <v>1388</v>
      </c>
      <c r="D687" s="2">
        <v>46212.807442129626</v>
      </c>
      <c r="E687" s="2">
        <f t="shared" si="20"/>
        <v>46212</v>
      </c>
      <c r="F687" t="s">
        <v>1741</v>
      </c>
      <c r="G687">
        <f>_xlfn.XLOOKUP(A687,FTD!A:A,FTD!C:C)</f>
        <v>1000</v>
      </c>
      <c r="H687" cm="1">
        <f t="array" ref="H687">_xlfn.LET(
  _xlpm.s, TRIM(F687),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87" t="str">
        <f>_xlfn.XLOOKUP(E687,Calendar!C:C,Calendar!B:B)</f>
        <v>Working Day</v>
      </c>
      <c r="M687" s="2">
        <v>46234</v>
      </c>
      <c r="N687" t="s">
        <v>1399</v>
      </c>
      <c r="O687" t="s">
        <v>1789</v>
      </c>
      <c r="P687">
        <v>2</v>
      </c>
      <c r="Q687" t="str">
        <f>_xlfn.XLOOKUP(N687,Attendance!F:F,Attendance!J:J)</f>
        <v>1</v>
      </c>
      <c r="R687">
        <f t="shared" si="21"/>
        <v>0</v>
      </c>
    </row>
    <row r="688" spans="1:18" x14ac:dyDescent="0.25">
      <c r="A688" t="s">
        <v>688</v>
      </c>
      <c r="B688" t="s">
        <v>1384</v>
      </c>
      <c r="C688" t="s">
        <v>1432</v>
      </c>
      <c r="D688" s="2">
        <v>46219.977858796294</v>
      </c>
      <c r="E688" s="2">
        <f t="shared" si="20"/>
        <v>46219</v>
      </c>
      <c r="F688" t="s">
        <v>1706</v>
      </c>
      <c r="G688">
        <f>_xlfn.XLOOKUP(A688,FTD!A:A,FTD!C:C)</f>
        <v>988</v>
      </c>
      <c r="H688" cm="1">
        <f t="array" ref="H688">_xlfn.LET(
  _xlpm.s, TRIM(F688),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688" t="str">
        <f>_xlfn.XLOOKUP(E688,Calendar!C:C,Calendar!B:B)</f>
        <v>Working Day</v>
      </c>
      <c r="M688" s="2">
        <v>46234</v>
      </c>
      <c r="N688" t="s">
        <v>1427</v>
      </c>
      <c r="O688" t="s">
        <v>1789</v>
      </c>
      <c r="P688">
        <v>1</v>
      </c>
      <c r="Q688" t="str">
        <f>_xlfn.XLOOKUP(N688,Attendance!F:F,Attendance!J:J)</f>
        <v>New OJT</v>
      </c>
      <c r="R688">
        <f t="shared" si="21"/>
        <v>0</v>
      </c>
    </row>
    <row r="689" spans="1:18" x14ac:dyDescent="0.25">
      <c r="A689" t="s">
        <v>689</v>
      </c>
      <c r="B689" t="s">
        <v>1387</v>
      </c>
      <c r="C689" t="s">
        <v>1398</v>
      </c>
      <c r="D689" s="2">
        <v>46210.453657407408</v>
      </c>
      <c r="E689" s="2">
        <f t="shared" si="20"/>
        <v>46210</v>
      </c>
      <c r="F689" t="s">
        <v>1738</v>
      </c>
      <c r="G689">
        <f>_xlfn.XLOOKUP(A689,FTD!A:A,FTD!C:C)</f>
        <v>1100</v>
      </c>
      <c r="H689" cm="1">
        <f t="array" ref="H689">_xlfn.LET(
  _xlpm.s, TRIM(F689),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89" t="str">
        <f>_xlfn.XLOOKUP(E689,Calendar!C:C,Calendar!B:B)</f>
        <v>Working Day</v>
      </c>
      <c r="M689" s="2">
        <v>46234</v>
      </c>
      <c r="N689" t="s">
        <v>1418</v>
      </c>
      <c r="O689" t="s">
        <v>1789</v>
      </c>
      <c r="P689">
        <v>1</v>
      </c>
      <c r="Q689" t="str">
        <f>_xlfn.XLOOKUP(N689,Attendance!F:F,Attendance!J:J)</f>
        <v>OJT 1</v>
      </c>
      <c r="R689">
        <f t="shared" si="21"/>
        <v>0</v>
      </c>
    </row>
    <row r="690" spans="1:18" x14ac:dyDescent="0.25">
      <c r="A690" t="s">
        <v>690</v>
      </c>
      <c r="B690" t="s">
        <v>1384</v>
      </c>
      <c r="C690" t="s">
        <v>1438</v>
      </c>
      <c r="D690" s="2">
        <v>46220.78020833333</v>
      </c>
      <c r="E690" s="2">
        <f t="shared" si="20"/>
        <v>46220</v>
      </c>
      <c r="F690" t="s">
        <v>1738</v>
      </c>
      <c r="G690">
        <f>_xlfn.XLOOKUP(A690,FTD!A:A,FTD!C:C)</f>
        <v>50000</v>
      </c>
      <c r="H690" cm="1">
        <f t="array" ref="H690">_xlfn.LET(
  _xlpm.s, TRIM(F690),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0" t="str">
        <f>_xlfn.XLOOKUP(E690,Calendar!C:C,Calendar!B:B)</f>
        <v>Working Day</v>
      </c>
      <c r="M690" s="2">
        <v>46234</v>
      </c>
      <c r="N690" t="s">
        <v>1408</v>
      </c>
      <c r="O690" t="s">
        <v>1789</v>
      </c>
      <c r="P690">
        <v>4</v>
      </c>
      <c r="Q690" t="str">
        <f>_xlfn.XLOOKUP(N690,Attendance!F:F,Attendance!J:J)</f>
        <v>1</v>
      </c>
      <c r="R690">
        <f t="shared" si="21"/>
        <v>300</v>
      </c>
    </row>
    <row r="691" spans="1:18" x14ac:dyDescent="0.25">
      <c r="A691" t="s">
        <v>691</v>
      </c>
      <c r="B691" t="s">
        <v>1384</v>
      </c>
      <c r="C691" t="s">
        <v>1433</v>
      </c>
      <c r="D691" s="2">
        <v>46234.571284722224</v>
      </c>
      <c r="E691" s="2">
        <f t="shared" si="20"/>
        <v>46234</v>
      </c>
      <c r="F691" t="s">
        <v>1741</v>
      </c>
      <c r="G691">
        <f>_xlfn.XLOOKUP(A691,FTD!A:A,FTD!C:C)</f>
        <v>1000</v>
      </c>
      <c r="H691" cm="1">
        <f t="array" ref="H691">_xlfn.LET(
  _xlpm.s, TRIM(F691),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1" t="str">
        <f>_xlfn.XLOOKUP(E691,Calendar!C:C,Calendar!B:B)</f>
        <v>Working Day</v>
      </c>
      <c r="M691" s="2" t="s">
        <v>1788</v>
      </c>
      <c r="P691">
        <v>1382</v>
      </c>
      <c r="Q691" t="e">
        <f>_xlfn.XLOOKUP(N691,Attendance!F:F,Attendance!J:J)</f>
        <v>#N/A</v>
      </c>
      <c r="R691">
        <f t="shared" si="21"/>
        <v>700</v>
      </c>
    </row>
    <row r="692" spans="1:18" x14ac:dyDescent="0.25">
      <c r="A692" t="s">
        <v>692</v>
      </c>
      <c r="B692" t="s">
        <v>1384</v>
      </c>
      <c r="C692" t="s">
        <v>1430</v>
      </c>
      <c r="D692" s="2">
        <v>46220.59469907407</v>
      </c>
      <c r="E692" s="2">
        <f t="shared" si="20"/>
        <v>46220</v>
      </c>
      <c r="F692" t="s">
        <v>1738</v>
      </c>
      <c r="G692">
        <f>_xlfn.XLOOKUP(A692,FTD!A:A,FTD!C:C)</f>
        <v>1500</v>
      </c>
      <c r="H692" cm="1">
        <f t="array" ref="H692">_xlfn.LET(
  _xlpm.s, TRIM(F692),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2" t="str">
        <f>_xlfn.XLOOKUP(E692,Calendar!C:C,Calendar!B:B)</f>
        <v>Working Day</v>
      </c>
    </row>
    <row r="693" spans="1:18" x14ac:dyDescent="0.25">
      <c r="A693" t="s">
        <v>693</v>
      </c>
      <c r="B693" t="s">
        <v>1384</v>
      </c>
      <c r="C693" t="s">
        <v>1413</v>
      </c>
      <c r="D693" s="2">
        <v>46231.40657407407</v>
      </c>
      <c r="E693" s="2">
        <f t="shared" si="20"/>
        <v>46231</v>
      </c>
      <c r="F693" t="s">
        <v>1738</v>
      </c>
      <c r="G693">
        <f>_xlfn.XLOOKUP(A693,FTD!A:A,FTD!C:C)</f>
        <v>2000</v>
      </c>
      <c r="H693" cm="1">
        <f t="array" ref="H693">_xlfn.LET(
  _xlpm.s, TRIM(F693),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3" t="str">
        <f>_xlfn.XLOOKUP(E693,Calendar!C:C,Calendar!B:B)</f>
        <v>Working Day</v>
      </c>
    </row>
    <row r="694" spans="1:18" x14ac:dyDescent="0.25">
      <c r="A694" t="s">
        <v>694</v>
      </c>
      <c r="B694" t="s">
        <v>1386</v>
      </c>
      <c r="C694" t="s">
        <v>1423</v>
      </c>
      <c r="D694" s="2">
        <v>46227.511527777773</v>
      </c>
      <c r="E694" s="2">
        <f t="shared" si="20"/>
        <v>46227</v>
      </c>
      <c r="F694" t="s">
        <v>1739</v>
      </c>
      <c r="G694">
        <f>_xlfn.XLOOKUP(A694,FTD!A:A,FTD!C:C)</f>
        <v>60000</v>
      </c>
      <c r="H694" cm="1">
        <f t="array" ref="H694">_xlfn.LET(
  _xlpm.s, TRIM(F694),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94" t="str">
        <f>_xlfn.XLOOKUP(E694,Calendar!C:C,Calendar!B:B)</f>
        <v>Working Day</v>
      </c>
    </row>
    <row r="695" spans="1:18" x14ac:dyDescent="0.25">
      <c r="A695" t="s">
        <v>695</v>
      </c>
      <c r="B695" t="s">
        <v>1384</v>
      </c>
      <c r="C695" t="s">
        <v>1436</v>
      </c>
      <c r="D695" s="2">
        <v>46211.491064814814</v>
      </c>
      <c r="E695" s="2">
        <f t="shared" si="20"/>
        <v>46211</v>
      </c>
      <c r="F695" t="s">
        <v>1738</v>
      </c>
      <c r="G695">
        <f>_xlfn.XLOOKUP(A695,FTD!A:A,FTD!C:C)</f>
        <v>1154</v>
      </c>
      <c r="H695" cm="1">
        <f t="array" ref="H695">_xlfn.LET(
  _xlpm.s, TRIM(F695),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5" t="str">
        <f>_xlfn.XLOOKUP(E695,Calendar!C:C,Calendar!B:B)</f>
        <v>Working Day</v>
      </c>
    </row>
    <row r="696" spans="1:18" x14ac:dyDescent="0.25">
      <c r="A696" t="s">
        <v>696</v>
      </c>
      <c r="B696" t="s">
        <v>1385</v>
      </c>
      <c r="C696" t="s">
        <v>1408</v>
      </c>
      <c r="D696" s="2">
        <v>46226.79351851852</v>
      </c>
      <c r="E696" s="2">
        <f t="shared" si="20"/>
        <v>46226</v>
      </c>
      <c r="F696" t="s">
        <v>1738</v>
      </c>
      <c r="G696">
        <f>_xlfn.XLOOKUP(A696,FTD!A:A,FTD!C:C)</f>
        <v>1000</v>
      </c>
      <c r="H696" cm="1">
        <f t="array" ref="H696">_xlfn.LET(
  _xlpm.s, TRIM(F696),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6" t="str">
        <f>_xlfn.XLOOKUP(E696,Calendar!C:C,Calendar!B:B)</f>
        <v>Working Day</v>
      </c>
    </row>
    <row r="697" spans="1:18" x14ac:dyDescent="0.25">
      <c r="A697" t="s">
        <v>697</v>
      </c>
      <c r="B697" t="s">
        <v>1384</v>
      </c>
      <c r="C697" t="s">
        <v>1432</v>
      </c>
      <c r="D697" s="2">
        <v>46219.801736111112</v>
      </c>
      <c r="E697" s="2">
        <f t="shared" si="20"/>
        <v>46219</v>
      </c>
      <c r="F697" t="s">
        <v>1740</v>
      </c>
      <c r="G697">
        <f>_xlfn.XLOOKUP(A697,FTD!A:A,FTD!C:C)</f>
        <v>501</v>
      </c>
      <c r="H697" cm="1">
        <f t="array" ref="H697">_xlfn.LET(
  _xlpm.s, TRIM(F697),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697" t="str">
        <f>_xlfn.XLOOKUP(E697,Calendar!C:C,Calendar!B:B)</f>
        <v>Working Day</v>
      </c>
    </row>
    <row r="698" spans="1:18" x14ac:dyDescent="0.25">
      <c r="A698" t="s">
        <v>698</v>
      </c>
      <c r="B698" t="s">
        <v>1384</v>
      </c>
      <c r="C698" t="s">
        <v>1436</v>
      </c>
      <c r="D698" s="2">
        <v>46222.693460648145</v>
      </c>
      <c r="E698" s="2">
        <f t="shared" si="20"/>
        <v>46222</v>
      </c>
      <c r="F698" t="s">
        <v>1738</v>
      </c>
      <c r="G698">
        <f>_xlfn.XLOOKUP(A698,FTD!A:A,FTD!C:C)</f>
        <v>4879</v>
      </c>
      <c r="H698" cm="1">
        <f t="array" ref="H698">_xlfn.LET(
  _xlpm.s, TRIM(F698),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8" t="str">
        <f>_xlfn.XLOOKUP(E698,Calendar!C:C,Calendar!B:B)</f>
        <v>Sunday</v>
      </c>
    </row>
    <row r="699" spans="1:18" x14ac:dyDescent="0.25">
      <c r="A699" t="s">
        <v>699</v>
      </c>
      <c r="B699" t="s">
        <v>1384</v>
      </c>
      <c r="C699" t="s">
        <v>1396</v>
      </c>
      <c r="D699" s="2">
        <v>46206.417766203704</v>
      </c>
      <c r="E699" s="2">
        <f t="shared" si="20"/>
        <v>46206</v>
      </c>
      <c r="F699" t="s">
        <v>1738</v>
      </c>
      <c r="G699">
        <f>_xlfn.XLOOKUP(A699,FTD!A:A,FTD!C:C)</f>
        <v>1000</v>
      </c>
      <c r="H699" cm="1">
        <f t="array" ref="H699">_xlfn.LET(
  _xlpm.s, TRIM(F699),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699" t="str">
        <f>_xlfn.XLOOKUP(E699,Calendar!C:C,Calendar!B:B)</f>
        <v>Working Day</v>
      </c>
    </row>
    <row r="700" spans="1:18" x14ac:dyDescent="0.25">
      <c r="A700" t="s">
        <v>700</v>
      </c>
      <c r="B700" t="s">
        <v>1387</v>
      </c>
      <c r="C700" t="s">
        <v>1403</v>
      </c>
      <c r="D700" s="2">
        <v>46214.844976851848</v>
      </c>
      <c r="E700" s="2">
        <f t="shared" si="20"/>
        <v>46214</v>
      </c>
      <c r="F700" t="s">
        <v>1743</v>
      </c>
      <c r="G700">
        <f>_xlfn.XLOOKUP(A700,FTD!A:A,FTD!C:C)</f>
        <v>1000</v>
      </c>
      <c r="H700" cm="1">
        <f t="array" ref="H700">_xlfn.LET(
  _xlpm.s, TRIM(F700),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0" t="str">
        <f>_xlfn.XLOOKUP(E700,Calendar!C:C,Calendar!B:B)</f>
        <v>Saturday</v>
      </c>
    </row>
    <row r="701" spans="1:18" x14ac:dyDescent="0.25">
      <c r="A701" t="s">
        <v>701</v>
      </c>
      <c r="B701" t="s">
        <v>1387</v>
      </c>
      <c r="C701" t="s">
        <v>1412</v>
      </c>
      <c r="D701" s="2">
        <v>46204.470104166663</v>
      </c>
      <c r="E701" s="2">
        <f t="shared" si="20"/>
        <v>46204</v>
      </c>
      <c r="F701" t="s">
        <v>1738</v>
      </c>
      <c r="G701">
        <f>_xlfn.XLOOKUP(A701,FTD!A:A,FTD!C:C)</f>
        <v>10000</v>
      </c>
      <c r="H701" cm="1">
        <f t="array" ref="H701">_xlfn.LET(
  _xlpm.s, TRIM(F701),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1" t="str">
        <f>_xlfn.XLOOKUP(E701,Calendar!C:C,Calendar!B:B)</f>
        <v>Working Day</v>
      </c>
    </row>
    <row r="702" spans="1:18" x14ac:dyDescent="0.25">
      <c r="A702" t="s">
        <v>702</v>
      </c>
      <c r="B702" t="s">
        <v>1387</v>
      </c>
      <c r="C702" t="s">
        <v>1392</v>
      </c>
      <c r="D702" s="2">
        <v>46204.524189814816</v>
      </c>
      <c r="E702" s="2">
        <f t="shared" si="20"/>
        <v>46204</v>
      </c>
      <c r="F702" t="s">
        <v>1738</v>
      </c>
      <c r="G702">
        <f>_xlfn.XLOOKUP(A702,FTD!A:A,FTD!C:C)</f>
        <v>1000</v>
      </c>
      <c r="H702" cm="1">
        <f t="array" ref="H702">_xlfn.LET(
  _xlpm.s, TRIM(F702),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2" t="str">
        <f>_xlfn.XLOOKUP(E702,Calendar!C:C,Calendar!B:B)</f>
        <v>Working Day</v>
      </c>
    </row>
    <row r="703" spans="1:18" x14ac:dyDescent="0.25">
      <c r="A703" t="s">
        <v>703</v>
      </c>
      <c r="B703" t="s">
        <v>1387</v>
      </c>
      <c r="C703" t="s">
        <v>1406</v>
      </c>
      <c r="D703" s="2">
        <v>46212.431018518517</v>
      </c>
      <c r="E703" s="2">
        <f t="shared" si="20"/>
        <v>46212</v>
      </c>
      <c r="F703" t="s">
        <v>1746</v>
      </c>
      <c r="G703">
        <f>_xlfn.XLOOKUP(A703,FTD!A:A,FTD!C:C)</f>
        <v>1000</v>
      </c>
      <c r="H703" cm="1">
        <f t="array" ref="H703">_xlfn.LET(
  _xlpm.s, TRIM(F703),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03" t="str">
        <f>_xlfn.XLOOKUP(E703,Calendar!C:C,Calendar!B:B)</f>
        <v>Working Day</v>
      </c>
    </row>
    <row r="704" spans="1:18" x14ac:dyDescent="0.25">
      <c r="A704" t="s">
        <v>704</v>
      </c>
      <c r="B704" t="s">
        <v>1387</v>
      </c>
      <c r="C704" t="s">
        <v>1392</v>
      </c>
      <c r="D704" s="2">
        <v>46216.462951388887</v>
      </c>
      <c r="E704" s="2">
        <f t="shared" si="20"/>
        <v>46216</v>
      </c>
      <c r="F704" t="s">
        <v>1743</v>
      </c>
      <c r="G704">
        <f>_xlfn.XLOOKUP(A704,FTD!A:A,FTD!C:C)</f>
        <v>1800</v>
      </c>
      <c r="H704" cm="1">
        <f t="array" ref="H704">_xlfn.LET(
  _xlpm.s, TRIM(F704),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4" t="str">
        <f>_xlfn.XLOOKUP(E704,Calendar!C:C,Calendar!B:B)</f>
        <v>Working Day</v>
      </c>
    </row>
    <row r="705" spans="1:9" x14ac:dyDescent="0.25">
      <c r="A705" t="s">
        <v>705</v>
      </c>
      <c r="B705" t="s">
        <v>1387</v>
      </c>
      <c r="C705" t="s">
        <v>1388</v>
      </c>
      <c r="D705" s="2">
        <v>46210.582384259258</v>
      </c>
      <c r="E705" s="2">
        <f t="shared" si="20"/>
        <v>46210</v>
      </c>
      <c r="F705" t="s">
        <v>1738</v>
      </c>
      <c r="G705">
        <f>_xlfn.XLOOKUP(A705,FTD!A:A,FTD!C:C)</f>
        <v>1000</v>
      </c>
      <c r="H705" cm="1">
        <f t="array" ref="H705">_xlfn.LET(
  _xlpm.s, TRIM(F705),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5" t="str">
        <f>_xlfn.XLOOKUP(E705,Calendar!C:C,Calendar!B:B)</f>
        <v>Working Day</v>
      </c>
    </row>
    <row r="706" spans="1:9" x14ac:dyDescent="0.25">
      <c r="A706" t="s">
        <v>706</v>
      </c>
      <c r="B706" t="s">
        <v>1387</v>
      </c>
      <c r="C706" t="s">
        <v>1400</v>
      </c>
      <c r="D706" s="2">
        <v>46206.572766203702</v>
      </c>
      <c r="E706" s="2">
        <f t="shared" si="20"/>
        <v>46206</v>
      </c>
      <c r="F706" t="s">
        <v>1747</v>
      </c>
      <c r="G706">
        <f>_xlfn.XLOOKUP(A706,FTD!A:A,FTD!C:C)</f>
        <v>1000</v>
      </c>
      <c r="H706" cm="1">
        <f t="array" ref="H706">_xlfn.LET(
  _xlpm.s, TRIM(F706),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06" t="str">
        <f>_xlfn.XLOOKUP(E706,Calendar!C:C,Calendar!B:B)</f>
        <v>Working Day</v>
      </c>
    </row>
    <row r="707" spans="1:9" x14ac:dyDescent="0.25">
      <c r="A707" t="s">
        <v>707</v>
      </c>
      <c r="B707" t="s">
        <v>1387</v>
      </c>
      <c r="C707" t="s">
        <v>1399</v>
      </c>
      <c r="D707" s="2">
        <v>46230.761944444443</v>
      </c>
      <c r="E707" s="2">
        <f t="shared" ref="E707:E770" si="22">INT(D707)</f>
        <v>46230</v>
      </c>
      <c r="F707" t="s">
        <v>1738</v>
      </c>
      <c r="G707">
        <f>_xlfn.XLOOKUP(A707,FTD!A:A,FTD!C:C)</f>
        <v>40000</v>
      </c>
      <c r="H707" cm="1">
        <f t="array" ref="H707">_xlfn.LET(
  _xlpm.s, TRIM(F707),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7" t="str">
        <f>_xlfn.XLOOKUP(E707,Calendar!C:C,Calendar!B:B)</f>
        <v>Working Day</v>
      </c>
    </row>
    <row r="708" spans="1:9" x14ac:dyDescent="0.25">
      <c r="A708" t="s">
        <v>708</v>
      </c>
      <c r="B708" t="s">
        <v>1387</v>
      </c>
      <c r="C708" t="s">
        <v>1389</v>
      </c>
      <c r="D708" s="2">
        <v>46231.585856481477</v>
      </c>
      <c r="E708" s="2">
        <f t="shared" si="22"/>
        <v>46231</v>
      </c>
      <c r="F708" t="s">
        <v>1743</v>
      </c>
      <c r="G708">
        <f>_xlfn.XLOOKUP(A708,FTD!A:A,FTD!C:C)</f>
        <v>1000</v>
      </c>
      <c r="H708" cm="1">
        <f t="array" ref="H708">_xlfn.LET(
  _xlpm.s, TRIM(F708),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08" t="str">
        <f>_xlfn.XLOOKUP(E708,Calendar!C:C,Calendar!B:B)</f>
        <v>Working Day</v>
      </c>
    </row>
    <row r="709" spans="1:9" x14ac:dyDescent="0.25">
      <c r="A709" t="s">
        <v>709</v>
      </c>
      <c r="B709" t="s">
        <v>1387</v>
      </c>
      <c r="C709" t="s">
        <v>1397</v>
      </c>
      <c r="D709" s="2">
        <v>46231.466990740737</v>
      </c>
      <c r="E709" s="2">
        <f t="shared" si="22"/>
        <v>46231</v>
      </c>
      <c r="F709" t="s">
        <v>1739</v>
      </c>
      <c r="G709">
        <f>_xlfn.XLOOKUP(A709,FTD!A:A,FTD!C:C)</f>
        <v>3000</v>
      </c>
      <c r="H709" cm="1">
        <f t="array" ref="H709">_xlfn.LET(
  _xlpm.s, TRIM(F709),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09" t="str">
        <f>_xlfn.XLOOKUP(E709,Calendar!C:C,Calendar!B:B)</f>
        <v>Working Day</v>
      </c>
    </row>
    <row r="710" spans="1:9" x14ac:dyDescent="0.25">
      <c r="A710" t="s">
        <v>710</v>
      </c>
      <c r="B710" t="s">
        <v>1387</v>
      </c>
      <c r="C710" t="s">
        <v>1396</v>
      </c>
      <c r="D710" s="2">
        <v>46211.618437500001</v>
      </c>
      <c r="E710" s="2">
        <f t="shared" si="22"/>
        <v>46211</v>
      </c>
      <c r="F710" t="s">
        <v>1739</v>
      </c>
      <c r="G710">
        <f>_xlfn.XLOOKUP(A710,FTD!A:A,FTD!C:C)</f>
        <v>6500</v>
      </c>
      <c r="H710" cm="1">
        <f t="array" ref="H710">_xlfn.LET(
  _xlpm.s, TRIM(F710),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10" t="str">
        <f>_xlfn.XLOOKUP(E710,Calendar!C:C,Calendar!B:B)</f>
        <v>Working Day</v>
      </c>
    </row>
    <row r="711" spans="1:9" x14ac:dyDescent="0.25">
      <c r="A711" t="s">
        <v>711</v>
      </c>
      <c r="B711" t="s">
        <v>1387</v>
      </c>
      <c r="C711" t="s">
        <v>1402</v>
      </c>
      <c r="D711" s="2">
        <v>46231.427314814813</v>
      </c>
      <c r="E711" s="2">
        <f t="shared" si="22"/>
        <v>46231</v>
      </c>
      <c r="F711" t="s">
        <v>1738</v>
      </c>
      <c r="G711">
        <f>_xlfn.XLOOKUP(A711,FTD!A:A,FTD!C:C)</f>
        <v>5000</v>
      </c>
      <c r="H711" cm="1">
        <f t="array" ref="H711">_xlfn.LET(
  _xlpm.s, TRIM(F711),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1" t="str">
        <f>_xlfn.XLOOKUP(E711,Calendar!C:C,Calendar!B:B)</f>
        <v>Working Day</v>
      </c>
    </row>
    <row r="712" spans="1:9" x14ac:dyDescent="0.25">
      <c r="A712" t="s">
        <v>712</v>
      </c>
      <c r="B712" t="s">
        <v>1387</v>
      </c>
      <c r="C712" t="s">
        <v>1399</v>
      </c>
      <c r="D712" s="2">
        <v>46225.462152777778</v>
      </c>
      <c r="E712" s="2">
        <f t="shared" si="22"/>
        <v>46225</v>
      </c>
      <c r="F712" t="s">
        <v>1741</v>
      </c>
      <c r="G712">
        <f>_xlfn.XLOOKUP(A712,FTD!A:A,FTD!C:C)</f>
        <v>1000</v>
      </c>
      <c r="H712" cm="1">
        <f t="array" ref="H712">_xlfn.LET(
  _xlpm.s, TRIM(F712),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2" t="str">
        <f>_xlfn.XLOOKUP(E712,Calendar!C:C,Calendar!B:B)</f>
        <v>Working Day</v>
      </c>
    </row>
    <row r="713" spans="1:9" x14ac:dyDescent="0.25">
      <c r="A713" t="s">
        <v>713</v>
      </c>
      <c r="B713" t="s">
        <v>1387</v>
      </c>
      <c r="C713" t="s">
        <v>1413</v>
      </c>
      <c r="D713" s="2">
        <v>46229.729768518519</v>
      </c>
      <c r="E713" s="2">
        <f t="shared" si="22"/>
        <v>46229</v>
      </c>
      <c r="F713" t="s">
        <v>1738</v>
      </c>
      <c r="G713">
        <f>_xlfn.XLOOKUP(A713,FTD!A:A,FTD!C:C)</f>
        <v>2000</v>
      </c>
      <c r="H713" cm="1">
        <f t="array" ref="H713">_xlfn.LET(
  _xlpm.s, TRIM(F713),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3" t="str">
        <f>_xlfn.XLOOKUP(E713,Calendar!C:C,Calendar!B:B)</f>
        <v>Sunday</v>
      </c>
    </row>
    <row r="714" spans="1:9" x14ac:dyDescent="0.25">
      <c r="A714" t="s">
        <v>714</v>
      </c>
      <c r="B714" t="s">
        <v>1387</v>
      </c>
      <c r="C714" t="s">
        <v>1392</v>
      </c>
      <c r="D714" s="2">
        <v>46211.626168981478</v>
      </c>
      <c r="E714" s="2">
        <f t="shared" si="22"/>
        <v>46211</v>
      </c>
      <c r="F714" t="s">
        <v>1743</v>
      </c>
      <c r="G714">
        <f>_xlfn.XLOOKUP(A714,FTD!A:A,FTD!C:C)</f>
        <v>2000</v>
      </c>
      <c r="H714" cm="1">
        <f t="array" ref="H714">_xlfn.LET(
  _xlpm.s, TRIM(F714),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4" t="str">
        <f>_xlfn.XLOOKUP(E714,Calendar!C:C,Calendar!B:B)</f>
        <v>Working Day</v>
      </c>
    </row>
    <row r="715" spans="1:9" x14ac:dyDescent="0.25">
      <c r="A715" t="s">
        <v>715</v>
      </c>
      <c r="B715" t="s">
        <v>1387</v>
      </c>
      <c r="C715" t="s">
        <v>1398</v>
      </c>
      <c r="D715" s="2">
        <v>46227.804293981477</v>
      </c>
      <c r="E715" s="2">
        <f t="shared" si="22"/>
        <v>46227</v>
      </c>
      <c r="F715" t="s">
        <v>1739</v>
      </c>
      <c r="G715">
        <f>_xlfn.XLOOKUP(A715,FTD!A:A,FTD!C:C)</f>
        <v>2000</v>
      </c>
      <c r="H715" cm="1">
        <f t="array" ref="H715">_xlfn.LET(
  _xlpm.s, TRIM(F715),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15" t="str">
        <f>_xlfn.XLOOKUP(E715,Calendar!C:C,Calendar!B:B)</f>
        <v>Working Day</v>
      </c>
    </row>
    <row r="716" spans="1:9" x14ac:dyDescent="0.25">
      <c r="A716" t="s">
        <v>716</v>
      </c>
      <c r="B716" t="s">
        <v>1387</v>
      </c>
      <c r="C716" t="s">
        <v>1398</v>
      </c>
      <c r="D716" s="2">
        <v>46209.883738425924</v>
      </c>
      <c r="E716" s="2">
        <f t="shared" si="22"/>
        <v>46209</v>
      </c>
      <c r="F716" t="s">
        <v>1738</v>
      </c>
      <c r="G716">
        <f>_xlfn.XLOOKUP(A716,FTD!A:A,FTD!C:C)</f>
        <v>5199</v>
      </c>
      <c r="H716" cm="1">
        <f t="array" ref="H716">_xlfn.LET(
  _xlpm.s, TRIM(F716),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6" t="str">
        <f>_xlfn.XLOOKUP(E716,Calendar!C:C,Calendar!B:B)</f>
        <v>Working Day</v>
      </c>
    </row>
    <row r="717" spans="1:9" x14ac:dyDescent="0.25">
      <c r="A717" t="s">
        <v>717</v>
      </c>
      <c r="B717" t="s">
        <v>1387</v>
      </c>
      <c r="C717" t="s">
        <v>1402</v>
      </c>
      <c r="D717" s="2">
        <v>46218.527615740742</v>
      </c>
      <c r="E717" s="2">
        <f t="shared" si="22"/>
        <v>46218</v>
      </c>
      <c r="F717" t="s">
        <v>1738</v>
      </c>
      <c r="G717">
        <f>_xlfn.XLOOKUP(A717,FTD!A:A,FTD!C:C)</f>
        <v>1050</v>
      </c>
      <c r="H717" cm="1">
        <f t="array" ref="H717">_xlfn.LET(
  _xlpm.s, TRIM(F717),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7" t="str">
        <f>_xlfn.XLOOKUP(E717,Calendar!C:C,Calendar!B:B)</f>
        <v>Working Day</v>
      </c>
    </row>
    <row r="718" spans="1:9" x14ac:dyDescent="0.25">
      <c r="A718" t="s">
        <v>718</v>
      </c>
      <c r="B718" t="s">
        <v>1387</v>
      </c>
      <c r="C718" t="s">
        <v>1411</v>
      </c>
      <c r="D718" s="2">
        <v>46231.674884259257</v>
      </c>
      <c r="E718" s="2">
        <f t="shared" si="22"/>
        <v>46231</v>
      </c>
      <c r="F718" t="s">
        <v>1754</v>
      </c>
      <c r="G718">
        <f>_xlfn.XLOOKUP(A718,FTD!A:A,FTD!C:C)</f>
        <v>1000</v>
      </c>
      <c r="H718" cm="1">
        <f t="array" ref="H718">_xlfn.LET(
  _xlpm.s, TRIM(F718),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18" t="str">
        <f>_xlfn.XLOOKUP(E718,Calendar!C:C,Calendar!B:B)</f>
        <v>Working Day</v>
      </c>
    </row>
    <row r="719" spans="1:9" x14ac:dyDescent="0.25">
      <c r="A719" t="s">
        <v>719</v>
      </c>
      <c r="B719" t="s">
        <v>1387</v>
      </c>
      <c r="C719" t="s">
        <v>1399</v>
      </c>
      <c r="D719" s="2">
        <v>46218.470138888886</v>
      </c>
      <c r="E719" s="2">
        <f t="shared" si="22"/>
        <v>46218</v>
      </c>
      <c r="F719" t="s">
        <v>1738</v>
      </c>
      <c r="G719">
        <f>_xlfn.XLOOKUP(A719,FTD!A:A,FTD!C:C)</f>
        <v>3000</v>
      </c>
      <c r="H719" cm="1">
        <f t="array" ref="H719">_xlfn.LET(
  _xlpm.s, TRIM(F719),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19" t="str">
        <f>_xlfn.XLOOKUP(E719,Calendar!C:C,Calendar!B:B)</f>
        <v>Working Day</v>
      </c>
    </row>
    <row r="720" spans="1:9" x14ac:dyDescent="0.25">
      <c r="A720" t="s">
        <v>720</v>
      </c>
      <c r="B720" t="s">
        <v>1387</v>
      </c>
      <c r="C720" t="s">
        <v>1401</v>
      </c>
      <c r="D720" s="2">
        <v>46216.675023148149</v>
      </c>
      <c r="E720" s="2">
        <f t="shared" si="22"/>
        <v>46216</v>
      </c>
      <c r="F720" t="s">
        <v>1744</v>
      </c>
      <c r="G720">
        <f>_xlfn.XLOOKUP(A720,FTD!A:A,FTD!C:C)</f>
        <v>1000</v>
      </c>
      <c r="H720" cm="1">
        <f t="array" ref="H720">_xlfn.LET(
  _xlpm.s, TRIM(F720),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0" t="str">
        <f>_xlfn.XLOOKUP(E720,Calendar!C:C,Calendar!B:B)</f>
        <v>Working Day</v>
      </c>
    </row>
    <row r="721" spans="1:9" x14ac:dyDescent="0.25">
      <c r="A721" t="s">
        <v>721</v>
      </c>
      <c r="B721" t="s">
        <v>1387</v>
      </c>
      <c r="C721" t="s">
        <v>1402</v>
      </c>
      <c r="D721" s="2">
        <v>46219.557187499995</v>
      </c>
      <c r="E721" s="2">
        <f t="shared" si="22"/>
        <v>46219</v>
      </c>
      <c r="F721" t="s">
        <v>1738</v>
      </c>
      <c r="G721">
        <f>_xlfn.XLOOKUP(A721,FTD!A:A,FTD!C:C)</f>
        <v>40000</v>
      </c>
      <c r="H721" cm="1">
        <f t="array" ref="H721">_xlfn.LET(
  _xlpm.s, TRIM(F721),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1" t="str">
        <f>_xlfn.XLOOKUP(E721,Calendar!C:C,Calendar!B:B)</f>
        <v>Working Day</v>
      </c>
    </row>
    <row r="722" spans="1:9" x14ac:dyDescent="0.25">
      <c r="A722" t="s">
        <v>722</v>
      </c>
      <c r="B722" t="s">
        <v>1387</v>
      </c>
      <c r="C722" t="s">
        <v>1398</v>
      </c>
      <c r="D722" s="2">
        <v>46218.492905092593</v>
      </c>
      <c r="E722" s="2">
        <f t="shared" si="22"/>
        <v>46218</v>
      </c>
      <c r="F722" t="s">
        <v>1738</v>
      </c>
      <c r="G722">
        <f>_xlfn.XLOOKUP(A722,FTD!A:A,FTD!C:C)</f>
        <v>30000</v>
      </c>
      <c r="H722" cm="1">
        <f t="array" ref="H722">_xlfn.LET(
  _xlpm.s, TRIM(F722),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2" t="str">
        <f>_xlfn.XLOOKUP(E722,Calendar!C:C,Calendar!B:B)</f>
        <v>Working Day</v>
      </c>
    </row>
    <row r="723" spans="1:9" x14ac:dyDescent="0.25">
      <c r="A723" t="s">
        <v>723</v>
      </c>
      <c r="B723" t="s">
        <v>1387</v>
      </c>
      <c r="C723" t="s">
        <v>1389</v>
      </c>
      <c r="D723" s="2">
        <v>46205.420243055552</v>
      </c>
      <c r="E723" s="2">
        <f t="shared" si="22"/>
        <v>46205</v>
      </c>
      <c r="F723" t="s">
        <v>1739</v>
      </c>
      <c r="G723">
        <f>_xlfn.XLOOKUP(A723,FTD!A:A,FTD!C:C)</f>
        <v>1000</v>
      </c>
      <c r="H723" cm="1">
        <f t="array" ref="H723">_xlfn.LET(
  _xlpm.s, TRIM(F723),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23" t="str">
        <f>_xlfn.XLOOKUP(E723,Calendar!C:C,Calendar!B:B)</f>
        <v>Working Day</v>
      </c>
    </row>
    <row r="724" spans="1:9" x14ac:dyDescent="0.25">
      <c r="A724" t="s">
        <v>724</v>
      </c>
      <c r="B724" t="s">
        <v>1387</v>
      </c>
      <c r="C724" t="s">
        <v>1429</v>
      </c>
      <c r="D724" s="2">
        <v>46217.728020833332</v>
      </c>
      <c r="E724" s="2">
        <f t="shared" si="22"/>
        <v>46217</v>
      </c>
      <c r="F724" t="s">
        <v>1739</v>
      </c>
      <c r="G724">
        <f>_xlfn.XLOOKUP(A724,FTD!A:A,FTD!C:C)</f>
        <v>1000</v>
      </c>
      <c r="H724" cm="1">
        <f t="array" ref="H724">_xlfn.LET(
  _xlpm.s, TRIM(F724),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24" t="str">
        <f>_xlfn.XLOOKUP(E724,Calendar!C:C,Calendar!B:B)</f>
        <v>Working Day</v>
      </c>
    </row>
    <row r="725" spans="1:9" x14ac:dyDescent="0.25">
      <c r="A725" t="s">
        <v>725</v>
      </c>
      <c r="B725" t="s">
        <v>1387</v>
      </c>
      <c r="C725" t="s">
        <v>1419</v>
      </c>
      <c r="D725" s="2">
        <v>46210.727430555555</v>
      </c>
      <c r="E725" s="2">
        <f t="shared" si="22"/>
        <v>46210</v>
      </c>
      <c r="F725" t="s">
        <v>1740</v>
      </c>
      <c r="G725">
        <f>_xlfn.XLOOKUP(A725,FTD!A:A,FTD!C:C)</f>
        <v>1000</v>
      </c>
      <c r="H725" cm="1">
        <f t="array" ref="H725">_xlfn.LET(
  _xlpm.s, TRIM(F725),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25" t="str">
        <f>_xlfn.XLOOKUP(E725,Calendar!C:C,Calendar!B:B)</f>
        <v>Working Day</v>
      </c>
    </row>
    <row r="726" spans="1:9" x14ac:dyDescent="0.25">
      <c r="A726" t="s">
        <v>726</v>
      </c>
      <c r="B726" t="s">
        <v>1387</v>
      </c>
      <c r="C726" t="s">
        <v>1398</v>
      </c>
      <c r="D726" s="2">
        <v>46217.3905787037</v>
      </c>
      <c r="E726" s="2">
        <f t="shared" si="22"/>
        <v>46217</v>
      </c>
      <c r="F726" t="s">
        <v>1738</v>
      </c>
      <c r="G726">
        <f>_xlfn.XLOOKUP(A726,FTD!A:A,FTD!C:C)</f>
        <v>3000</v>
      </c>
      <c r="H726" cm="1">
        <f t="array" ref="H726">_xlfn.LET(
  _xlpm.s, TRIM(F726),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6" t="str">
        <f>_xlfn.XLOOKUP(E726,Calendar!C:C,Calendar!B:B)</f>
        <v>Working Day</v>
      </c>
    </row>
    <row r="727" spans="1:9" x14ac:dyDescent="0.25">
      <c r="A727" t="s">
        <v>727</v>
      </c>
      <c r="B727" t="s">
        <v>1387</v>
      </c>
      <c r="C727" t="s">
        <v>1406</v>
      </c>
      <c r="D727" s="2">
        <v>46217.400011574071</v>
      </c>
      <c r="E727" s="2">
        <f t="shared" si="22"/>
        <v>46217</v>
      </c>
      <c r="F727" t="s">
        <v>1738</v>
      </c>
      <c r="G727">
        <f>_xlfn.XLOOKUP(A727,FTD!A:A,FTD!C:C)</f>
        <v>1000</v>
      </c>
      <c r="H727" cm="1">
        <f t="array" ref="H727">_xlfn.LET(
  _xlpm.s, TRIM(F727),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7" t="str">
        <f>_xlfn.XLOOKUP(E727,Calendar!C:C,Calendar!B:B)</f>
        <v>Working Day</v>
      </c>
    </row>
    <row r="728" spans="1:9" x14ac:dyDescent="0.25">
      <c r="A728" t="s">
        <v>728</v>
      </c>
      <c r="B728" t="s">
        <v>1387</v>
      </c>
      <c r="C728" t="s">
        <v>1412</v>
      </c>
      <c r="D728" s="2">
        <v>46225.716319444444</v>
      </c>
      <c r="E728" s="2">
        <f t="shared" si="22"/>
        <v>46225</v>
      </c>
      <c r="F728" t="s">
        <v>1738</v>
      </c>
      <c r="G728">
        <f>_xlfn.XLOOKUP(A728,FTD!A:A,FTD!C:C)</f>
        <v>12000</v>
      </c>
      <c r="H728" cm="1">
        <f t="array" ref="H728">_xlfn.LET(
  _xlpm.s, TRIM(F728),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8" t="str">
        <f>_xlfn.XLOOKUP(E728,Calendar!C:C,Calendar!B:B)</f>
        <v>Working Day</v>
      </c>
    </row>
    <row r="729" spans="1:9" x14ac:dyDescent="0.25">
      <c r="A729" t="s">
        <v>729</v>
      </c>
      <c r="B729" t="s">
        <v>1387</v>
      </c>
      <c r="C729" t="s">
        <v>1403</v>
      </c>
      <c r="D729" s="2">
        <v>46233.598113425927</v>
      </c>
      <c r="E729" s="2">
        <f t="shared" si="22"/>
        <v>46233</v>
      </c>
      <c r="F729" t="s">
        <v>1743</v>
      </c>
      <c r="G729">
        <f>_xlfn.XLOOKUP(A729,FTD!A:A,FTD!C:C)</f>
        <v>1000</v>
      </c>
      <c r="H729" cm="1">
        <f t="array" ref="H729">_xlfn.LET(
  _xlpm.s, TRIM(F729),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29" t="str">
        <f>_xlfn.XLOOKUP(E729,Calendar!C:C,Calendar!B:B)</f>
        <v>Working Day</v>
      </c>
    </row>
    <row r="730" spans="1:9" x14ac:dyDescent="0.25">
      <c r="A730" t="s">
        <v>730</v>
      </c>
      <c r="B730" t="s">
        <v>1387</v>
      </c>
      <c r="C730" t="s">
        <v>1406</v>
      </c>
      <c r="D730" s="2">
        <v>46213.480405092589</v>
      </c>
      <c r="E730" s="2">
        <f t="shared" si="22"/>
        <v>46213</v>
      </c>
      <c r="F730" t="s">
        <v>1741</v>
      </c>
      <c r="G730">
        <f>_xlfn.XLOOKUP(A730,FTD!A:A,FTD!C:C)</f>
        <v>1000</v>
      </c>
      <c r="H730" cm="1">
        <f t="array" ref="H730">_xlfn.LET(
  _xlpm.s, TRIM(F730),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0" t="str">
        <f>_xlfn.XLOOKUP(E730,Calendar!C:C,Calendar!B:B)</f>
        <v>Working Day</v>
      </c>
    </row>
    <row r="731" spans="1:9" x14ac:dyDescent="0.25">
      <c r="A731" t="s">
        <v>731</v>
      </c>
      <c r="B731" t="s">
        <v>1387</v>
      </c>
      <c r="C731" t="s">
        <v>1406</v>
      </c>
      <c r="D731" s="2">
        <v>46223.638391203705</v>
      </c>
      <c r="E731" s="2">
        <f t="shared" si="22"/>
        <v>46223</v>
      </c>
      <c r="F731" t="s">
        <v>1745</v>
      </c>
      <c r="G731">
        <f>_xlfn.XLOOKUP(A731,FTD!A:A,FTD!C:C)</f>
        <v>2000</v>
      </c>
      <c r="H731" cm="1">
        <f t="array" ref="H731">_xlfn.LET(
  _xlpm.s, TRIM(F731),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31" t="str">
        <f>_xlfn.XLOOKUP(E731,Calendar!C:C,Calendar!B:B)</f>
        <v>Working Day</v>
      </c>
    </row>
    <row r="732" spans="1:9" x14ac:dyDescent="0.25">
      <c r="A732" t="s">
        <v>732</v>
      </c>
      <c r="B732" t="s">
        <v>1387</v>
      </c>
      <c r="C732" t="s">
        <v>1399</v>
      </c>
      <c r="D732" s="2">
        <v>46216.147465277776</v>
      </c>
      <c r="E732" s="2">
        <f t="shared" si="22"/>
        <v>46216</v>
      </c>
      <c r="F732" t="s">
        <v>1738</v>
      </c>
      <c r="G732">
        <f>_xlfn.XLOOKUP(A732,FTD!A:A,FTD!C:C)</f>
        <v>4000</v>
      </c>
      <c r="H732" cm="1">
        <f t="array" ref="H732">_xlfn.LET(
  _xlpm.s, TRIM(F732),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2" t="str">
        <f>_xlfn.XLOOKUP(E732,Calendar!C:C,Calendar!B:B)</f>
        <v>Working Day</v>
      </c>
    </row>
    <row r="733" spans="1:9" x14ac:dyDescent="0.25">
      <c r="A733" t="s">
        <v>733</v>
      </c>
      <c r="B733" t="s">
        <v>1387</v>
      </c>
      <c r="C733" t="s">
        <v>1416</v>
      </c>
      <c r="D733" s="2">
        <v>46232.447141203702</v>
      </c>
      <c r="E733" s="2">
        <f t="shared" si="22"/>
        <v>46232</v>
      </c>
      <c r="F733" t="s">
        <v>1738</v>
      </c>
      <c r="G733">
        <f>_xlfn.XLOOKUP(A733,FTD!A:A,FTD!C:C)</f>
        <v>1000</v>
      </c>
      <c r="H733" cm="1">
        <f t="array" ref="H733">_xlfn.LET(
  _xlpm.s, TRIM(F733),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3" t="str">
        <f>_xlfn.XLOOKUP(E733,Calendar!C:C,Calendar!B:B)</f>
        <v>Working Day</v>
      </c>
    </row>
    <row r="734" spans="1:9" x14ac:dyDescent="0.25">
      <c r="A734" t="s">
        <v>734</v>
      </c>
      <c r="B734" t="s">
        <v>1387</v>
      </c>
      <c r="C734" t="s">
        <v>1415</v>
      </c>
      <c r="D734" s="2">
        <v>46234.530347222222</v>
      </c>
      <c r="E734" s="2">
        <f t="shared" si="22"/>
        <v>46234</v>
      </c>
      <c r="F734" t="s">
        <v>1743</v>
      </c>
      <c r="G734">
        <f>_xlfn.XLOOKUP(A734,FTD!A:A,FTD!C:C)</f>
        <v>3000</v>
      </c>
      <c r="H734" cm="1">
        <f t="array" ref="H734">_xlfn.LET(
  _xlpm.s, TRIM(F734),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4" t="str">
        <f>_xlfn.XLOOKUP(E734,Calendar!C:C,Calendar!B:B)</f>
        <v>Working Day</v>
      </c>
    </row>
    <row r="735" spans="1:9" x14ac:dyDescent="0.25">
      <c r="A735" t="s">
        <v>735</v>
      </c>
      <c r="B735" t="s">
        <v>1387</v>
      </c>
      <c r="C735" t="s">
        <v>1406</v>
      </c>
      <c r="D735" s="2">
        <v>46207.876782407402</v>
      </c>
      <c r="E735" s="2">
        <f t="shared" si="22"/>
        <v>46207</v>
      </c>
      <c r="F735" t="s">
        <v>1738</v>
      </c>
      <c r="G735">
        <f>_xlfn.XLOOKUP(A735,FTD!A:A,FTD!C:C)</f>
        <v>3000</v>
      </c>
      <c r="H735" cm="1">
        <f t="array" ref="H735">_xlfn.LET(
  _xlpm.s, TRIM(F735),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5" t="str">
        <f>_xlfn.XLOOKUP(E735,Calendar!C:C,Calendar!B:B)</f>
        <v>Saturday</v>
      </c>
    </row>
    <row r="736" spans="1:9" x14ac:dyDescent="0.25">
      <c r="A736" t="s">
        <v>736</v>
      </c>
      <c r="B736" t="s">
        <v>1387</v>
      </c>
      <c r="C736" t="s">
        <v>1398</v>
      </c>
      <c r="D736" s="2">
        <v>46209.546712962961</v>
      </c>
      <c r="E736" s="2">
        <f t="shared" si="22"/>
        <v>46209</v>
      </c>
      <c r="F736" t="s">
        <v>1738</v>
      </c>
      <c r="G736">
        <f>_xlfn.XLOOKUP(A736,FTD!A:A,FTD!C:C)</f>
        <v>1000</v>
      </c>
      <c r="H736" cm="1">
        <f t="array" ref="H736">_xlfn.LET(
  _xlpm.s, TRIM(F736),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6" t="str">
        <f>_xlfn.XLOOKUP(E736,Calendar!C:C,Calendar!B:B)</f>
        <v>Working Day</v>
      </c>
    </row>
    <row r="737" spans="1:9" x14ac:dyDescent="0.25">
      <c r="A737" t="s">
        <v>737</v>
      </c>
      <c r="B737" t="s">
        <v>1387</v>
      </c>
      <c r="C737" t="s">
        <v>1406</v>
      </c>
      <c r="D737" s="2">
        <v>46207.770104166666</v>
      </c>
      <c r="E737" s="2">
        <f t="shared" si="22"/>
        <v>46207</v>
      </c>
      <c r="F737" t="s">
        <v>1738</v>
      </c>
      <c r="G737">
        <f>_xlfn.XLOOKUP(A737,FTD!A:A,FTD!C:C)</f>
        <v>1000</v>
      </c>
      <c r="H737" cm="1">
        <f t="array" ref="H737">_xlfn.LET(
  _xlpm.s, TRIM(F737),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7" t="str">
        <f>_xlfn.XLOOKUP(E737,Calendar!C:C,Calendar!B:B)</f>
        <v>Saturday</v>
      </c>
    </row>
    <row r="738" spans="1:9" x14ac:dyDescent="0.25">
      <c r="A738" t="s">
        <v>738</v>
      </c>
      <c r="B738" t="s">
        <v>1387</v>
      </c>
      <c r="C738" t="s">
        <v>1412</v>
      </c>
      <c r="D738" s="2">
        <v>46210.576296296291</v>
      </c>
      <c r="E738" s="2">
        <f t="shared" si="22"/>
        <v>46210</v>
      </c>
      <c r="F738" t="s">
        <v>1738</v>
      </c>
      <c r="G738">
        <f>_xlfn.XLOOKUP(A738,FTD!A:A,FTD!C:C)</f>
        <v>1200</v>
      </c>
      <c r="H738" cm="1">
        <f t="array" ref="H738">_xlfn.LET(
  _xlpm.s, TRIM(F738),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8" t="str">
        <f>_xlfn.XLOOKUP(E738,Calendar!C:C,Calendar!B:B)</f>
        <v>Working Day</v>
      </c>
    </row>
    <row r="739" spans="1:9" x14ac:dyDescent="0.25">
      <c r="A739" t="s">
        <v>739</v>
      </c>
      <c r="B739" t="s">
        <v>1387</v>
      </c>
      <c r="C739" t="s">
        <v>1399</v>
      </c>
      <c r="D739" s="2">
        <v>46232.876655092594</v>
      </c>
      <c r="E739" s="2">
        <f t="shared" si="22"/>
        <v>46232</v>
      </c>
      <c r="F739" t="s">
        <v>1738</v>
      </c>
      <c r="G739">
        <f>_xlfn.XLOOKUP(A739,FTD!A:A,FTD!C:C)</f>
        <v>1000</v>
      </c>
      <c r="H739" cm="1">
        <f t="array" ref="H739">_xlfn.LET(
  _xlpm.s, TRIM(F739),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39" t="str">
        <f>_xlfn.XLOOKUP(E739,Calendar!C:C,Calendar!B:B)</f>
        <v>Working Day</v>
      </c>
    </row>
    <row r="740" spans="1:9" x14ac:dyDescent="0.25">
      <c r="A740" t="s">
        <v>740</v>
      </c>
      <c r="B740" t="s">
        <v>1387</v>
      </c>
      <c r="C740" t="s">
        <v>1412</v>
      </c>
      <c r="D740" s="2">
        <v>46212.418796296297</v>
      </c>
      <c r="E740" s="2">
        <f t="shared" si="22"/>
        <v>46212</v>
      </c>
      <c r="F740" t="s">
        <v>1738</v>
      </c>
      <c r="G740">
        <f>_xlfn.XLOOKUP(A740,FTD!A:A,FTD!C:C)</f>
        <v>1000</v>
      </c>
      <c r="H740" cm="1">
        <f t="array" ref="H740">_xlfn.LET(
  _xlpm.s, TRIM(F740),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0" t="str">
        <f>_xlfn.XLOOKUP(E740,Calendar!C:C,Calendar!B:B)</f>
        <v>Working Day</v>
      </c>
    </row>
    <row r="741" spans="1:9" x14ac:dyDescent="0.25">
      <c r="A741" t="s">
        <v>741</v>
      </c>
      <c r="B741" t="s">
        <v>1387</v>
      </c>
      <c r="C741" t="s">
        <v>1399</v>
      </c>
      <c r="D741" s="2">
        <v>46230.458449074074</v>
      </c>
      <c r="E741" s="2">
        <f t="shared" si="22"/>
        <v>46230</v>
      </c>
      <c r="F741" t="s">
        <v>1738</v>
      </c>
      <c r="G741">
        <f>_xlfn.XLOOKUP(A741,FTD!A:A,FTD!C:C)</f>
        <v>1000</v>
      </c>
      <c r="H741" cm="1">
        <f t="array" ref="H741">_xlfn.LET(
  _xlpm.s, TRIM(F741),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1" t="str">
        <f>_xlfn.XLOOKUP(E741,Calendar!C:C,Calendar!B:B)</f>
        <v>Working Day</v>
      </c>
    </row>
    <row r="742" spans="1:9" x14ac:dyDescent="0.25">
      <c r="A742" t="s">
        <v>742</v>
      </c>
      <c r="B742" t="s">
        <v>1387</v>
      </c>
      <c r="C742" t="s">
        <v>1407</v>
      </c>
      <c r="D742" s="2">
        <v>46231.661921296298</v>
      </c>
      <c r="E742" s="2">
        <f t="shared" si="22"/>
        <v>46231</v>
      </c>
      <c r="F742" t="s">
        <v>1739</v>
      </c>
      <c r="G742">
        <f>_xlfn.XLOOKUP(A742,FTD!A:A,FTD!C:C)</f>
        <v>1000</v>
      </c>
      <c r="H742" cm="1">
        <f t="array" ref="H742">_xlfn.LET(
  _xlpm.s, TRIM(F742),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42" t="str">
        <f>_xlfn.XLOOKUP(E742,Calendar!C:C,Calendar!B:B)</f>
        <v>Working Day</v>
      </c>
    </row>
    <row r="743" spans="1:9" x14ac:dyDescent="0.25">
      <c r="A743" t="s">
        <v>743</v>
      </c>
      <c r="B743" t="s">
        <v>1387</v>
      </c>
      <c r="C743" t="s">
        <v>1408</v>
      </c>
      <c r="D743" s="2">
        <v>46217.500474537032</v>
      </c>
      <c r="E743" s="2">
        <f t="shared" si="22"/>
        <v>46217</v>
      </c>
      <c r="F743" t="s">
        <v>1738</v>
      </c>
      <c r="G743">
        <f>_xlfn.XLOOKUP(A743,FTD!A:A,FTD!C:C)</f>
        <v>2000</v>
      </c>
      <c r="H743" cm="1">
        <f t="array" ref="H743">_xlfn.LET(
  _xlpm.s, TRIM(F743),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3" t="str">
        <f>_xlfn.XLOOKUP(E743,Calendar!C:C,Calendar!B:B)</f>
        <v>Working Day</v>
      </c>
    </row>
    <row r="744" spans="1:9" x14ac:dyDescent="0.25">
      <c r="A744" t="s">
        <v>744</v>
      </c>
      <c r="B744" t="s">
        <v>1387</v>
      </c>
      <c r="C744" t="s">
        <v>1397</v>
      </c>
      <c r="D744" s="2">
        <v>46217.568379629629</v>
      </c>
      <c r="E744" s="2">
        <f t="shared" si="22"/>
        <v>46217</v>
      </c>
      <c r="F744" t="s">
        <v>1743</v>
      </c>
      <c r="G744">
        <f>_xlfn.XLOOKUP(A744,FTD!A:A,FTD!C:C)</f>
        <v>1000</v>
      </c>
      <c r="H744" cm="1">
        <f t="array" ref="H744">_xlfn.LET(
  _xlpm.s, TRIM(F744),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4" t="str">
        <f>_xlfn.XLOOKUP(E744,Calendar!C:C,Calendar!B:B)</f>
        <v>Working Day</v>
      </c>
    </row>
    <row r="745" spans="1:9" x14ac:dyDescent="0.25">
      <c r="A745" t="s">
        <v>745</v>
      </c>
      <c r="B745" t="s">
        <v>1387</v>
      </c>
      <c r="C745" t="s">
        <v>1408</v>
      </c>
      <c r="D745" s="2">
        <v>46234.663946759254</v>
      </c>
      <c r="E745" s="2">
        <f t="shared" si="22"/>
        <v>46234</v>
      </c>
      <c r="F745" t="s">
        <v>1739</v>
      </c>
      <c r="G745">
        <f>_xlfn.XLOOKUP(A745,FTD!A:A,FTD!C:C)</f>
        <v>2000</v>
      </c>
      <c r="H745" cm="1">
        <f t="array" ref="H745">_xlfn.LET(
  _xlpm.s, TRIM(F745),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45" t="str">
        <f>_xlfn.XLOOKUP(E745,Calendar!C:C,Calendar!B:B)</f>
        <v>Working Day</v>
      </c>
    </row>
    <row r="746" spans="1:9" x14ac:dyDescent="0.25">
      <c r="A746" t="s">
        <v>746</v>
      </c>
      <c r="B746" t="s">
        <v>1387</v>
      </c>
      <c r="C746" t="s">
        <v>1409</v>
      </c>
      <c r="D746" s="2">
        <v>46226.544016203705</v>
      </c>
      <c r="E746" s="2">
        <f t="shared" si="22"/>
        <v>46226</v>
      </c>
      <c r="F746" t="s">
        <v>1739</v>
      </c>
      <c r="G746">
        <f>_xlfn.XLOOKUP(A746,FTD!A:A,FTD!C:C)</f>
        <v>1000</v>
      </c>
      <c r="H746" cm="1">
        <f t="array" ref="H746">_xlfn.LET(
  _xlpm.s, TRIM(F746),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46" t="str">
        <f>_xlfn.XLOOKUP(E746,Calendar!C:C,Calendar!B:B)</f>
        <v>Working Day</v>
      </c>
    </row>
    <row r="747" spans="1:9" x14ac:dyDescent="0.25">
      <c r="A747" t="s">
        <v>747</v>
      </c>
      <c r="B747" t="s">
        <v>1387</v>
      </c>
      <c r="C747" t="s">
        <v>1417</v>
      </c>
      <c r="D747" s="2">
        <v>46233.803171296291</v>
      </c>
      <c r="E747" s="2">
        <f t="shared" si="22"/>
        <v>46233</v>
      </c>
      <c r="F747" t="s">
        <v>1743</v>
      </c>
      <c r="G747">
        <f>_xlfn.XLOOKUP(A747,FTD!A:A,FTD!C:C)</f>
        <v>1000</v>
      </c>
      <c r="H747" cm="1">
        <f t="array" ref="H747">_xlfn.LET(
  _xlpm.s, TRIM(F747),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7" t="str">
        <f>_xlfn.XLOOKUP(E747,Calendar!C:C,Calendar!B:B)</f>
        <v>Working Day</v>
      </c>
    </row>
    <row r="748" spans="1:9" x14ac:dyDescent="0.25">
      <c r="A748" t="s">
        <v>748</v>
      </c>
      <c r="B748" t="s">
        <v>1387</v>
      </c>
      <c r="C748" t="s">
        <v>1420</v>
      </c>
      <c r="D748" s="2">
        <v>46207.861180555556</v>
      </c>
      <c r="E748" s="2">
        <f t="shared" si="22"/>
        <v>46207</v>
      </c>
      <c r="F748" t="s">
        <v>1743</v>
      </c>
      <c r="G748">
        <f>_xlfn.XLOOKUP(A748,FTD!A:A,FTD!C:C)</f>
        <v>1000</v>
      </c>
      <c r="H748" cm="1">
        <f t="array" ref="H748">_xlfn.LET(
  _xlpm.s, TRIM(F748),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48" t="str">
        <f>_xlfn.XLOOKUP(E748,Calendar!C:C,Calendar!B:B)</f>
        <v>Saturday</v>
      </c>
    </row>
    <row r="749" spans="1:9" x14ac:dyDescent="0.25">
      <c r="A749" t="s">
        <v>749</v>
      </c>
      <c r="B749" t="s">
        <v>1387</v>
      </c>
      <c r="C749" t="s">
        <v>1436</v>
      </c>
      <c r="D749" s="2">
        <v>46209.671354166661</v>
      </c>
      <c r="E749" s="2">
        <f t="shared" si="22"/>
        <v>46209</v>
      </c>
      <c r="F749" t="s">
        <v>1748</v>
      </c>
      <c r="G749">
        <f>_xlfn.XLOOKUP(A749,FTD!A:A,FTD!C:C)</f>
        <v>3001</v>
      </c>
      <c r="H749" cm="1">
        <f t="array" ref="H749">_xlfn.LET(
  _xlpm.s, TRIM(F749),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49" t="str">
        <f>_xlfn.XLOOKUP(E749,Calendar!C:C,Calendar!B:B)</f>
        <v>Working Day</v>
      </c>
    </row>
    <row r="750" spans="1:9" x14ac:dyDescent="0.25">
      <c r="A750" t="s">
        <v>750</v>
      </c>
      <c r="B750" t="s">
        <v>1384</v>
      </c>
      <c r="C750" t="s">
        <v>1420</v>
      </c>
      <c r="D750" s="2">
        <v>46213.403067129628</v>
      </c>
      <c r="E750" s="2">
        <f t="shared" si="22"/>
        <v>46213</v>
      </c>
      <c r="F750" t="s">
        <v>1750</v>
      </c>
      <c r="G750">
        <f>_xlfn.XLOOKUP(A750,FTD!A:A,FTD!C:C)</f>
        <v>2000</v>
      </c>
      <c r="H750" cm="1">
        <f t="array" ref="H750">_xlfn.LET(
  _xlpm.s, TRIM(F750),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50" t="str">
        <f>_xlfn.XLOOKUP(E750,Calendar!C:C,Calendar!B:B)</f>
        <v>Working Day</v>
      </c>
    </row>
    <row r="751" spans="1:9" x14ac:dyDescent="0.25">
      <c r="A751" t="s">
        <v>751</v>
      </c>
      <c r="B751" t="s">
        <v>1384</v>
      </c>
      <c r="C751" t="s">
        <v>1424</v>
      </c>
      <c r="D751" s="2">
        <v>46206.430671296293</v>
      </c>
      <c r="E751" s="2">
        <f t="shared" si="22"/>
        <v>46206</v>
      </c>
      <c r="F751" t="s">
        <v>1738</v>
      </c>
      <c r="G751">
        <f>_xlfn.XLOOKUP(A751,FTD!A:A,FTD!C:C)</f>
        <v>500</v>
      </c>
      <c r="H751" cm="1">
        <f t="array" ref="H751">_xlfn.LET(
  _xlpm.s, TRIM(F751),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1" t="str">
        <f>_xlfn.XLOOKUP(E751,Calendar!C:C,Calendar!B:B)</f>
        <v>Working Day</v>
      </c>
    </row>
    <row r="752" spans="1:9" x14ac:dyDescent="0.25">
      <c r="A752" t="s">
        <v>752</v>
      </c>
      <c r="B752" t="s">
        <v>1384</v>
      </c>
      <c r="C752" t="s">
        <v>1422</v>
      </c>
      <c r="D752" s="2">
        <v>46224.960347222222</v>
      </c>
      <c r="E752" s="2">
        <f t="shared" si="22"/>
        <v>46224</v>
      </c>
      <c r="F752" t="s">
        <v>1738</v>
      </c>
      <c r="G752">
        <f>_xlfn.XLOOKUP(A752,FTD!A:A,FTD!C:C)</f>
        <v>2000</v>
      </c>
      <c r="H752" cm="1">
        <f t="array" ref="H752">_xlfn.LET(
  _xlpm.s, TRIM(F752),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2" t="str">
        <f>_xlfn.XLOOKUP(E752,Calendar!C:C,Calendar!B:B)</f>
        <v>Working Day</v>
      </c>
    </row>
    <row r="753" spans="1:9" x14ac:dyDescent="0.25">
      <c r="A753" t="s">
        <v>753</v>
      </c>
      <c r="B753" t="s">
        <v>1385</v>
      </c>
      <c r="C753" t="s">
        <v>1400</v>
      </c>
      <c r="D753" s="2">
        <v>46233.785671296297</v>
      </c>
      <c r="E753" s="2">
        <f t="shared" si="22"/>
        <v>46233</v>
      </c>
      <c r="F753" t="s">
        <v>1759</v>
      </c>
      <c r="G753">
        <f>_xlfn.XLOOKUP(A753,FTD!A:A,FTD!C:C)</f>
        <v>1000</v>
      </c>
      <c r="H753" cm="1">
        <f t="array" ref="H753">_xlfn.LET(
  _xlpm.s, TRIM(F753),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53" t="str">
        <f>_xlfn.XLOOKUP(E753,Calendar!C:C,Calendar!B:B)</f>
        <v>Working Day</v>
      </c>
    </row>
    <row r="754" spans="1:9" x14ac:dyDescent="0.25">
      <c r="A754" t="s">
        <v>754</v>
      </c>
      <c r="B754" t="s">
        <v>1384</v>
      </c>
      <c r="C754" t="s">
        <v>1427</v>
      </c>
      <c r="D754" s="2">
        <v>46212.603634259256</v>
      </c>
      <c r="E754" s="2">
        <f t="shared" si="22"/>
        <v>46212</v>
      </c>
      <c r="F754" t="s">
        <v>1738</v>
      </c>
      <c r="G754">
        <f>_xlfn.XLOOKUP(A754,FTD!A:A,FTD!C:C)</f>
        <v>1000</v>
      </c>
      <c r="H754" cm="1">
        <f t="array" ref="H754">_xlfn.LET(
  _xlpm.s, TRIM(F754),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4" t="str">
        <f>_xlfn.XLOOKUP(E754,Calendar!C:C,Calendar!B:B)</f>
        <v>Working Day</v>
      </c>
    </row>
    <row r="755" spans="1:9" x14ac:dyDescent="0.25">
      <c r="A755" t="s">
        <v>755</v>
      </c>
      <c r="B755" t="s">
        <v>1387</v>
      </c>
      <c r="C755" t="s">
        <v>1433</v>
      </c>
      <c r="D755" s="2">
        <v>46206.673344907409</v>
      </c>
      <c r="E755" s="2">
        <f t="shared" si="22"/>
        <v>46206</v>
      </c>
      <c r="F755" t="s">
        <v>1743</v>
      </c>
      <c r="G755">
        <f>_xlfn.XLOOKUP(A755,FTD!A:A,FTD!C:C)</f>
        <v>1000</v>
      </c>
      <c r="H755" cm="1">
        <f t="array" ref="H755">_xlfn.LET(
  _xlpm.s, TRIM(F755),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5" t="str">
        <f>_xlfn.XLOOKUP(E755,Calendar!C:C,Calendar!B:B)</f>
        <v>Working Day</v>
      </c>
    </row>
    <row r="756" spans="1:9" x14ac:dyDescent="0.25">
      <c r="A756" t="s">
        <v>756</v>
      </c>
      <c r="B756" t="s">
        <v>1387</v>
      </c>
      <c r="C756" t="s">
        <v>1397</v>
      </c>
      <c r="D756" s="2">
        <v>46207.972962962958</v>
      </c>
      <c r="E756" s="2">
        <f t="shared" si="22"/>
        <v>46207</v>
      </c>
      <c r="F756" t="s">
        <v>1743</v>
      </c>
      <c r="G756">
        <f>_xlfn.XLOOKUP(A756,FTD!A:A,FTD!C:C)</f>
        <v>5000</v>
      </c>
      <c r="H756" cm="1">
        <f t="array" ref="H756">_xlfn.LET(
  _xlpm.s, TRIM(F756),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6" t="str">
        <f>_xlfn.XLOOKUP(E756,Calendar!C:C,Calendar!B:B)</f>
        <v>Saturday</v>
      </c>
    </row>
    <row r="757" spans="1:9" x14ac:dyDescent="0.25">
      <c r="A757" t="s">
        <v>757</v>
      </c>
      <c r="B757" t="s">
        <v>1387</v>
      </c>
      <c r="C757" t="s">
        <v>1418</v>
      </c>
      <c r="D757" s="2">
        <v>46211.639965277776</v>
      </c>
      <c r="E757" s="2">
        <f t="shared" si="22"/>
        <v>46211</v>
      </c>
      <c r="F757" t="s">
        <v>1741</v>
      </c>
      <c r="G757">
        <f>_xlfn.XLOOKUP(A757,FTD!A:A,FTD!C:C)</f>
        <v>1000</v>
      </c>
      <c r="H757" cm="1">
        <f t="array" ref="H757">_xlfn.LET(
  _xlpm.s, TRIM(F757),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7" t="str">
        <f>_xlfn.XLOOKUP(E757,Calendar!C:C,Calendar!B:B)</f>
        <v>Working Day</v>
      </c>
    </row>
    <row r="758" spans="1:9" x14ac:dyDescent="0.25">
      <c r="A758" t="s">
        <v>758</v>
      </c>
      <c r="B758" t="s">
        <v>1387</v>
      </c>
      <c r="C758" t="s">
        <v>1408</v>
      </c>
      <c r="D758" s="2">
        <v>46204.791956018518</v>
      </c>
      <c r="E758" s="2">
        <f t="shared" si="22"/>
        <v>46204</v>
      </c>
      <c r="F758" t="s">
        <v>1739</v>
      </c>
      <c r="G758">
        <f>_xlfn.XLOOKUP(A758,FTD!A:A,FTD!C:C)</f>
        <v>2000</v>
      </c>
      <c r="H758" cm="1">
        <f t="array" ref="H758">_xlfn.LET(
  _xlpm.s, TRIM(F758),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58" t="str">
        <f>_xlfn.XLOOKUP(E758,Calendar!C:C,Calendar!B:B)</f>
        <v>Working Day</v>
      </c>
    </row>
    <row r="759" spans="1:9" x14ac:dyDescent="0.25">
      <c r="A759" t="s">
        <v>759</v>
      </c>
      <c r="B759" t="s">
        <v>1387</v>
      </c>
      <c r="C759" t="s">
        <v>1393</v>
      </c>
      <c r="D759" s="2">
        <v>46212.52743055555</v>
      </c>
      <c r="E759" s="2">
        <f t="shared" si="22"/>
        <v>46212</v>
      </c>
      <c r="F759" t="s">
        <v>1738</v>
      </c>
      <c r="G759">
        <f>_xlfn.XLOOKUP(A759,FTD!A:A,FTD!C:C)</f>
        <v>40000</v>
      </c>
      <c r="H759" cm="1">
        <f t="array" ref="H759">_xlfn.LET(
  _xlpm.s, TRIM(F759),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59" t="str">
        <f>_xlfn.XLOOKUP(E759,Calendar!C:C,Calendar!B:B)</f>
        <v>Working Day</v>
      </c>
    </row>
    <row r="760" spans="1:9" x14ac:dyDescent="0.25">
      <c r="A760" t="s">
        <v>760</v>
      </c>
      <c r="B760" t="s">
        <v>1387</v>
      </c>
      <c r="C760" t="s">
        <v>1403</v>
      </c>
      <c r="D760" s="2">
        <v>46234.753182870365</v>
      </c>
      <c r="E760" s="2">
        <f t="shared" si="22"/>
        <v>46234</v>
      </c>
      <c r="F760" t="s">
        <v>1744</v>
      </c>
      <c r="G760">
        <f>_xlfn.XLOOKUP(A760,FTD!A:A,FTD!C:C)</f>
        <v>1000</v>
      </c>
      <c r="H760" cm="1">
        <f t="array" ref="H760">_xlfn.LET(
  _xlpm.s, TRIM(F760),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0" t="str">
        <f>_xlfn.XLOOKUP(E760,Calendar!C:C,Calendar!B:B)</f>
        <v>Working Day</v>
      </c>
    </row>
    <row r="761" spans="1:9" x14ac:dyDescent="0.25">
      <c r="A761" t="s">
        <v>761</v>
      </c>
      <c r="B761" t="s">
        <v>1387</v>
      </c>
      <c r="C761" t="s">
        <v>1389</v>
      </c>
      <c r="D761" s="2">
        <v>46234.793680555551</v>
      </c>
      <c r="E761" s="2">
        <f t="shared" si="22"/>
        <v>46234</v>
      </c>
      <c r="F761" t="s">
        <v>1738</v>
      </c>
      <c r="G761">
        <f>_xlfn.XLOOKUP(A761,FTD!A:A,FTD!C:C)</f>
        <v>1000</v>
      </c>
      <c r="H761" cm="1">
        <f t="array" ref="H761">_xlfn.LET(
  _xlpm.s, TRIM(F761),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1" t="str">
        <f>_xlfn.XLOOKUP(E761,Calendar!C:C,Calendar!B:B)</f>
        <v>Working Day</v>
      </c>
    </row>
    <row r="762" spans="1:9" x14ac:dyDescent="0.25">
      <c r="A762" t="s">
        <v>762</v>
      </c>
      <c r="B762" t="s">
        <v>1387</v>
      </c>
      <c r="C762" t="s">
        <v>1412</v>
      </c>
      <c r="D762" s="2">
        <v>46224.892754629625</v>
      </c>
      <c r="E762" s="2">
        <f t="shared" si="22"/>
        <v>46224</v>
      </c>
      <c r="F762" t="s">
        <v>1738</v>
      </c>
      <c r="G762">
        <f>_xlfn.XLOOKUP(A762,FTD!A:A,FTD!C:C)</f>
        <v>1000</v>
      </c>
      <c r="H762" cm="1">
        <f t="array" ref="H762">_xlfn.LET(
  _xlpm.s, TRIM(F762),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2" t="str">
        <f>_xlfn.XLOOKUP(E762,Calendar!C:C,Calendar!B:B)</f>
        <v>Working Day</v>
      </c>
    </row>
    <row r="763" spans="1:9" x14ac:dyDescent="0.25">
      <c r="A763" t="s">
        <v>763</v>
      </c>
      <c r="B763" t="s">
        <v>1387</v>
      </c>
      <c r="C763" t="s">
        <v>1391</v>
      </c>
      <c r="D763" s="2">
        <v>46234.388124999998</v>
      </c>
      <c r="E763" s="2">
        <f t="shared" si="22"/>
        <v>46234</v>
      </c>
      <c r="F763" t="s">
        <v>1738</v>
      </c>
      <c r="G763">
        <f>_xlfn.XLOOKUP(A763,FTD!A:A,FTD!C:C)</f>
        <v>1000</v>
      </c>
      <c r="H763" cm="1">
        <f t="array" ref="H763">_xlfn.LET(
  _xlpm.s, TRIM(F763),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3" t="str">
        <f>_xlfn.XLOOKUP(E763,Calendar!C:C,Calendar!B:B)</f>
        <v>Working Day</v>
      </c>
    </row>
    <row r="764" spans="1:9" x14ac:dyDescent="0.25">
      <c r="A764" t="s">
        <v>764</v>
      </c>
      <c r="B764" t="s">
        <v>1387</v>
      </c>
      <c r="C764" t="s">
        <v>1401</v>
      </c>
      <c r="D764" s="2">
        <v>46209.973194444443</v>
      </c>
      <c r="E764" s="2">
        <f t="shared" si="22"/>
        <v>46209</v>
      </c>
      <c r="F764" t="s">
        <v>1739</v>
      </c>
      <c r="G764">
        <f>_xlfn.XLOOKUP(A764,FTD!A:A,FTD!C:C)</f>
        <v>7500</v>
      </c>
      <c r="H764" cm="1">
        <f t="array" ref="H764">_xlfn.LET(
  _xlpm.s, TRIM(F764),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64" t="str">
        <f>_xlfn.XLOOKUP(E764,Calendar!C:C,Calendar!B:B)</f>
        <v>Working Day</v>
      </c>
    </row>
    <row r="765" spans="1:9" x14ac:dyDescent="0.25">
      <c r="A765" t="s">
        <v>765</v>
      </c>
      <c r="B765" t="s">
        <v>1384</v>
      </c>
      <c r="C765" t="s">
        <v>1409</v>
      </c>
      <c r="D765" s="2">
        <v>46205.453182870369</v>
      </c>
      <c r="E765" s="2">
        <f t="shared" si="22"/>
        <v>46205</v>
      </c>
      <c r="F765" t="s">
        <v>1746</v>
      </c>
      <c r="G765">
        <f>_xlfn.XLOOKUP(A765,FTD!A:A,FTD!C:C)</f>
        <v>1048</v>
      </c>
      <c r="H765" cm="1">
        <f t="array" ref="H765">_xlfn.LET(
  _xlpm.s, TRIM(F765),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65" t="str">
        <f>_xlfn.XLOOKUP(E765,Calendar!C:C,Calendar!B:B)</f>
        <v>Working Day</v>
      </c>
    </row>
    <row r="766" spans="1:9" x14ac:dyDescent="0.25">
      <c r="A766" t="s">
        <v>766</v>
      </c>
      <c r="B766" t="s">
        <v>1387</v>
      </c>
      <c r="C766" t="s">
        <v>1415</v>
      </c>
      <c r="D766" s="2">
        <v>46220.757025462961</v>
      </c>
      <c r="E766" s="2">
        <f t="shared" si="22"/>
        <v>46220</v>
      </c>
      <c r="F766" t="s">
        <v>1738</v>
      </c>
      <c r="G766">
        <f>_xlfn.XLOOKUP(A766,FTD!A:A,FTD!C:C)</f>
        <v>2000</v>
      </c>
      <c r="H766" cm="1">
        <f t="array" ref="H766">_xlfn.LET(
  _xlpm.s, TRIM(F766),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6" t="str">
        <f>_xlfn.XLOOKUP(E766,Calendar!C:C,Calendar!B:B)</f>
        <v>Working Day</v>
      </c>
    </row>
    <row r="767" spans="1:9" x14ac:dyDescent="0.25">
      <c r="A767" t="s">
        <v>767</v>
      </c>
      <c r="B767" t="s">
        <v>1387</v>
      </c>
      <c r="C767" t="s">
        <v>1433</v>
      </c>
      <c r="D767" s="2">
        <v>46205.595289351848</v>
      </c>
      <c r="E767" s="2">
        <f t="shared" si="22"/>
        <v>46205</v>
      </c>
      <c r="F767" t="s">
        <v>1748</v>
      </c>
      <c r="G767">
        <f>_xlfn.XLOOKUP(A767,FTD!A:A,FTD!C:C)</f>
        <v>1000</v>
      </c>
      <c r="H767" cm="1">
        <f t="array" ref="H767">_xlfn.LET(
  _xlpm.s, TRIM(F767),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67" t="str">
        <f>_xlfn.XLOOKUP(E767,Calendar!C:C,Calendar!B:B)</f>
        <v>Working Day</v>
      </c>
    </row>
    <row r="768" spans="1:9" x14ac:dyDescent="0.25">
      <c r="A768" t="s">
        <v>768</v>
      </c>
      <c r="B768" t="s">
        <v>1387</v>
      </c>
      <c r="C768" t="s">
        <v>1407</v>
      </c>
      <c r="D768" s="2">
        <v>46234.800219907404</v>
      </c>
      <c r="E768" s="2">
        <f t="shared" si="22"/>
        <v>46234</v>
      </c>
      <c r="F768" t="s">
        <v>1739</v>
      </c>
      <c r="G768">
        <f>_xlfn.XLOOKUP(A768,FTD!A:A,FTD!C:C)</f>
        <v>1000</v>
      </c>
      <c r="H768" cm="1">
        <f t="array" ref="H768">_xlfn.LET(
  _xlpm.s, TRIM(F768),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68" t="str">
        <f>_xlfn.XLOOKUP(E768,Calendar!C:C,Calendar!B:B)</f>
        <v>Working Day</v>
      </c>
    </row>
    <row r="769" spans="1:9" x14ac:dyDescent="0.25">
      <c r="A769" t="s">
        <v>769</v>
      </c>
      <c r="B769" t="s">
        <v>1387</v>
      </c>
      <c r="C769" t="s">
        <v>1402</v>
      </c>
      <c r="D769" s="2">
        <v>46234.521655092591</v>
      </c>
      <c r="E769" s="2">
        <f t="shared" si="22"/>
        <v>46234</v>
      </c>
      <c r="F769" t="s">
        <v>1738</v>
      </c>
      <c r="G769">
        <f>_xlfn.XLOOKUP(A769,FTD!A:A,FTD!C:C)</f>
        <v>25000</v>
      </c>
      <c r="H769" cm="1">
        <f t="array" ref="H769">_xlfn.LET(
  _xlpm.s, TRIM(F769),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69" t="str">
        <f>_xlfn.XLOOKUP(E769,Calendar!C:C,Calendar!B:B)</f>
        <v>Working Day</v>
      </c>
    </row>
    <row r="770" spans="1:9" x14ac:dyDescent="0.25">
      <c r="A770" t="s">
        <v>770</v>
      </c>
      <c r="B770" t="s">
        <v>1387</v>
      </c>
      <c r="C770" t="s">
        <v>1407</v>
      </c>
      <c r="D770" s="2">
        <v>46210.814768518518</v>
      </c>
      <c r="E770" s="2">
        <f t="shared" si="22"/>
        <v>46210</v>
      </c>
      <c r="F770" t="s">
        <v>1739</v>
      </c>
      <c r="G770">
        <f>_xlfn.XLOOKUP(A770,FTD!A:A,FTD!C:C)</f>
        <v>2800</v>
      </c>
      <c r="H770" cm="1">
        <f t="array" ref="H770">_xlfn.LET(
  _xlpm.s, TRIM(F770),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70" t="str">
        <f>_xlfn.XLOOKUP(E770,Calendar!C:C,Calendar!B:B)</f>
        <v>Working Day</v>
      </c>
    </row>
    <row r="771" spans="1:9" x14ac:dyDescent="0.25">
      <c r="A771" t="s">
        <v>771</v>
      </c>
      <c r="B771" t="s">
        <v>1387</v>
      </c>
      <c r="C771" t="s">
        <v>1418</v>
      </c>
      <c r="D771" s="2">
        <v>46234.451319444444</v>
      </c>
      <c r="E771" s="2">
        <f t="shared" ref="E771:E834" si="23">INT(D771)</f>
        <v>46234</v>
      </c>
      <c r="F771" t="s">
        <v>1744</v>
      </c>
      <c r="G771">
        <f>_xlfn.XLOOKUP(A771,FTD!A:A,FTD!C:C)</f>
        <v>1001</v>
      </c>
      <c r="H771" cm="1">
        <f t="array" ref="H771">_xlfn.LET(
  _xlpm.s, TRIM(F771),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1" t="str">
        <f>_xlfn.XLOOKUP(E771,Calendar!C:C,Calendar!B:B)</f>
        <v>Working Day</v>
      </c>
    </row>
    <row r="772" spans="1:9" x14ac:dyDescent="0.25">
      <c r="A772" t="s">
        <v>772</v>
      </c>
      <c r="B772" t="s">
        <v>1384</v>
      </c>
      <c r="C772" t="s">
        <v>1434</v>
      </c>
      <c r="D772" s="2">
        <v>46220.668738425928</v>
      </c>
      <c r="E772" s="2">
        <f t="shared" si="23"/>
        <v>46220</v>
      </c>
      <c r="F772" t="s">
        <v>1738</v>
      </c>
      <c r="G772">
        <f>_xlfn.XLOOKUP(A772,FTD!A:A,FTD!C:C)</f>
        <v>598</v>
      </c>
      <c r="H772" cm="1">
        <f t="array" ref="H772">_xlfn.LET(
  _xlpm.s, TRIM(F772),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2" t="str">
        <f>_xlfn.XLOOKUP(E772,Calendar!C:C,Calendar!B:B)</f>
        <v>Working Day</v>
      </c>
    </row>
    <row r="773" spans="1:9" x14ac:dyDescent="0.25">
      <c r="A773" t="s">
        <v>773</v>
      </c>
      <c r="B773" t="s">
        <v>1384</v>
      </c>
      <c r="C773" t="s">
        <v>1400</v>
      </c>
      <c r="D773" s="2">
        <v>46222.722592592589</v>
      </c>
      <c r="E773" s="2">
        <f t="shared" si="23"/>
        <v>46222</v>
      </c>
      <c r="F773" t="s">
        <v>1738</v>
      </c>
      <c r="G773">
        <f>_xlfn.XLOOKUP(A773,FTD!A:A,FTD!C:C)</f>
        <v>1099.21</v>
      </c>
      <c r="H773" cm="1">
        <f t="array" ref="H773">_xlfn.LET(
  _xlpm.s, TRIM(F773),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3" t="str">
        <f>_xlfn.XLOOKUP(E773,Calendar!C:C,Calendar!B:B)</f>
        <v>Sunday</v>
      </c>
    </row>
    <row r="774" spans="1:9" x14ac:dyDescent="0.25">
      <c r="A774" t="s">
        <v>774</v>
      </c>
      <c r="B774" t="s">
        <v>1387</v>
      </c>
      <c r="C774" t="s">
        <v>1406</v>
      </c>
      <c r="D774" s="2">
        <v>46210.466898148145</v>
      </c>
      <c r="E774" s="2">
        <f t="shared" si="23"/>
        <v>46210</v>
      </c>
      <c r="F774" t="s">
        <v>1739</v>
      </c>
      <c r="G774">
        <f>_xlfn.XLOOKUP(A774,FTD!A:A,FTD!C:C)</f>
        <v>19999</v>
      </c>
      <c r="H774" cm="1">
        <f t="array" ref="H774">_xlfn.LET(
  _xlpm.s, TRIM(F774),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74" t="str">
        <f>_xlfn.XLOOKUP(E774,Calendar!C:C,Calendar!B:B)</f>
        <v>Working Day</v>
      </c>
    </row>
    <row r="775" spans="1:9" x14ac:dyDescent="0.25">
      <c r="A775" t="s">
        <v>775</v>
      </c>
      <c r="B775" t="s">
        <v>1387</v>
      </c>
      <c r="C775" t="s">
        <v>1432</v>
      </c>
      <c r="D775" s="2">
        <v>46231.477754629625</v>
      </c>
      <c r="E775" s="2">
        <f t="shared" si="23"/>
        <v>46231</v>
      </c>
      <c r="F775" t="s">
        <v>1739</v>
      </c>
      <c r="G775">
        <f>_xlfn.XLOOKUP(A775,FTD!A:A,FTD!C:C)</f>
        <v>2000</v>
      </c>
      <c r="H775" cm="1">
        <f t="array" ref="H775">_xlfn.LET(
  _xlpm.s, TRIM(F775),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75" t="str">
        <f>_xlfn.XLOOKUP(E775,Calendar!C:C,Calendar!B:B)</f>
        <v>Working Day</v>
      </c>
    </row>
    <row r="776" spans="1:9" x14ac:dyDescent="0.25">
      <c r="A776" t="s">
        <v>776</v>
      </c>
      <c r="B776" t="s">
        <v>1387</v>
      </c>
      <c r="C776" t="s">
        <v>1408</v>
      </c>
      <c r="D776" s="2">
        <v>46231.523842592593</v>
      </c>
      <c r="E776" s="2">
        <f t="shared" si="23"/>
        <v>46231</v>
      </c>
      <c r="F776" t="s">
        <v>1738</v>
      </c>
      <c r="G776">
        <f>_xlfn.XLOOKUP(A776,FTD!A:A,FTD!C:C)</f>
        <v>2000</v>
      </c>
      <c r="H776" cm="1">
        <f t="array" ref="H776">_xlfn.LET(
  _xlpm.s, TRIM(F776),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6" t="str">
        <f>_xlfn.XLOOKUP(E776,Calendar!C:C,Calendar!B:B)</f>
        <v>Working Day</v>
      </c>
    </row>
    <row r="777" spans="1:9" x14ac:dyDescent="0.25">
      <c r="A777" t="s">
        <v>777</v>
      </c>
      <c r="B777" t="s">
        <v>1387</v>
      </c>
      <c r="C777" t="s">
        <v>1408</v>
      </c>
      <c r="D777" s="2">
        <v>46207.929282407407</v>
      </c>
      <c r="E777" s="2">
        <f t="shared" si="23"/>
        <v>46207</v>
      </c>
      <c r="F777" t="s">
        <v>1738</v>
      </c>
      <c r="G777">
        <f>_xlfn.XLOOKUP(A777,FTD!A:A,FTD!C:C)</f>
        <v>9999</v>
      </c>
      <c r="H777" cm="1">
        <f t="array" ref="H777">_xlfn.LET(
  _xlpm.s, TRIM(F777),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7" t="str">
        <f>_xlfn.XLOOKUP(E777,Calendar!C:C,Calendar!B:B)</f>
        <v>Saturday</v>
      </c>
    </row>
    <row r="778" spans="1:9" x14ac:dyDescent="0.25">
      <c r="A778" t="s">
        <v>778</v>
      </c>
      <c r="B778" t="s">
        <v>1387</v>
      </c>
      <c r="C778" t="s">
        <v>1400</v>
      </c>
      <c r="D778" s="2">
        <v>46224.456956018519</v>
      </c>
      <c r="E778" s="2">
        <f t="shared" si="23"/>
        <v>46224</v>
      </c>
      <c r="F778" t="s">
        <v>1743</v>
      </c>
      <c r="G778">
        <f>_xlfn.XLOOKUP(A778,FTD!A:A,FTD!C:C)</f>
        <v>10000</v>
      </c>
      <c r="H778" cm="1">
        <f t="array" ref="H778">_xlfn.LET(
  _xlpm.s, TRIM(F778),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8" t="str">
        <f>_xlfn.XLOOKUP(E778,Calendar!C:C,Calendar!B:B)</f>
        <v>Working Day</v>
      </c>
    </row>
    <row r="779" spans="1:9" x14ac:dyDescent="0.25">
      <c r="A779" t="s">
        <v>779</v>
      </c>
      <c r="B779" t="s">
        <v>1387</v>
      </c>
      <c r="C779" t="s">
        <v>1402</v>
      </c>
      <c r="D779" s="2">
        <v>46230.518159722218</v>
      </c>
      <c r="E779" s="2">
        <f t="shared" si="23"/>
        <v>46230</v>
      </c>
      <c r="F779" t="s">
        <v>1738</v>
      </c>
      <c r="G779">
        <f>_xlfn.XLOOKUP(A779,FTD!A:A,FTD!C:C)</f>
        <v>40000</v>
      </c>
      <c r="H779" cm="1">
        <f t="array" ref="H779">_xlfn.LET(
  _xlpm.s, TRIM(F779),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79" t="str">
        <f>_xlfn.XLOOKUP(E779,Calendar!C:C,Calendar!B:B)</f>
        <v>Working Day</v>
      </c>
    </row>
    <row r="780" spans="1:9" x14ac:dyDescent="0.25">
      <c r="A780" t="s">
        <v>780</v>
      </c>
      <c r="B780" t="s">
        <v>1387</v>
      </c>
      <c r="C780" t="s">
        <v>1406</v>
      </c>
      <c r="D780" s="2">
        <v>46231.49586805555</v>
      </c>
      <c r="E780" s="2">
        <f t="shared" si="23"/>
        <v>46231</v>
      </c>
      <c r="F780" t="s">
        <v>1739</v>
      </c>
      <c r="G780">
        <f>_xlfn.XLOOKUP(A780,FTD!A:A,FTD!C:C)</f>
        <v>1000</v>
      </c>
      <c r="H780" cm="1">
        <f t="array" ref="H780">_xlfn.LET(
  _xlpm.s, TRIM(F780),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80" t="str">
        <f>_xlfn.XLOOKUP(E780,Calendar!C:C,Calendar!B:B)</f>
        <v>Working Day</v>
      </c>
    </row>
    <row r="781" spans="1:9" x14ac:dyDescent="0.25">
      <c r="A781" t="s">
        <v>781</v>
      </c>
      <c r="B781" t="s">
        <v>1387</v>
      </c>
      <c r="C781" t="s">
        <v>1405</v>
      </c>
      <c r="D781" s="2">
        <v>46224.666134259256</v>
      </c>
      <c r="E781" s="2">
        <f t="shared" si="23"/>
        <v>46224</v>
      </c>
      <c r="F781" t="s">
        <v>1738</v>
      </c>
      <c r="G781">
        <f>_xlfn.XLOOKUP(A781,FTD!A:A,FTD!C:C)</f>
        <v>5000</v>
      </c>
      <c r="H781" cm="1">
        <f t="array" ref="H781">_xlfn.LET(
  _xlpm.s, TRIM(F781),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1" t="str">
        <f>_xlfn.XLOOKUP(E781,Calendar!C:C,Calendar!B:B)</f>
        <v>Working Day</v>
      </c>
    </row>
    <row r="782" spans="1:9" x14ac:dyDescent="0.25">
      <c r="A782" t="s">
        <v>782</v>
      </c>
      <c r="B782" t="s">
        <v>1387</v>
      </c>
      <c r="C782" t="s">
        <v>1408</v>
      </c>
      <c r="D782" s="2">
        <v>46230.439340277779</v>
      </c>
      <c r="E782" s="2">
        <f t="shared" si="23"/>
        <v>46230</v>
      </c>
      <c r="F782" t="s">
        <v>1738</v>
      </c>
      <c r="G782">
        <f>_xlfn.XLOOKUP(A782,FTD!A:A,FTD!C:C)</f>
        <v>50000</v>
      </c>
      <c r="H782" cm="1">
        <f t="array" ref="H782">_xlfn.LET(
  _xlpm.s, TRIM(F782),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2" t="str">
        <f>_xlfn.XLOOKUP(E782,Calendar!C:C,Calendar!B:B)</f>
        <v>Working Day</v>
      </c>
    </row>
    <row r="783" spans="1:9" x14ac:dyDescent="0.25">
      <c r="A783" t="s">
        <v>783</v>
      </c>
      <c r="B783" t="s">
        <v>1387</v>
      </c>
      <c r="C783" t="s">
        <v>1409</v>
      </c>
      <c r="D783" s="2">
        <v>46218.494027777779</v>
      </c>
      <c r="E783" s="2">
        <f t="shared" si="23"/>
        <v>46218</v>
      </c>
      <c r="F783" t="s">
        <v>1759</v>
      </c>
      <c r="G783">
        <f>_xlfn.XLOOKUP(A783,FTD!A:A,FTD!C:C)</f>
        <v>1000</v>
      </c>
      <c r="H783" cm="1">
        <f t="array" ref="H783">_xlfn.LET(
  _xlpm.s, TRIM(F783),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83" t="str">
        <f>_xlfn.XLOOKUP(E783,Calendar!C:C,Calendar!B:B)</f>
        <v>Working Day</v>
      </c>
    </row>
    <row r="784" spans="1:9" x14ac:dyDescent="0.25">
      <c r="A784" t="s">
        <v>784</v>
      </c>
      <c r="B784" t="s">
        <v>1387</v>
      </c>
      <c r="C784" t="s">
        <v>1406</v>
      </c>
      <c r="D784" s="2">
        <v>46215.651898148149</v>
      </c>
      <c r="E784" s="2">
        <f t="shared" si="23"/>
        <v>46215</v>
      </c>
      <c r="F784" t="s">
        <v>1738</v>
      </c>
      <c r="G784">
        <f>_xlfn.XLOOKUP(A784,FTD!A:A,FTD!C:C)</f>
        <v>1200</v>
      </c>
      <c r="H784" cm="1">
        <f t="array" ref="H784">_xlfn.LET(
  _xlpm.s, TRIM(F784),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4" t="str">
        <f>_xlfn.XLOOKUP(E784,Calendar!C:C,Calendar!B:B)</f>
        <v>Sunday</v>
      </c>
    </row>
    <row r="785" spans="1:9" x14ac:dyDescent="0.25">
      <c r="A785" t="s">
        <v>785</v>
      </c>
      <c r="B785" t="s">
        <v>1387</v>
      </c>
      <c r="C785" t="s">
        <v>1408</v>
      </c>
      <c r="D785" s="2">
        <v>46228.892905092587</v>
      </c>
      <c r="E785" s="2">
        <f t="shared" si="23"/>
        <v>46228</v>
      </c>
      <c r="F785" t="s">
        <v>1738</v>
      </c>
      <c r="G785">
        <f>_xlfn.XLOOKUP(A785,FTD!A:A,FTD!C:C)</f>
        <v>2000</v>
      </c>
      <c r="H785" cm="1">
        <f t="array" ref="H785">_xlfn.LET(
  _xlpm.s, TRIM(F785),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5" t="str">
        <f>_xlfn.XLOOKUP(E785,Calendar!C:C,Calendar!B:B)</f>
        <v>Saturday</v>
      </c>
    </row>
    <row r="786" spans="1:9" x14ac:dyDescent="0.25">
      <c r="A786" t="s">
        <v>786</v>
      </c>
      <c r="B786" t="s">
        <v>1387</v>
      </c>
      <c r="C786" t="s">
        <v>1408</v>
      </c>
      <c r="D786" s="2">
        <v>46213.738819444443</v>
      </c>
      <c r="E786" s="2">
        <f t="shared" si="23"/>
        <v>46213</v>
      </c>
      <c r="F786" t="s">
        <v>1738</v>
      </c>
      <c r="G786">
        <f>_xlfn.XLOOKUP(A786,FTD!A:A,FTD!C:C)</f>
        <v>2050</v>
      </c>
      <c r="H786" cm="1">
        <f t="array" ref="H786">_xlfn.LET(
  _xlpm.s, TRIM(F786),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6" t="str">
        <f>_xlfn.XLOOKUP(E786,Calendar!C:C,Calendar!B:B)</f>
        <v>Working Day</v>
      </c>
    </row>
    <row r="787" spans="1:9" x14ac:dyDescent="0.25">
      <c r="A787" t="s">
        <v>787</v>
      </c>
      <c r="B787" t="s">
        <v>1387</v>
      </c>
      <c r="C787" t="s">
        <v>1406</v>
      </c>
      <c r="D787" s="2">
        <v>46206.542129629626</v>
      </c>
      <c r="E787" s="2">
        <f t="shared" si="23"/>
        <v>46206</v>
      </c>
      <c r="F787" t="s">
        <v>1739</v>
      </c>
      <c r="G787">
        <f>_xlfn.XLOOKUP(A787,FTD!A:A,FTD!C:C)</f>
        <v>1000</v>
      </c>
      <c r="H787" cm="1">
        <f t="array" ref="H787">_xlfn.LET(
  _xlpm.s, TRIM(F787),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87" t="str">
        <f>_xlfn.XLOOKUP(E787,Calendar!C:C,Calendar!B:B)</f>
        <v>Working Day</v>
      </c>
    </row>
    <row r="788" spans="1:9" x14ac:dyDescent="0.25">
      <c r="A788" t="s">
        <v>788</v>
      </c>
      <c r="B788" t="s">
        <v>1387</v>
      </c>
      <c r="C788" t="s">
        <v>1402</v>
      </c>
      <c r="D788" s="2">
        <v>46231.729618055557</v>
      </c>
      <c r="E788" s="2">
        <f t="shared" si="23"/>
        <v>46231</v>
      </c>
      <c r="F788" t="s">
        <v>1738</v>
      </c>
      <c r="G788">
        <f>_xlfn.XLOOKUP(A788,FTD!A:A,FTD!C:C)</f>
        <v>2000</v>
      </c>
      <c r="H788" cm="1">
        <f t="array" ref="H788">_xlfn.LET(
  _xlpm.s, TRIM(F788),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8" t="str">
        <f>_xlfn.XLOOKUP(E788,Calendar!C:C,Calendar!B:B)</f>
        <v>Working Day</v>
      </c>
    </row>
    <row r="789" spans="1:9" x14ac:dyDescent="0.25">
      <c r="A789" t="s">
        <v>789</v>
      </c>
      <c r="B789" t="s">
        <v>1387</v>
      </c>
      <c r="C789" t="s">
        <v>1408</v>
      </c>
      <c r="D789" s="2">
        <v>46206.757534722223</v>
      </c>
      <c r="E789" s="2">
        <f t="shared" si="23"/>
        <v>46206</v>
      </c>
      <c r="F789" t="s">
        <v>1738</v>
      </c>
      <c r="G789">
        <f>_xlfn.XLOOKUP(A789,FTD!A:A,FTD!C:C)</f>
        <v>1000</v>
      </c>
      <c r="H789" cm="1">
        <f t="array" ref="H789">_xlfn.LET(
  _xlpm.s, TRIM(F789),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89" t="str">
        <f>_xlfn.XLOOKUP(E789,Calendar!C:C,Calendar!B:B)</f>
        <v>Working Day</v>
      </c>
    </row>
    <row r="790" spans="1:9" x14ac:dyDescent="0.25">
      <c r="A790" t="s">
        <v>790</v>
      </c>
      <c r="B790" t="s">
        <v>1387</v>
      </c>
      <c r="C790" t="s">
        <v>1398</v>
      </c>
      <c r="D790" s="2">
        <v>46209.642557870371</v>
      </c>
      <c r="E790" s="2">
        <f t="shared" si="23"/>
        <v>46209</v>
      </c>
      <c r="F790" t="s">
        <v>1738</v>
      </c>
      <c r="G790">
        <f>_xlfn.XLOOKUP(A790,FTD!A:A,FTD!C:C)</f>
        <v>1500</v>
      </c>
      <c r="H790" cm="1">
        <f t="array" ref="H790">_xlfn.LET(
  _xlpm.s, TRIM(F790),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0" t="str">
        <f>_xlfn.XLOOKUP(E790,Calendar!C:C,Calendar!B:B)</f>
        <v>Working Day</v>
      </c>
    </row>
    <row r="791" spans="1:9" x14ac:dyDescent="0.25">
      <c r="A791" t="s">
        <v>791</v>
      </c>
      <c r="B791" t="s">
        <v>1387</v>
      </c>
      <c r="C791" t="s">
        <v>1406</v>
      </c>
      <c r="D791" s="2">
        <v>46225.482395833329</v>
      </c>
      <c r="E791" s="2">
        <f t="shared" si="23"/>
        <v>46225</v>
      </c>
      <c r="F791" t="s">
        <v>1738</v>
      </c>
      <c r="G791">
        <f>_xlfn.XLOOKUP(A791,FTD!A:A,FTD!C:C)</f>
        <v>1000</v>
      </c>
      <c r="H791" cm="1">
        <f t="array" ref="H791">_xlfn.LET(
  _xlpm.s, TRIM(F791),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1" t="str">
        <f>_xlfn.XLOOKUP(E791,Calendar!C:C,Calendar!B:B)</f>
        <v>Working Day</v>
      </c>
    </row>
    <row r="792" spans="1:9" x14ac:dyDescent="0.25">
      <c r="A792" t="s">
        <v>792</v>
      </c>
      <c r="B792" t="s">
        <v>1387</v>
      </c>
      <c r="C792" t="s">
        <v>1436</v>
      </c>
      <c r="D792" s="2">
        <v>46232.38853009259</v>
      </c>
      <c r="E792" s="2">
        <f t="shared" si="23"/>
        <v>46232</v>
      </c>
      <c r="F792" t="s">
        <v>1745</v>
      </c>
      <c r="G792">
        <f>_xlfn.XLOOKUP(A792,FTD!A:A,FTD!C:C)</f>
        <v>1000</v>
      </c>
      <c r="H792" cm="1">
        <f t="array" ref="H792">_xlfn.LET(
  _xlpm.s, TRIM(F792),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792" t="str">
        <f>_xlfn.XLOOKUP(E792,Calendar!C:C,Calendar!B:B)</f>
        <v>Working Day</v>
      </c>
    </row>
    <row r="793" spans="1:9" x14ac:dyDescent="0.25">
      <c r="A793" t="s">
        <v>793</v>
      </c>
      <c r="B793" t="s">
        <v>1387</v>
      </c>
      <c r="C793" t="s">
        <v>1406</v>
      </c>
      <c r="D793" s="2">
        <v>46226.783831018518</v>
      </c>
      <c r="E793" s="2">
        <f t="shared" si="23"/>
        <v>46226</v>
      </c>
      <c r="F793" t="s">
        <v>1738</v>
      </c>
      <c r="G793">
        <f>_xlfn.XLOOKUP(A793,FTD!A:A,FTD!C:C)</f>
        <v>20000</v>
      </c>
      <c r="H793" cm="1">
        <f t="array" ref="H793">_xlfn.LET(
  _xlpm.s, TRIM(F793),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3" t="str">
        <f>_xlfn.XLOOKUP(E793,Calendar!C:C,Calendar!B:B)</f>
        <v>Working Day</v>
      </c>
    </row>
    <row r="794" spans="1:9" x14ac:dyDescent="0.25">
      <c r="A794" t="s">
        <v>794</v>
      </c>
      <c r="B794" t="s">
        <v>1387</v>
      </c>
      <c r="C794" t="s">
        <v>1399</v>
      </c>
      <c r="D794" s="2">
        <v>46225.574895833328</v>
      </c>
      <c r="E794" s="2">
        <f t="shared" si="23"/>
        <v>46225</v>
      </c>
      <c r="F794" t="s">
        <v>1738</v>
      </c>
      <c r="G794">
        <f>_xlfn.XLOOKUP(A794,FTD!A:A,FTD!C:C)</f>
        <v>40000</v>
      </c>
      <c r="H794" cm="1">
        <f t="array" ref="H794">_xlfn.LET(
  _xlpm.s, TRIM(F794),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4" t="str">
        <f>_xlfn.XLOOKUP(E794,Calendar!C:C,Calendar!B:B)</f>
        <v>Working Day</v>
      </c>
    </row>
    <row r="795" spans="1:9" x14ac:dyDescent="0.25">
      <c r="A795" t="s">
        <v>795</v>
      </c>
      <c r="B795" t="s">
        <v>1387</v>
      </c>
      <c r="C795" t="s">
        <v>1408</v>
      </c>
      <c r="D795" s="2">
        <v>46226.461481481478</v>
      </c>
      <c r="E795" s="2">
        <f t="shared" si="23"/>
        <v>46226</v>
      </c>
      <c r="F795" t="s">
        <v>1739</v>
      </c>
      <c r="G795">
        <f>_xlfn.XLOOKUP(A795,FTD!A:A,FTD!C:C)</f>
        <v>1000</v>
      </c>
      <c r="H795" cm="1">
        <f t="array" ref="H795">_xlfn.LET(
  _xlpm.s, TRIM(F795),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795" t="str">
        <f>_xlfn.XLOOKUP(E795,Calendar!C:C,Calendar!B:B)</f>
        <v>Working Day</v>
      </c>
    </row>
    <row r="796" spans="1:9" x14ac:dyDescent="0.25">
      <c r="A796" t="s">
        <v>796</v>
      </c>
      <c r="B796" t="s">
        <v>1387</v>
      </c>
      <c r="C796" t="s">
        <v>1436</v>
      </c>
      <c r="D796" s="2">
        <v>46225.407592592594</v>
      </c>
      <c r="E796" s="2">
        <f t="shared" si="23"/>
        <v>46225</v>
      </c>
      <c r="F796" t="s">
        <v>1738</v>
      </c>
      <c r="G796">
        <f>_xlfn.XLOOKUP(A796,FTD!A:A,FTD!C:C)</f>
        <v>25000</v>
      </c>
      <c r="H796" cm="1">
        <f t="array" ref="H796">_xlfn.LET(
  _xlpm.s, TRIM(F796),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6" t="str">
        <f>_xlfn.XLOOKUP(E796,Calendar!C:C,Calendar!B:B)</f>
        <v>Working Day</v>
      </c>
    </row>
    <row r="797" spans="1:9" x14ac:dyDescent="0.25">
      <c r="A797" t="s">
        <v>797</v>
      </c>
      <c r="B797" t="s">
        <v>1387</v>
      </c>
      <c r="C797" t="s">
        <v>1399</v>
      </c>
      <c r="D797" s="2">
        <v>46219.424745370372</v>
      </c>
      <c r="E797" s="2">
        <f t="shared" si="23"/>
        <v>46219</v>
      </c>
      <c r="F797" t="s">
        <v>1738</v>
      </c>
      <c r="G797">
        <f>_xlfn.XLOOKUP(A797,FTD!A:A,FTD!C:C)</f>
        <v>1000</v>
      </c>
      <c r="H797" cm="1">
        <f t="array" ref="H797">_xlfn.LET(
  _xlpm.s, TRIM(F797),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7" t="str">
        <f>_xlfn.XLOOKUP(E797,Calendar!C:C,Calendar!B:B)</f>
        <v>Working Day</v>
      </c>
    </row>
    <row r="798" spans="1:9" x14ac:dyDescent="0.25">
      <c r="A798" t="s">
        <v>798</v>
      </c>
      <c r="B798" t="s">
        <v>1387</v>
      </c>
      <c r="C798" t="s">
        <v>1398</v>
      </c>
      <c r="D798" s="2">
        <v>46208.678773148145</v>
      </c>
      <c r="E798" s="2">
        <f t="shared" si="23"/>
        <v>46208</v>
      </c>
      <c r="F798" t="s">
        <v>1738</v>
      </c>
      <c r="G798">
        <f>_xlfn.XLOOKUP(A798,FTD!A:A,FTD!C:C)</f>
        <v>1000</v>
      </c>
      <c r="H798" cm="1">
        <f t="array" ref="H798">_xlfn.LET(
  _xlpm.s, TRIM(F798),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8" t="str">
        <f>_xlfn.XLOOKUP(E798,Calendar!C:C,Calendar!B:B)</f>
        <v>Sunday</v>
      </c>
    </row>
    <row r="799" spans="1:9" x14ac:dyDescent="0.25">
      <c r="A799" t="s">
        <v>799</v>
      </c>
      <c r="B799" t="s">
        <v>1387</v>
      </c>
      <c r="C799" t="s">
        <v>1412</v>
      </c>
      <c r="D799" s="2">
        <v>46226.771886574075</v>
      </c>
      <c r="E799" s="2">
        <f t="shared" si="23"/>
        <v>46226</v>
      </c>
      <c r="F799" t="s">
        <v>1738</v>
      </c>
      <c r="G799">
        <f>_xlfn.XLOOKUP(A799,FTD!A:A,FTD!C:C)</f>
        <v>10000</v>
      </c>
      <c r="H799" cm="1">
        <f t="array" ref="H799">_xlfn.LET(
  _xlpm.s, TRIM(F799),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799" t="str">
        <f>_xlfn.XLOOKUP(E799,Calendar!C:C,Calendar!B:B)</f>
        <v>Working Day</v>
      </c>
    </row>
    <row r="800" spans="1:9" x14ac:dyDescent="0.25">
      <c r="A800" t="s">
        <v>800</v>
      </c>
      <c r="B800" t="s">
        <v>1387</v>
      </c>
      <c r="C800" t="s">
        <v>1408</v>
      </c>
      <c r="D800" s="2">
        <v>46218.803854166668</v>
      </c>
      <c r="E800" s="2">
        <f t="shared" si="23"/>
        <v>46218</v>
      </c>
      <c r="F800" t="s">
        <v>1738</v>
      </c>
      <c r="G800">
        <f>_xlfn.XLOOKUP(A800,FTD!A:A,FTD!C:C)</f>
        <v>1000</v>
      </c>
      <c r="H800" cm="1">
        <f t="array" ref="H800">_xlfn.LET(
  _xlpm.s, TRIM(F800),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00" t="str">
        <f>_xlfn.XLOOKUP(E800,Calendar!C:C,Calendar!B:B)</f>
        <v>Working Day</v>
      </c>
    </row>
    <row r="801" spans="1:9" x14ac:dyDescent="0.25">
      <c r="A801" t="s">
        <v>801</v>
      </c>
      <c r="B801" t="s">
        <v>1387</v>
      </c>
      <c r="C801" t="s">
        <v>1431</v>
      </c>
      <c r="D801" s="2">
        <v>46217.395891203705</v>
      </c>
      <c r="E801" s="2">
        <f t="shared" si="23"/>
        <v>46217</v>
      </c>
      <c r="F801" t="s">
        <v>1745</v>
      </c>
      <c r="G801">
        <f>_xlfn.XLOOKUP(A801,FTD!A:A,FTD!C:C)</f>
        <v>5000</v>
      </c>
      <c r="H801" cm="1">
        <f t="array" ref="H801">_xlfn.LET(
  _xlpm.s, TRIM(F801),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01" t="str">
        <f>_xlfn.XLOOKUP(E801,Calendar!C:C,Calendar!B:B)</f>
        <v>Working Day</v>
      </c>
    </row>
    <row r="802" spans="1:9" x14ac:dyDescent="0.25">
      <c r="A802" t="s">
        <v>802</v>
      </c>
      <c r="B802" t="s">
        <v>1387</v>
      </c>
      <c r="C802" t="s">
        <v>1418</v>
      </c>
      <c r="D802" s="2">
        <v>46218.517557870371</v>
      </c>
      <c r="E802" s="2">
        <f t="shared" si="23"/>
        <v>46218</v>
      </c>
      <c r="F802" t="s">
        <v>1738</v>
      </c>
      <c r="G802">
        <f>_xlfn.XLOOKUP(A802,FTD!A:A,FTD!C:C)</f>
        <v>1100</v>
      </c>
      <c r="H802" cm="1">
        <f t="array" ref="H802">_xlfn.LET(
  _xlpm.s, TRIM(F802),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02" t="str">
        <f>_xlfn.XLOOKUP(E802,Calendar!C:C,Calendar!B:B)</f>
        <v>Working Day</v>
      </c>
    </row>
    <row r="803" spans="1:9" x14ac:dyDescent="0.25">
      <c r="A803" t="s">
        <v>803</v>
      </c>
      <c r="B803" t="s">
        <v>1387</v>
      </c>
      <c r="C803" t="s">
        <v>1409</v>
      </c>
      <c r="D803" s="2">
        <v>46234.564224537033</v>
      </c>
      <c r="E803" s="2">
        <f t="shared" si="23"/>
        <v>46234</v>
      </c>
      <c r="F803" t="s">
        <v>1739</v>
      </c>
      <c r="G803">
        <f>_xlfn.XLOOKUP(A803,FTD!A:A,FTD!C:C)</f>
        <v>1000</v>
      </c>
      <c r="H803" cm="1">
        <f t="array" ref="H803">_xlfn.LET(
  _xlpm.s, TRIM(F803),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03" t="str">
        <f>_xlfn.XLOOKUP(E803,Calendar!C:C,Calendar!B:B)</f>
        <v>Working Day</v>
      </c>
    </row>
    <row r="804" spans="1:9" x14ac:dyDescent="0.25">
      <c r="A804" t="s">
        <v>804</v>
      </c>
      <c r="B804" t="s">
        <v>1387</v>
      </c>
      <c r="C804" t="s">
        <v>1408</v>
      </c>
      <c r="D804" s="2">
        <v>46210.621006944442</v>
      </c>
      <c r="E804" s="2">
        <f t="shared" si="23"/>
        <v>46210</v>
      </c>
      <c r="F804" t="s">
        <v>1739</v>
      </c>
      <c r="G804">
        <f>_xlfn.XLOOKUP(A804,FTD!A:A,FTD!C:C)</f>
        <v>2000</v>
      </c>
      <c r="H804" cm="1">
        <f t="array" ref="H804">_xlfn.LET(
  _xlpm.s, TRIM(F804),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04" t="str">
        <f>_xlfn.XLOOKUP(E804,Calendar!C:C,Calendar!B:B)</f>
        <v>Working Day</v>
      </c>
    </row>
    <row r="805" spans="1:9" x14ac:dyDescent="0.25">
      <c r="A805" t="s">
        <v>805</v>
      </c>
      <c r="B805" t="s">
        <v>1387</v>
      </c>
      <c r="C805" t="s">
        <v>1409</v>
      </c>
      <c r="D805" s="2">
        <v>46210.460706018515</v>
      </c>
      <c r="E805" s="2">
        <f t="shared" si="23"/>
        <v>46210</v>
      </c>
      <c r="F805" t="s">
        <v>1738</v>
      </c>
      <c r="G805">
        <f>_xlfn.XLOOKUP(A805,FTD!A:A,FTD!C:C)</f>
        <v>1000</v>
      </c>
      <c r="H805" cm="1">
        <f t="array" ref="H805">_xlfn.LET(
  _xlpm.s, TRIM(F805),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05" t="str">
        <f>_xlfn.XLOOKUP(E805,Calendar!C:C,Calendar!B:B)</f>
        <v>Working Day</v>
      </c>
    </row>
    <row r="806" spans="1:9" x14ac:dyDescent="0.25">
      <c r="A806" t="s">
        <v>806</v>
      </c>
      <c r="B806" t="s">
        <v>1387</v>
      </c>
      <c r="C806" t="s">
        <v>1409</v>
      </c>
      <c r="D806" s="2">
        <v>46216.923611111109</v>
      </c>
      <c r="E806" s="2">
        <f t="shared" si="23"/>
        <v>46216</v>
      </c>
      <c r="F806" t="s">
        <v>1744</v>
      </c>
      <c r="G806">
        <f>_xlfn.XLOOKUP(A806,FTD!A:A,FTD!C:C)</f>
        <v>1000</v>
      </c>
      <c r="H806" cm="1">
        <f t="array" ref="H806">_xlfn.LET(
  _xlpm.s, TRIM(F806),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06" t="str">
        <f>_xlfn.XLOOKUP(E806,Calendar!C:C,Calendar!B:B)</f>
        <v>Working Day</v>
      </c>
    </row>
    <row r="807" spans="1:9" x14ac:dyDescent="0.25">
      <c r="A807" t="s">
        <v>807</v>
      </c>
      <c r="B807" t="s">
        <v>1387</v>
      </c>
      <c r="C807" t="s">
        <v>1403</v>
      </c>
      <c r="D807" s="2">
        <v>46212.735405092593</v>
      </c>
      <c r="E807" s="2">
        <f t="shared" si="23"/>
        <v>46212</v>
      </c>
      <c r="F807" t="s">
        <v>1766</v>
      </c>
      <c r="G807">
        <f>_xlfn.XLOOKUP(A807,FTD!A:A,FTD!C:C)</f>
        <v>1000</v>
      </c>
      <c r="H807" cm="1">
        <f t="array" ref="H807">_xlfn.LET(
  _xlpm.s, TRIM(F807),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07" t="str">
        <f>_xlfn.XLOOKUP(E807,Calendar!C:C,Calendar!B:B)</f>
        <v>Working Day</v>
      </c>
    </row>
    <row r="808" spans="1:9" x14ac:dyDescent="0.25">
      <c r="A808" t="s">
        <v>808</v>
      </c>
      <c r="B808" t="s">
        <v>1387</v>
      </c>
      <c r="C808" t="s">
        <v>1398</v>
      </c>
      <c r="D808" s="2">
        <v>46225.57608796296</v>
      </c>
      <c r="E808" s="2">
        <f t="shared" si="23"/>
        <v>46225</v>
      </c>
      <c r="F808" t="s">
        <v>1738</v>
      </c>
      <c r="G808">
        <f>_xlfn.XLOOKUP(A808,FTD!A:A,FTD!C:C)</f>
        <v>42000</v>
      </c>
      <c r="H808" cm="1">
        <f t="array" ref="H808">_xlfn.LET(
  _xlpm.s, TRIM(F808),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08" t="str">
        <f>_xlfn.XLOOKUP(E808,Calendar!C:C,Calendar!B:B)</f>
        <v>Working Day</v>
      </c>
    </row>
    <row r="809" spans="1:9" x14ac:dyDescent="0.25">
      <c r="A809" t="s">
        <v>809</v>
      </c>
      <c r="B809" t="s">
        <v>1387</v>
      </c>
      <c r="C809" t="s">
        <v>1413</v>
      </c>
      <c r="D809" s="2">
        <v>46234.564988425926</v>
      </c>
      <c r="E809" s="2">
        <f t="shared" si="23"/>
        <v>46234</v>
      </c>
      <c r="F809" t="s">
        <v>1738</v>
      </c>
      <c r="G809">
        <f>_xlfn.XLOOKUP(A809,FTD!A:A,FTD!C:C)</f>
        <v>5000</v>
      </c>
      <c r="H809" cm="1">
        <f t="array" ref="H809">_xlfn.LET(
  _xlpm.s, TRIM(F809),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09" t="str">
        <f>_xlfn.XLOOKUP(E809,Calendar!C:C,Calendar!B:B)</f>
        <v>Working Day</v>
      </c>
    </row>
    <row r="810" spans="1:9" x14ac:dyDescent="0.25">
      <c r="A810" t="s">
        <v>810</v>
      </c>
      <c r="B810" t="s">
        <v>1384</v>
      </c>
      <c r="C810" t="s">
        <v>1396</v>
      </c>
      <c r="D810" s="2">
        <v>46221.866875</v>
      </c>
      <c r="E810" s="2">
        <f t="shared" si="23"/>
        <v>46221</v>
      </c>
      <c r="F810" t="s">
        <v>1739</v>
      </c>
      <c r="G810">
        <f>_xlfn.XLOOKUP(A810,FTD!A:A,FTD!C:C)</f>
        <v>1000</v>
      </c>
      <c r="H810" cm="1">
        <f t="array" ref="H810">_xlfn.LET(
  _xlpm.s, TRIM(F810),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10" t="str">
        <f>_xlfn.XLOOKUP(E810,Calendar!C:C,Calendar!B:B)</f>
        <v>Saturday</v>
      </c>
    </row>
    <row r="811" spans="1:9" x14ac:dyDescent="0.25">
      <c r="A811" t="s">
        <v>811</v>
      </c>
      <c r="B811" t="s">
        <v>1384</v>
      </c>
      <c r="C811" t="s">
        <v>1431</v>
      </c>
      <c r="D811" s="2">
        <v>46224.390925925924</v>
      </c>
      <c r="E811" s="2">
        <f t="shared" si="23"/>
        <v>46224</v>
      </c>
      <c r="F811" t="s">
        <v>1742</v>
      </c>
      <c r="G811">
        <f>_xlfn.XLOOKUP(A811,FTD!A:A,FTD!C:C)</f>
        <v>948</v>
      </c>
      <c r="H811" cm="1">
        <f t="array" ref="H811">_xlfn.LET(
  _xlpm.s, TRIM(F811),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11" t="str">
        <f>_xlfn.XLOOKUP(E811,Calendar!C:C,Calendar!B:B)</f>
        <v>Working Day</v>
      </c>
    </row>
    <row r="812" spans="1:9" x14ac:dyDescent="0.25">
      <c r="A812" t="s">
        <v>812</v>
      </c>
      <c r="B812" t="s">
        <v>1384</v>
      </c>
      <c r="C812" t="s">
        <v>1389</v>
      </c>
      <c r="D812" s="2">
        <v>46227.676898148144</v>
      </c>
      <c r="E812" s="2">
        <f t="shared" si="23"/>
        <v>46227</v>
      </c>
      <c r="F812" t="s">
        <v>1740</v>
      </c>
      <c r="G812">
        <f>_xlfn.XLOOKUP(A812,FTD!A:A,FTD!C:C)</f>
        <v>1000</v>
      </c>
      <c r="H812" cm="1">
        <f t="array" ref="H812">_xlfn.LET(
  _xlpm.s, TRIM(F812),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12" t="str">
        <f>_xlfn.XLOOKUP(E812,Calendar!C:C,Calendar!B:B)</f>
        <v>Working Day</v>
      </c>
    </row>
    <row r="813" spans="1:9" x14ac:dyDescent="0.25">
      <c r="A813" t="s">
        <v>813</v>
      </c>
      <c r="B813" t="s">
        <v>1384</v>
      </c>
      <c r="C813" t="s">
        <v>1389</v>
      </c>
      <c r="D813" s="2">
        <v>46217.862592592588</v>
      </c>
      <c r="E813" s="2">
        <f t="shared" si="23"/>
        <v>46217</v>
      </c>
      <c r="F813" t="s">
        <v>1738</v>
      </c>
      <c r="G813">
        <f>_xlfn.XLOOKUP(A813,FTD!A:A,FTD!C:C)</f>
        <v>4000</v>
      </c>
      <c r="H813" cm="1">
        <f t="array" ref="H813">_xlfn.LET(
  _xlpm.s, TRIM(F813),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13" t="str">
        <f>_xlfn.XLOOKUP(E813,Calendar!C:C,Calendar!B:B)</f>
        <v>Working Day</v>
      </c>
    </row>
    <row r="814" spans="1:9" x14ac:dyDescent="0.25">
      <c r="A814" t="s">
        <v>814</v>
      </c>
      <c r="B814" t="s">
        <v>1384</v>
      </c>
      <c r="C814" t="s">
        <v>1408</v>
      </c>
      <c r="D814" s="2">
        <v>46224.450810185182</v>
      </c>
      <c r="E814" s="2">
        <f t="shared" si="23"/>
        <v>46224</v>
      </c>
      <c r="F814" t="s">
        <v>1756</v>
      </c>
      <c r="G814">
        <f>_xlfn.XLOOKUP(A814,FTD!A:A,FTD!C:C)</f>
        <v>6000</v>
      </c>
      <c r="H814" cm="1">
        <f t="array" ref="H814">_xlfn.LET(
  _xlpm.s, TRIM(F814),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14" t="str">
        <f>_xlfn.XLOOKUP(E814,Calendar!C:C,Calendar!B:B)</f>
        <v>Working Day</v>
      </c>
    </row>
    <row r="815" spans="1:9" x14ac:dyDescent="0.25">
      <c r="A815" t="s">
        <v>815</v>
      </c>
      <c r="B815" t="s">
        <v>1384</v>
      </c>
      <c r="C815" t="s">
        <v>1410</v>
      </c>
      <c r="D815" s="2">
        <v>46205.960590277777</v>
      </c>
      <c r="E815" s="2">
        <f t="shared" si="23"/>
        <v>46205</v>
      </c>
      <c r="F815" t="s">
        <v>1740</v>
      </c>
      <c r="G815">
        <f>_xlfn.XLOOKUP(A815,FTD!A:A,FTD!C:C)</f>
        <v>2000</v>
      </c>
      <c r="H815" cm="1">
        <f t="array" ref="H815">_xlfn.LET(
  _xlpm.s, TRIM(F815),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15" t="str">
        <f>_xlfn.XLOOKUP(E815,Calendar!C:C,Calendar!B:B)</f>
        <v>Working Day</v>
      </c>
    </row>
    <row r="816" spans="1:9" x14ac:dyDescent="0.25">
      <c r="A816" t="s">
        <v>816</v>
      </c>
      <c r="B816" t="s">
        <v>1384</v>
      </c>
      <c r="C816" t="s">
        <v>1407</v>
      </c>
      <c r="D816" s="2">
        <v>46229.996863425928</v>
      </c>
      <c r="E816" s="2">
        <f t="shared" si="23"/>
        <v>46229</v>
      </c>
      <c r="F816" t="s">
        <v>1740</v>
      </c>
      <c r="G816">
        <f>_xlfn.XLOOKUP(A816,FTD!A:A,FTD!C:C)</f>
        <v>1000</v>
      </c>
      <c r="H816" cm="1">
        <f t="array" ref="H816">_xlfn.LET(
  _xlpm.s, TRIM(F816),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16" t="str">
        <f>_xlfn.XLOOKUP(E816,Calendar!C:C,Calendar!B:B)</f>
        <v>Sunday</v>
      </c>
    </row>
    <row r="817" spans="1:9" x14ac:dyDescent="0.25">
      <c r="A817" t="s">
        <v>817</v>
      </c>
      <c r="B817" t="s">
        <v>1384</v>
      </c>
      <c r="C817" t="s">
        <v>1394</v>
      </c>
      <c r="D817" s="2">
        <v>46227.995532407404</v>
      </c>
      <c r="E817" s="2">
        <f t="shared" si="23"/>
        <v>46227</v>
      </c>
      <c r="F817" t="s">
        <v>1738</v>
      </c>
      <c r="G817">
        <f>_xlfn.XLOOKUP(A817,FTD!A:A,FTD!C:C)</f>
        <v>3000</v>
      </c>
      <c r="H817" cm="1">
        <f t="array" ref="H817">_xlfn.LET(
  _xlpm.s, TRIM(F817),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17" t="str">
        <f>_xlfn.XLOOKUP(E817,Calendar!C:C,Calendar!B:B)</f>
        <v>Working Day</v>
      </c>
    </row>
    <row r="818" spans="1:9" x14ac:dyDescent="0.25">
      <c r="A818" t="s">
        <v>818</v>
      </c>
      <c r="B818" t="s">
        <v>1384</v>
      </c>
      <c r="C818" t="s">
        <v>1396</v>
      </c>
      <c r="D818" s="2">
        <v>46232.446238425924</v>
      </c>
      <c r="E818" s="2">
        <f t="shared" si="23"/>
        <v>46232</v>
      </c>
      <c r="F818" t="s">
        <v>1738</v>
      </c>
      <c r="G818">
        <f>_xlfn.XLOOKUP(A818,FTD!A:A,FTD!C:C)</f>
        <v>6000</v>
      </c>
      <c r="H818" cm="1">
        <f t="array" ref="H818">_xlfn.LET(
  _xlpm.s, TRIM(F818),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18" t="str">
        <f>_xlfn.XLOOKUP(E818,Calendar!C:C,Calendar!B:B)</f>
        <v>Working Day</v>
      </c>
    </row>
    <row r="819" spans="1:9" x14ac:dyDescent="0.25">
      <c r="A819" t="s">
        <v>819</v>
      </c>
      <c r="B819" t="s">
        <v>1384</v>
      </c>
      <c r="C819" t="s">
        <v>1405</v>
      </c>
      <c r="D819" s="2">
        <v>46227.657673611109</v>
      </c>
      <c r="E819" s="2">
        <f t="shared" si="23"/>
        <v>46227</v>
      </c>
      <c r="F819" t="s">
        <v>1738</v>
      </c>
      <c r="G819">
        <f>_xlfn.XLOOKUP(A819,FTD!A:A,FTD!C:C)</f>
        <v>981</v>
      </c>
      <c r="H819" cm="1">
        <f t="array" ref="H819">_xlfn.LET(
  _xlpm.s, TRIM(F819),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19" t="str">
        <f>_xlfn.XLOOKUP(E819,Calendar!C:C,Calendar!B:B)</f>
        <v>Working Day</v>
      </c>
    </row>
    <row r="820" spans="1:9" x14ac:dyDescent="0.25">
      <c r="A820" t="s">
        <v>820</v>
      </c>
      <c r="B820" t="s">
        <v>1384</v>
      </c>
      <c r="C820" t="s">
        <v>1397</v>
      </c>
      <c r="D820" s="2">
        <v>46209.553599537037</v>
      </c>
      <c r="E820" s="2">
        <f t="shared" si="23"/>
        <v>46209</v>
      </c>
      <c r="F820" t="s">
        <v>1740</v>
      </c>
      <c r="G820">
        <f>_xlfn.XLOOKUP(A820,FTD!A:A,FTD!C:C)</f>
        <v>2000</v>
      </c>
      <c r="H820" cm="1">
        <f t="array" ref="H820">_xlfn.LET(
  _xlpm.s, TRIM(F820),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20" t="str">
        <f>_xlfn.XLOOKUP(E820,Calendar!C:C,Calendar!B:B)</f>
        <v>Working Day</v>
      </c>
    </row>
    <row r="821" spans="1:9" x14ac:dyDescent="0.25">
      <c r="A821" t="s">
        <v>821</v>
      </c>
      <c r="B821" t="s">
        <v>1384</v>
      </c>
      <c r="C821" t="s">
        <v>1428</v>
      </c>
      <c r="D821" s="2">
        <v>46217.568298611106</v>
      </c>
      <c r="E821" s="2">
        <f t="shared" si="23"/>
        <v>46217</v>
      </c>
      <c r="F821" t="s">
        <v>1746</v>
      </c>
      <c r="G821">
        <f>_xlfn.XLOOKUP(A821,FTD!A:A,FTD!C:C)</f>
        <v>1000</v>
      </c>
      <c r="H821" cm="1">
        <f t="array" ref="H821">_xlfn.LET(
  _xlpm.s, TRIM(F821),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21" t="str">
        <f>_xlfn.XLOOKUP(E821,Calendar!C:C,Calendar!B:B)</f>
        <v>Working Day</v>
      </c>
    </row>
    <row r="822" spans="1:9" x14ac:dyDescent="0.25">
      <c r="A822" t="s">
        <v>822</v>
      </c>
      <c r="B822" t="s">
        <v>1385</v>
      </c>
      <c r="C822" t="s">
        <v>1415</v>
      </c>
      <c r="D822" s="2">
        <v>46212.679664351846</v>
      </c>
      <c r="E822" s="2">
        <f t="shared" si="23"/>
        <v>46212</v>
      </c>
      <c r="F822" t="s">
        <v>81</v>
      </c>
      <c r="G822">
        <f>_xlfn.XLOOKUP(A822,FTD!A:A,FTD!C:C)</f>
        <v>1000</v>
      </c>
      <c r="H822" cm="1">
        <f t="array" ref="H822">_xlfn.LET(
  _xlpm.s, TRIM(F822),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22" t="str">
        <f>_xlfn.XLOOKUP(E822,Calendar!C:C,Calendar!B:B)</f>
        <v>Working Day</v>
      </c>
    </row>
    <row r="823" spans="1:9" x14ac:dyDescent="0.25">
      <c r="A823" t="s">
        <v>823</v>
      </c>
      <c r="B823" t="s">
        <v>1384</v>
      </c>
      <c r="C823" t="s">
        <v>1395</v>
      </c>
      <c r="D823" s="2">
        <v>46219.520960648144</v>
      </c>
      <c r="E823" s="2">
        <f t="shared" si="23"/>
        <v>46219</v>
      </c>
      <c r="F823" t="s">
        <v>1738</v>
      </c>
      <c r="G823">
        <f>_xlfn.XLOOKUP(A823,FTD!A:A,FTD!C:C)</f>
        <v>9000</v>
      </c>
      <c r="H823" cm="1">
        <f t="array" ref="H823">_xlfn.LET(
  _xlpm.s, TRIM(F823),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23" t="str">
        <f>_xlfn.XLOOKUP(E823,Calendar!C:C,Calendar!B:B)</f>
        <v>Working Day</v>
      </c>
    </row>
    <row r="824" spans="1:9" x14ac:dyDescent="0.25">
      <c r="A824" t="s">
        <v>824</v>
      </c>
      <c r="B824" t="s">
        <v>1384</v>
      </c>
      <c r="C824" t="s">
        <v>1438</v>
      </c>
      <c r="D824" s="2">
        <v>46220.559259259258</v>
      </c>
      <c r="E824" s="2">
        <f t="shared" si="23"/>
        <v>46220</v>
      </c>
      <c r="F824" t="s">
        <v>1746</v>
      </c>
      <c r="G824">
        <f>_xlfn.XLOOKUP(A824,FTD!A:A,FTD!C:C)</f>
        <v>10000</v>
      </c>
      <c r="H824" cm="1">
        <f t="array" ref="H824">_xlfn.LET(
  _xlpm.s, TRIM(F824),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24" t="str">
        <f>_xlfn.XLOOKUP(E824,Calendar!C:C,Calendar!B:B)</f>
        <v>Working Day</v>
      </c>
    </row>
    <row r="825" spans="1:9" x14ac:dyDescent="0.25">
      <c r="A825" t="s">
        <v>825</v>
      </c>
      <c r="B825" t="s">
        <v>1384</v>
      </c>
      <c r="C825" t="s">
        <v>1428</v>
      </c>
      <c r="D825" s="2">
        <v>46219.55600694444</v>
      </c>
      <c r="E825" s="2">
        <f t="shared" si="23"/>
        <v>46219</v>
      </c>
      <c r="F825" t="s">
        <v>1740</v>
      </c>
      <c r="G825">
        <f>_xlfn.XLOOKUP(A825,FTD!A:A,FTD!C:C)</f>
        <v>1001</v>
      </c>
      <c r="H825" cm="1">
        <f t="array" ref="H825">_xlfn.LET(
  _xlpm.s, TRIM(F825),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25" t="str">
        <f>_xlfn.XLOOKUP(E825,Calendar!C:C,Calendar!B:B)</f>
        <v>Working Day</v>
      </c>
    </row>
    <row r="826" spans="1:9" x14ac:dyDescent="0.25">
      <c r="A826" t="s">
        <v>826</v>
      </c>
      <c r="B826" t="s">
        <v>1385</v>
      </c>
      <c r="C826" t="s">
        <v>1407</v>
      </c>
      <c r="D826" s="2">
        <v>46226.544652777775</v>
      </c>
      <c r="E826" s="2">
        <f t="shared" si="23"/>
        <v>46226</v>
      </c>
      <c r="F826" t="s">
        <v>1741</v>
      </c>
      <c r="G826">
        <f>_xlfn.XLOOKUP(A826,FTD!A:A,FTD!C:C)</f>
        <v>2500</v>
      </c>
      <c r="H826" cm="1">
        <f t="array" ref="H826">_xlfn.LET(
  _xlpm.s, TRIM(F826),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26" t="str">
        <f>_xlfn.XLOOKUP(E826,Calendar!C:C,Calendar!B:B)</f>
        <v>Working Day</v>
      </c>
    </row>
    <row r="827" spans="1:9" x14ac:dyDescent="0.25">
      <c r="A827" t="s">
        <v>827</v>
      </c>
      <c r="B827" t="s">
        <v>1387</v>
      </c>
      <c r="C827" t="s">
        <v>1405</v>
      </c>
      <c r="D827" s="2">
        <v>46204.553391203699</v>
      </c>
      <c r="E827" s="2">
        <f t="shared" si="23"/>
        <v>46204</v>
      </c>
      <c r="F827" t="s">
        <v>1738</v>
      </c>
      <c r="G827">
        <f>_xlfn.XLOOKUP(A827,FTD!A:A,FTD!C:C)</f>
        <v>1000</v>
      </c>
      <c r="H827" cm="1">
        <f t="array" ref="H827">_xlfn.LET(
  _xlpm.s, TRIM(F827),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27" t="str">
        <f>_xlfn.XLOOKUP(E827,Calendar!C:C,Calendar!B:B)</f>
        <v>Working Day</v>
      </c>
    </row>
    <row r="828" spans="1:9" x14ac:dyDescent="0.25">
      <c r="A828" t="s">
        <v>828</v>
      </c>
      <c r="B828" t="s">
        <v>1387</v>
      </c>
      <c r="C828" t="s">
        <v>1413</v>
      </c>
      <c r="D828" s="2">
        <v>46220.573078703703</v>
      </c>
      <c r="E828" s="2">
        <f t="shared" si="23"/>
        <v>46220</v>
      </c>
      <c r="F828" t="s">
        <v>1738</v>
      </c>
      <c r="G828">
        <f>_xlfn.XLOOKUP(A828,FTD!A:A,FTD!C:C)</f>
        <v>10000</v>
      </c>
      <c r="H828" cm="1">
        <f t="array" ref="H828">_xlfn.LET(
  _xlpm.s, TRIM(F828),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28" t="str">
        <f>_xlfn.XLOOKUP(E828,Calendar!C:C,Calendar!B:B)</f>
        <v>Working Day</v>
      </c>
    </row>
    <row r="829" spans="1:9" x14ac:dyDescent="0.25">
      <c r="A829" t="s">
        <v>829</v>
      </c>
      <c r="B829" t="s">
        <v>1387</v>
      </c>
      <c r="C829" t="s">
        <v>1428</v>
      </c>
      <c r="D829" s="2">
        <v>46224.402384259258</v>
      </c>
      <c r="E829" s="2">
        <f t="shared" si="23"/>
        <v>46224</v>
      </c>
      <c r="F829" t="s">
        <v>1738</v>
      </c>
      <c r="G829">
        <f>_xlfn.XLOOKUP(A829,FTD!A:A,FTD!C:C)</f>
        <v>1000</v>
      </c>
      <c r="H829" cm="1">
        <f t="array" ref="H829">_xlfn.LET(
  _xlpm.s, TRIM(F829),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29" t="str">
        <f>_xlfn.XLOOKUP(E829,Calendar!C:C,Calendar!B:B)</f>
        <v>Working Day</v>
      </c>
    </row>
    <row r="830" spans="1:9" x14ac:dyDescent="0.25">
      <c r="A830" t="s">
        <v>830</v>
      </c>
      <c r="B830" t="s">
        <v>1387</v>
      </c>
      <c r="C830" t="s">
        <v>1409</v>
      </c>
      <c r="D830" s="2">
        <v>46227.454398148147</v>
      </c>
      <c r="E830" s="2">
        <f t="shared" si="23"/>
        <v>46227</v>
      </c>
      <c r="F830" t="s">
        <v>1738</v>
      </c>
      <c r="G830">
        <f>_xlfn.XLOOKUP(A830,FTD!A:A,FTD!C:C)</f>
        <v>6000</v>
      </c>
      <c r="H830" cm="1">
        <f t="array" ref="H830">_xlfn.LET(
  _xlpm.s, TRIM(F830),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0" t="str">
        <f>_xlfn.XLOOKUP(E830,Calendar!C:C,Calendar!B:B)</f>
        <v>Working Day</v>
      </c>
    </row>
    <row r="831" spans="1:9" x14ac:dyDescent="0.25">
      <c r="A831" t="s">
        <v>831</v>
      </c>
      <c r="B831" t="s">
        <v>1387</v>
      </c>
      <c r="C831" t="s">
        <v>1393</v>
      </c>
      <c r="D831" s="2">
        <v>46212.569895833331</v>
      </c>
      <c r="E831" s="2">
        <f t="shared" si="23"/>
        <v>46212</v>
      </c>
      <c r="F831" t="s">
        <v>1741</v>
      </c>
      <c r="G831">
        <f>_xlfn.XLOOKUP(A831,FTD!A:A,FTD!C:C)</f>
        <v>1000</v>
      </c>
      <c r="H831" cm="1">
        <f t="array" ref="H831">_xlfn.LET(
  _xlpm.s, TRIM(F831),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1" t="str">
        <f>_xlfn.XLOOKUP(E831,Calendar!C:C,Calendar!B:B)</f>
        <v>Working Day</v>
      </c>
    </row>
    <row r="832" spans="1:9" x14ac:dyDescent="0.25">
      <c r="A832" t="s">
        <v>832</v>
      </c>
      <c r="B832" t="s">
        <v>1387</v>
      </c>
      <c r="C832" t="s">
        <v>1403</v>
      </c>
      <c r="D832" s="2">
        <v>46207.301053240742</v>
      </c>
      <c r="E832" s="2">
        <f t="shared" si="23"/>
        <v>46207</v>
      </c>
      <c r="F832" t="s">
        <v>1745</v>
      </c>
      <c r="G832">
        <f>_xlfn.XLOOKUP(A832,FTD!A:A,FTD!C:C)</f>
        <v>3000</v>
      </c>
      <c r="H832" cm="1">
        <f t="array" ref="H832">_xlfn.LET(
  _xlpm.s, TRIM(F832),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32" t="str">
        <f>_xlfn.XLOOKUP(E832,Calendar!C:C,Calendar!B:B)</f>
        <v>Saturday</v>
      </c>
    </row>
    <row r="833" spans="1:9" x14ac:dyDescent="0.25">
      <c r="A833" t="s">
        <v>833</v>
      </c>
      <c r="B833" t="s">
        <v>1387</v>
      </c>
      <c r="C833" t="s">
        <v>1402</v>
      </c>
      <c r="D833" s="2">
        <v>46223.712442129625</v>
      </c>
      <c r="E833" s="2">
        <f t="shared" si="23"/>
        <v>46223</v>
      </c>
      <c r="F833" t="s">
        <v>1738</v>
      </c>
      <c r="G833">
        <f>_xlfn.XLOOKUP(A833,FTD!A:A,FTD!C:C)</f>
        <v>1000</v>
      </c>
      <c r="H833" cm="1">
        <f t="array" ref="H833">_xlfn.LET(
  _xlpm.s, TRIM(F833),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3" t="str">
        <f>_xlfn.XLOOKUP(E833,Calendar!C:C,Calendar!B:B)</f>
        <v>Working Day</v>
      </c>
    </row>
    <row r="834" spans="1:9" x14ac:dyDescent="0.25">
      <c r="A834" t="s">
        <v>834</v>
      </c>
      <c r="B834" t="s">
        <v>1387</v>
      </c>
      <c r="C834" t="s">
        <v>1408</v>
      </c>
      <c r="D834" s="2">
        <v>46223.722442129627</v>
      </c>
      <c r="E834" s="2">
        <f t="shared" si="23"/>
        <v>46223</v>
      </c>
      <c r="F834" t="s">
        <v>1738</v>
      </c>
      <c r="G834">
        <f>_xlfn.XLOOKUP(A834,FTD!A:A,FTD!C:C)</f>
        <v>2000</v>
      </c>
      <c r="H834" cm="1">
        <f t="array" ref="H834">_xlfn.LET(
  _xlpm.s, TRIM(F834),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4" t="str">
        <f>_xlfn.XLOOKUP(E834,Calendar!C:C,Calendar!B:B)</f>
        <v>Working Day</v>
      </c>
    </row>
    <row r="835" spans="1:9" x14ac:dyDescent="0.25">
      <c r="A835" t="s">
        <v>835</v>
      </c>
      <c r="B835" t="s">
        <v>1387</v>
      </c>
      <c r="C835" t="s">
        <v>1399</v>
      </c>
      <c r="D835" s="2">
        <v>46216.389398148145</v>
      </c>
      <c r="E835" s="2">
        <f t="shared" ref="E835:E898" si="24">INT(D835)</f>
        <v>46216</v>
      </c>
      <c r="F835" t="s">
        <v>1738</v>
      </c>
      <c r="G835">
        <f>_xlfn.XLOOKUP(A835,FTD!A:A,FTD!C:C)</f>
        <v>4000</v>
      </c>
      <c r="H835" cm="1">
        <f t="array" ref="H835">_xlfn.LET(
  _xlpm.s, TRIM(F835),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5" t="str">
        <f>_xlfn.XLOOKUP(E835,Calendar!C:C,Calendar!B:B)</f>
        <v>Working Day</v>
      </c>
    </row>
    <row r="836" spans="1:9" x14ac:dyDescent="0.25">
      <c r="A836" t="s">
        <v>836</v>
      </c>
      <c r="B836" t="s">
        <v>1387</v>
      </c>
      <c r="C836" t="s">
        <v>1399</v>
      </c>
      <c r="D836" s="2">
        <v>46214.453715277778</v>
      </c>
      <c r="E836" s="2">
        <f t="shared" si="24"/>
        <v>46214</v>
      </c>
      <c r="F836" t="s">
        <v>1738</v>
      </c>
      <c r="G836">
        <f>_xlfn.XLOOKUP(A836,FTD!A:A,FTD!C:C)</f>
        <v>1000</v>
      </c>
      <c r="H836" cm="1">
        <f t="array" ref="H836">_xlfn.LET(
  _xlpm.s, TRIM(F836),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6" t="str">
        <f>_xlfn.XLOOKUP(E836,Calendar!C:C,Calendar!B:B)</f>
        <v>Saturday</v>
      </c>
    </row>
    <row r="837" spans="1:9" x14ac:dyDescent="0.25">
      <c r="A837" t="s">
        <v>837</v>
      </c>
      <c r="B837" t="s">
        <v>1387</v>
      </c>
      <c r="C837" t="s">
        <v>1408</v>
      </c>
      <c r="D837" s="2">
        <v>46215.691516203704</v>
      </c>
      <c r="E837" s="2">
        <f t="shared" si="24"/>
        <v>46215</v>
      </c>
      <c r="F837" t="s">
        <v>1738</v>
      </c>
      <c r="G837">
        <f>_xlfn.XLOOKUP(A837,FTD!A:A,FTD!C:C)</f>
        <v>1000</v>
      </c>
      <c r="H837" cm="1">
        <f t="array" ref="H837">_xlfn.LET(
  _xlpm.s, TRIM(F837),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7" t="str">
        <f>_xlfn.XLOOKUP(E837,Calendar!C:C,Calendar!B:B)</f>
        <v>Sunday</v>
      </c>
    </row>
    <row r="838" spans="1:9" x14ac:dyDescent="0.25">
      <c r="A838" t="s">
        <v>838</v>
      </c>
      <c r="B838" t="s">
        <v>1387</v>
      </c>
      <c r="C838" t="s">
        <v>1408</v>
      </c>
      <c r="D838" s="2">
        <v>46231.902048611111</v>
      </c>
      <c r="E838" s="2">
        <f t="shared" si="24"/>
        <v>46231</v>
      </c>
      <c r="F838" t="s">
        <v>1739</v>
      </c>
      <c r="G838">
        <f>_xlfn.XLOOKUP(A838,FTD!A:A,FTD!C:C)</f>
        <v>1000</v>
      </c>
      <c r="H838" cm="1">
        <f t="array" ref="H838">_xlfn.LET(
  _xlpm.s, TRIM(F838),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38" t="str">
        <f>_xlfn.XLOOKUP(E838,Calendar!C:C,Calendar!B:B)</f>
        <v>Working Day</v>
      </c>
    </row>
    <row r="839" spans="1:9" x14ac:dyDescent="0.25">
      <c r="A839" t="s">
        <v>839</v>
      </c>
      <c r="B839" t="s">
        <v>1387</v>
      </c>
      <c r="C839" t="s">
        <v>1397</v>
      </c>
      <c r="D839" s="2">
        <v>46211.395925925921</v>
      </c>
      <c r="E839" s="2">
        <f t="shared" si="24"/>
        <v>46211</v>
      </c>
      <c r="F839" t="s">
        <v>1743</v>
      </c>
      <c r="G839">
        <f>_xlfn.XLOOKUP(A839,FTD!A:A,FTD!C:C)</f>
        <v>1000</v>
      </c>
      <c r="H839" cm="1">
        <f t="array" ref="H839">_xlfn.LET(
  _xlpm.s, TRIM(F839),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39" t="str">
        <f>_xlfn.XLOOKUP(E839,Calendar!C:C,Calendar!B:B)</f>
        <v>Working Day</v>
      </c>
    </row>
    <row r="840" spans="1:9" x14ac:dyDescent="0.25">
      <c r="A840" t="s">
        <v>840</v>
      </c>
      <c r="B840" t="s">
        <v>1387</v>
      </c>
      <c r="C840" t="s">
        <v>1406</v>
      </c>
      <c r="D840" s="2">
        <v>46207.853831018518</v>
      </c>
      <c r="E840" s="2">
        <f t="shared" si="24"/>
        <v>46207</v>
      </c>
      <c r="F840" t="s">
        <v>1741</v>
      </c>
      <c r="G840">
        <f>_xlfn.XLOOKUP(A840,FTD!A:A,FTD!C:C)</f>
        <v>1000</v>
      </c>
      <c r="H840" cm="1">
        <f t="array" ref="H840">_xlfn.LET(
  _xlpm.s, TRIM(F840),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0" t="str">
        <f>_xlfn.XLOOKUP(E840,Calendar!C:C,Calendar!B:B)</f>
        <v>Saturday</v>
      </c>
    </row>
    <row r="841" spans="1:9" x14ac:dyDescent="0.25">
      <c r="A841" t="s">
        <v>841</v>
      </c>
      <c r="B841" t="s">
        <v>1387</v>
      </c>
      <c r="C841" t="s">
        <v>1417</v>
      </c>
      <c r="D841" s="2">
        <v>46210.572465277779</v>
      </c>
      <c r="E841" s="2">
        <f t="shared" si="24"/>
        <v>46210</v>
      </c>
      <c r="F841" t="s">
        <v>1743</v>
      </c>
      <c r="G841">
        <f>_xlfn.XLOOKUP(A841,FTD!A:A,FTD!C:C)</f>
        <v>2000</v>
      </c>
      <c r="H841" cm="1">
        <f t="array" ref="H841">_xlfn.LET(
  _xlpm.s, TRIM(F841),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1" t="str">
        <f>_xlfn.XLOOKUP(E841,Calendar!C:C,Calendar!B:B)</f>
        <v>Working Day</v>
      </c>
    </row>
    <row r="842" spans="1:9" x14ac:dyDescent="0.25">
      <c r="A842" t="s">
        <v>842</v>
      </c>
      <c r="B842" t="s">
        <v>1387</v>
      </c>
      <c r="C842" t="s">
        <v>1412</v>
      </c>
      <c r="D842" s="2">
        <v>46205.390370370369</v>
      </c>
      <c r="E842" s="2">
        <f t="shared" si="24"/>
        <v>46205</v>
      </c>
      <c r="F842" t="s">
        <v>1738</v>
      </c>
      <c r="G842">
        <f>_xlfn.XLOOKUP(A842,FTD!A:A,FTD!C:C)</f>
        <v>1300</v>
      </c>
      <c r="H842" cm="1">
        <f t="array" ref="H842">_xlfn.LET(
  _xlpm.s, TRIM(F842),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2" t="str">
        <f>_xlfn.XLOOKUP(E842,Calendar!C:C,Calendar!B:B)</f>
        <v>Working Day</v>
      </c>
    </row>
    <row r="843" spans="1:9" x14ac:dyDescent="0.25">
      <c r="A843" t="s">
        <v>843</v>
      </c>
      <c r="B843" t="s">
        <v>1387</v>
      </c>
      <c r="C843" t="s">
        <v>1412</v>
      </c>
      <c r="D843" s="2">
        <v>46230.475324074076</v>
      </c>
      <c r="E843" s="2">
        <f t="shared" si="24"/>
        <v>46230</v>
      </c>
      <c r="F843" t="s">
        <v>1738</v>
      </c>
      <c r="G843">
        <f>_xlfn.XLOOKUP(A843,FTD!A:A,FTD!C:C)</f>
        <v>4000</v>
      </c>
      <c r="H843" cm="1">
        <f t="array" ref="H843">_xlfn.LET(
  _xlpm.s, TRIM(F843),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3" t="str">
        <f>_xlfn.XLOOKUP(E843,Calendar!C:C,Calendar!B:B)</f>
        <v>Working Day</v>
      </c>
    </row>
    <row r="844" spans="1:9" x14ac:dyDescent="0.25">
      <c r="A844" t="s">
        <v>844</v>
      </c>
      <c r="B844" t="s">
        <v>1387</v>
      </c>
      <c r="C844" t="s">
        <v>1401</v>
      </c>
      <c r="D844" s="2">
        <v>46219.635578703703</v>
      </c>
      <c r="E844" s="2">
        <f t="shared" si="24"/>
        <v>46219</v>
      </c>
      <c r="F844" t="s">
        <v>1744</v>
      </c>
      <c r="G844">
        <f>_xlfn.XLOOKUP(A844,FTD!A:A,FTD!C:C)</f>
        <v>1000</v>
      </c>
      <c r="H844" cm="1">
        <f t="array" ref="H844">_xlfn.LET(
  _xlpm.s, TRIM(F844),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4" t="str">
        <f>_xlfn.XLOOKUP(E844,Calendar!C:C,Calendar!B:B)</f>
        <v>Working Day</v>
      </c>
    </row>
    <row r="845" spans="1:9" x14ac:dyDescent="0.25">
      <c r="A845" t="s">
        <v>845</v>
      </c>
      <c r="B845" t="s">
        <v>1387</v>
      </c>
      <c r="C845" t="s">
        <v>1406</v>
      </c>
      <c r="D845" s="2">
        <v>46217.494212962964</v>
      </c>
      <c r="E845" s="2">
        <f t="shared" si="24"/>
        <v>46217</v>
      </c>
      <c r="F845" t="s">
        <v>1745</v>
      </c>
      <c r="G845">
        <f>_xlfn.XLOOKUP(A845,FTD!A:A,FTD!C:C)</f>
        <v>2000</v>
      </c>
      <c r="H845" cm="1">
        <f t="array" ref="H845">_xlfn.LET(
  _xlpm.s, TRIM(F845),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45" t="str">
        <f>_xlfn.XLOOKUP(E845,Calendar!C:C,Calendar!B:B)</f>
        <v>Working Day</v>
      </c>
    </row>
    <row r="846" spans="1:9" x14ac:dyDescent="0.25">
      <c r="A846" t="s">
        <v>846</v>
      </c>
      <c r="B846" t="s">
        <v>1384</v>
      </c>
      <c r="C846" t="s">
        <v>1428</v>
      </c>
      <c r="D846" s="2">
        <v>46221.897094907406</v>
      </c>
      <c r="E846" s="2">
        <f t="shared" si="24"/>
        <v>46221</v>
      </c>
      <c r="F846" t="s">
        <v>1738</v>
      </c>
      <c r="G846">
        <f>_xlfn.XLOOKUP(A846,FTD!A:A,FTD!C:C)</f>
        <v>1000</v>
      </c>
      <c r="H846" cm="1">
        <f t="array" ref="H846">_xlfn.LET(
  _xlpm.s, TRIM(F846),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6" t="str">
        <f>_xlfn.XLOOKUP(E846,Calendar!C:C,Calendar!B:B)</f>
        <v>Saturday</v>
      </c>
    </row>
    <row r="847" spans="1:9" x14ac:dyDescent="0.25">
      <c r="A847" t="s">
        <v>847</v>
      </c>
      <c r="B847" t="s">
        <v>1384</v>
      </c>
      <c r="C847" t="s">
        <v>1398</v>
      </c>
      <c r="D847" s="2">
        <v>46206.454282407409</v>
      </c>
      <c r="E847" s="2">
        <f t="shared" si="24"/>
        <v>46206</v>
      </c>
      <c r="F847" t="s">
        <v>1740</v>
      </c>
      <c r="G847">
        <f>_xlfn.XLOOKUP(A847,FTD!A:A,FTD!C:C)</f>
        <v>2000</v>
      </c>
      <c r="H847" cm="1">
        <f t="array" ref="H847">_xlfn.LET(
  _xlpm.s, TRIM(F847),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47" t="str">
        <f>_xlfn.XLOOKUP(E847,Calendar!C:C,Calendar!B:B)</f>
        <v>Working Day</v>
      </c>
    </row>
    <row r="848" spans="1:9" x14ac:dyDescent="0.25">
      <c r="A848" t="s">
        <v>848</v>
      </c>
      <c r="B848" t="s">
        <v>1384</v>
      </c>
      <c r="C848" t="s">
        <v>1425</v>
      </c>
      <c r="D848" s="2">
        <v>46231.64806712963</v>
      </c>
      <c r="E848" s="2">
        <f t="shared" si="24"/>
        <v>46231</v>
      </c>
      <c r="F848" t="s">
        <v>1757</v>
      </c>
      <c r="G848">
        <f>_xlfn.XLOOKUP(A848,FTD!A:A,FTD!C:C)</f>
        <v>500</v>
      </c>
      <c r="H848" cm="1">
        <f t="array" ref="H848">_xlfn.LET(
  _xlpm.s, TRIM(F848),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8" t="str">
        <f>_xlfn.XLOOKUP(E848,Calendar!C:C,Calendar!B:B)</f>
        <v>Working Day</v>
      </c>
    </row>
    <row r="849" spans="1:9" x14ac:dyDescent="0.25">
      <c r="A849" t="s">
        <v>849</v>
      </c>
      <c r="B849" t="s">
        <v>1387</v>
      </c>
      <c r="C849" t="s">
        <v>1400</v>
      </c>
      <c r="D849" s="2">
        <v>46222.650868055556</v>
      </c>
      <c r="E849" s="2">
        <f t="shared" si="24"/>
        <v>46222</v>
      </c>
      <c r="F849" t="s">
        <v>1744</v>
      </c>
      <c r="G849">
        <f>_xlfn.XLOOKUP(A849,FTD!A:A,FTD!C:C)</f>
        <v>1000</v>
      </c>
      <c r="H849" cm="1">
        <f t="array" ref="H849">_xlfn.LET(
  _xlpm.s, TRIM(F849),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49" t="str">
        <f>_xlfn.XLOOKUP(E849,Calendar!C:C,Calendar!B:B)</f>
        <v>Sunday</v>
      </c>
    </row>
    <row r="850" spans="1:9" x14ac:dyDescent="0.25">
      <c r="A850" t="s">
        <v>850</v>
      </c>
      <c r="B850" t="s">
        <v>1387</v>
      </c>
      <c r="C850" t="s">
        <v>1408</v>
      </c>
      <c r="D850" s="2">
        <v>46206.801134259258</v>
      </c>
      <c r="E850" s="2">
        <f t="shared" si="24"/>
        <v>46206</v>
      </c>
      <c r="F850" t="s">
        <v>1738</v>
      </c>
      <c r="G850">
        <f>_xlfn.XLOOKUP(A850,FTD!A:A,FTD!C:C)</f>
        <v>5000</v>
      </c>
      <c r="H850" cm="1">
        <f t="array" ref="H850">_xlfn.LET(
  _xlpm.s, TRIM(F850),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50" t="str">
        <f>_xlfn.XLOOKUP(E850,Calendar!C:C,Calendar!B:B)</f>
        <v>Working Day</v>
      </c>
    </row>
    <row r="851" spans="1:9" x14ac:dyDescent="0.25">
      <c r="A851" t="s">
        <v>851</v>
      </c>
      <c r="B851" t="s">
        <v>1387</v>
      </c>
      <c r="C851" t="s">
        <v>1401</v>
      </c>
      <c r="D851" s="2">
        <v>46216.467499999999</v>
      </c>
      <c r="E851" s="2">
        <f t="shared" si="24"/>
        <v>46216</v>
      </c>
      <c r="F851" t="s">
        <v>1739</v>
      </c>
      <c r="G851">
        <f>_xlfn.XLOOKUP(A851,FTD!A:A,FTD!C:C)</f>
        <v>1000</v>
      </c>
      <c r="H851" cm="1">
        <f t="array" ref="H851">_xlfn.LET(
  _xlpm.s, TRIM(F851),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51" t="str">
        <f>_xlfn.XLOOKUP(E851,Calendar!C:C,Calendar!B:B)</f>
        <v>Working Day</v>
      </c>
    </row>
    <row r="852" spans="1:9" x14ac:dyDescent="0.25">
      <c r="A852" t="s">
        <v>852</v>
      </c>
      <c r="B852" t="s">
        <v>1387</v>
      </c>
      <c r="C852" t="s">
        <v>1408</v>
      </c>
      <c r="D852" s="2">
        <v>46225.189074074071</v>
      </c>
      <c r="E852" s="2">
        <f t="shared" si="24"/>
        <v>46225</v>
      </c>
      <c r="F852" t="s">
        <v>1739</v>
      </c>
      <c r="G852">
        <f>_xlfn.XLOOKUP(A852,FTD!A:A,FTD!C:C)</f>
        <v>1000</v>
      </c>
      <c r="H852" cm="1">
        <f t="array" ref="H852">_xlfn.LET(
  _xlpm.s, TRIM(F852),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52" t="str">
        <f>_xlfn.XLOOKUP(E852,Calendar!C:C,Calendar!B:B)</f>
        <v>Working Day</v>
      </c>
    </row>
    <row r="853" spans="1:9" x14ac:dyDescent="0.25">
      <c r="A853" t="s">
        <v>853</v>
      </c>
      <c r="B853" t="s">
        <v>1387</v>
      </c>
      <c r="C853" t="s">
        <v>1415</v>
      </c>
      <c r="D853" s="2">
        <v>46213.960798611108</v>
      </c>
      <c r="E853" s="2">
        <f t="shared" si="24"/>
        <v>46213</v>
      </c>
      <c r="F853" t="s">
        <v>1744</v>
      </c>
      <c r="G853">
        <f>_xlfn.XLOOKUP(A853,FTD!A:A,FTD!C:C)</f>
        <v>1000</v>
      </c>
      <c r="H853" cm="1">
        <f t="array" ref="H853">_xlfn.LET(
  _xlpm.s, TRIM(F853),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53" t="str">
        <f>_xlfn.XLOOKUP(E853,Calendar!C:C,Calendar!B:B)</f>
        <v>Working Day</v>
      </c>
    </row>
    <row r="854" spans="1:9" x14ac:dyDescent="0.25">
      <c r="A854" t="s">
        <v>854</v>
      </c>
      <c r="B854" t="s">
        <v>1387</v>
      </c>
      <c r="C854" t="s">
        <v>1431</v>
      </c>
      <c r="D854" s="2">
        <v>46212.267407407402</v>
      </c>
      <c r="E854" s="2">
        <f t="shared" si="24"/>
        <v>46212</v>
      </c>
      <c r="F854" t="s">
        <v>1743</v>
      </c>
      <c r="G854">
        <f>_xlfn.XLOOKUP(A854,FTD!A:A,FTD!C:C)</f>
        <v>1000</v>
      </c>
      <c r="H854" cm="1">
        <f t="array" ref="H854">_xlfn.LET(
  _xlpm.s, TRIM(F854),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54" t="str">
        <f>_xlfn.XLOOKUP(E854,Calendar!C:C,Calendar!B:B)</f>
        <v>Working Day</v>
      </c>
    </row>
    <row r="855" spans="1:9" x14ac:dyDescent="0.25">
      <c r="A855" t="s">
        <v>855</v>
      </c>
      <c r="B855" t="s">
        <v>1387</v>
      </c>
      <c r="C855" t="s">
        <v>1433</v>
      </c>
      <c r="D855" s="2">
        <v>46233.503553240742</v>
      </c>
      <c r="E855" s="2">
        <f t="shared" si="24"/>
        <v>46233</v>
      </c>
      <c r="F855" t="s">
        <v>1743</v>
      </c>
      <c r="G855">
        <f>_xlfn.XLOOKUP(A855,FTD!A:A,FTD!C:C)</f>
        <v>2000</v>
      </c>
      <c r="H855" cm="1">
        <f t="array" ref="H855">_xlfn.LET(
  _xlpm.s, TRIM(F855),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55" t="str">
        <f>_xlfn.XLOOKUP(E855,Calendar!C:C,Calendar!B:B)</f>
        <v>Working Day</v>
      </c>
    </row>
    <row r="856" spans="1:9" x14ac:dyDescent="0.25">
      <c r="A856" t="s">
        <v>856</v>
      </c>
      <c r="B856" t="s">
        <v>1387</v>
      </c>
      <c r="C856" t="s">
        <v>1392</v>
      </c>
      <c r="D856" s="2">
        <v>46205.910092592589</v>
      </c>
      <c r="E856" s="2">
        <f t="shared" si="24"/>
        <v>46205</v>
      </c>
      <c r="F856" t="s">
        <v>1739</v>
      </c>
      <c r="G856">
        <f>_xlfn.XLOOKUP(A856,FTD!A:A,FTD!C:C)</f>
        <v>2000</v>
      </c>
      <c r="H856" cm="1">
        <f t="array" ref="H856">_xlfn.LET(
  _xlpm.s, TRIM(F856),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56" t="str">
        <f>_xlfn.XLOOKUP(E856,Calendar!C:C,Calendar!B:B)</f>
        <v>Working Day</v>
      </c>
    </row>
    <row r="857" spans="1:9" x14ac:dyDescent="0.25">
      <c r="A857" t="s">
        <v>857</v>
      </c>
      <c r="B857" t="s">
        <v>1387</v>
      </c>
      <c r="C857" t="s">
        <v>1409</v>
      </c>
      <c r="D857" s="2">
        <v>46234.964444444442</v>
      </c>
      <c r="E857" s="2">
        <f t="shared" si="24"/>
        <v>46234</v>
      </c>
      <c r="F857" t="s">
        <v>1753</v>
      </c>
      <c r="G857">
        <f>_xlfn.XLOOKUP(A857,FTD!A:A,FTD!C:C)</f>
        <v>3000</v>
      </c>
      <c r="H857" cm="1">
        <f t="array" ref="H857">_xlfn.LET(
  _xlpm.s, TRIM(F857),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57" t="str">
        <f>_xlfn.XLOOKUP(E857,Calendar!C:C,Calendar!B:B)</f>
        <v>Working Day</v>
      </c>
    </row>
    <row r="858" spans="1:9" x14ac:dyDescent="0.25">
      <c r="A858" t="s">
        <v>858</v>
      </c>
      <c r="B858" t="s">
        <v>1384</v>
      </c>
      <c r="C858" t="s">
        <v>1433</v>
      </c>
      <c r="D858" s="2">
        <v>46231.761342592588</v>
      </c>
      <c r="E858" s="2">
        <f t="shared" si="24"/>
        <v>46231</v>
      </c>
      <c r="F858" t="s">
        <v>1740</v>
      </c>
      <c r="G858">
        <f>_xlfn.XLOOKUP(A858,FTD!A:A,FTD!C:C)</f>
        <v>1000</v>
      </c>
      <c r="H858" cm="1">
        <f t="array" ref="H858">_xlfn.LET(
  _xlpm.s, TRIM(F858),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58" t="str">
        <f>_xlfn.XLOOKUP(E858,Calendar!C:C,Calendar!B:B)</f>
        <v>Working Day</v>
      </c>
    </row>
    <row r="859" spans="1:9" x14ac:dyDescent="0.25">
      <c r="A859" t="s">
        <v>859</v>
      </c>
      <c r="B859" t="s">
        <v>1384</v>
      </c>
      <c r="C859" t="s">
        <v>1403</v>
      </c>
      <c r="D859" s="2">
        <v>46219.58798611111</v>
      </c>
      <c r="E859" s="2">
        <f t="shared" si="24"/>
        <v>46219</v>
      </c>
      <c r="F859" t="s">
        <v>1758</v>
      </c>
      <c r="G859">
        <f>_xlfn.XLOOKUP(A859,FTD!A:A,FTD!C:C)</f>
        <v>1000</v>
      </c>
      <c r="H859" cm="1">
        <f t="array" ref="H859">_xlfn.LET(
  _xlpm.s, TRIM(F859),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59" t="str">
        <f>_xlfn.XLOOKUP(E859,Calendar!C:C,Calendar!B:B)</f>
        <v>Working Day</v>
      </c>
    </row>
    <row r="860" spans="1:9" x14ac:dyDescent="0.25">
      <c r="A860" t="s">
        <v>860</v>
      </c>
      <c r="B860" t="s">
        <v>1387</v>
      </c>
      <c r="C860" t="s">
        <v>1430</v>
      </c>
      <c r="D860" s="2">
        <v>46220.688067129631</v>
      </c>
      <c r="E860" s="2">
        <f t="shared" si="24"/>
        <v>46220</v>
      </c>
      <c r="F860" t="s">
        <v>1743</v>
      </c>
      <c r="G860">
        <f>_xlfn.XLOOKUP(A860,FTD!A:A,FTD!C:C)</f>
        <v>3000</v>
      </c>
      <c r="H860" cm="1">
        <f t="array" ref="H860">_xlfn.LET(
  _xlpm.s, TRIM(F860),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60" t="str">
        <f>_xlfn.XLOOKUP(E860,Calendar!C:C,Calendar!B:B)</f>
        <v>Working Day</v>
      </c>
    </row>
    <row r="861" spans="1:9" x14ac:dyDescent="0.25">
      <c r="A861" t="s">
        <v>861</v>
      </c>
      <c r="B861" t="s">
        <v>1387</v>
      </c>
      <c r="C861" t="s">
        <v>1399</v>
      </c>
      <c r="D861" s="2">
        <v>46220.59469907407</v>
      </c>
      <c r="E861" s="2">
        <f t="shared" si="24"/>
        <v>46220</v>
      </c>
      <c r="F861" t="s">
        <v>1738</v>
      </c>
      <c r="G861">
        <f>_xlfn.XLOOKUP(A861,FTD!A:A,FTD!C:C)</f>
        <v>3500</v>
      </c>
      <c r="H861" cm="1">
        <f t="array" ref="H861">_xlfn.LET(
  _xlpm.s, TRIM(F861),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61" t="str">
        <f>_xlfn.XLOOKUP(E861,Calendar!C:C,Calendar!B:B)</f>
        <v>Working Day</v>
      </c>
    </row>
    <row r="862" spans="1:9" x14ac:dyDescent="0.25">
      <c r="A862" t="s">
        <v>862</v>
      </c>
      <c r="B862" t="s">
        <v>1387</v>
      </c>
      <c r="C862" t="s">
        <v>1401</v>
      </c>
      <c r="D862" s="2">
        <v>46234.305659722224</v>
      </c>
      <c r="E862" s="2">
        <f t="shared" si="24"/>
        <v>46234</v>
      </c>
      <c r="F862" t="s">
        <v>1739</v>
      </c>
      <c r="G862">
        <f>_xlfn.XLOOKUP(A862,FTD!A:A,FTD!C:C)</f>
        <v>1000</v>
      </c>
      <c r="H862" cm="1">
        <f t="array" ref="H862">_xlfn.LET(
  _xlpm.s, TRIM(F862),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62" t="str">
        <f>_xlfn.XLOOKUP(E862,Calendar!C:C,Calendar!B:B)</f>
        <v>Working Day</v>
      </c>
    </row>
    <row r="863" spans="1:9" x14ac:dyDescent="0.25">
      <c r="A863" t="s">
        <v>863</v>
      </c>
      <c r="B863" t="s">
        <v>1387</v>
      </c>
      <c r="C863" t="s">
        <v>1408</v>
      </c>
      <c r="D863" s="2">
        <v>46217.486805555556</v>
      </c>
      <c r="E863" s="2">
        <f t="shared" si="24"/>
        <v>46217</v>
      </c>
      <c r="F863" t="s">
        <v>1739</v>
      </c>
      <c r="G863">
        <f>_xlfn.XLOOKUP(A863,FTD!A:A,FTD!C:C)</f>
        <v>1000</v>
      </c>
      <c r="H863" cm="1">
        <f t="array" ref="H863">_xlfn.LET(
  _xlpm.s, TRIM(F863),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63" t="str">
        <f>_xlfn.XLOOKUP(E863,Calendar!C:C,Calendar!B:B)</f>
        <v>Working Day</v>
      </c>
    </row>
    <row r="864" spans="1:9" x14ac:dyDescent="0.25">
      <c r="A864" t="s">
        <v>864</v>
      </c>
      <c r="B864" t="s">
        <v>1385</v>
      </c>
      <c r="C864" t="s">
        <v>1420</v>
      </c>
      <c r="D864" s="2">
        <v>46226.386689814812</v>
      </c>
      <c r="E864" s="2">
        <f t="shared" si="24"/>
        <v>46226</v>
      </c>
      <c r="F864" t="s">
        <v>1745</v>
      </c>
      <c r="G864">
        <f>_xlfn.XLOOKUP(A864,FTD!A:A,FTD!C:C)</f>
        <v>1000</v>
      </c>
      <c r="H864" cm="1">
        <f t="array" ref="H864">_xlfn.LET(
  _xlpm.s, TRIM(F864),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64" t="str">
        <f>_xlfn.XLOOKUP(E864,Calendar!C:C,Calendar!B:B)</f>
        <v>Working Day</v>
      </c>
    </row>
    <row r="865" spans="1:9" x14ac:dyDescent="0.25">
      <c r="A865" t="s">
        <v>865</v>
      </c>
      <c r="B865" t="s">
        <v>1384</v>
      </c>
      <c r="C865" t="s">
        <v>1405</v>
      </c>
      <c r="D865" s="2">
        <v>46223.551238425927</v>
      </c>
      <c r="E865" s="2">
        <f t="shared" si="24"/>
        <v>46223</v>
      </c>
      <c r="F865" t="s">
        <v>1740</v>
      </c>
      <c r="G865">
        <f>_xlfn.XLOOKUP(A865,FTD!A:A,FTD!C:C)</f>
        <v>500</v>
      </c>
      <c r="H865" cm="1">
        <f t="array" ref="H865">_xlfn.LET(
  _xlpm.s, TRIM(F865),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65" t="str">
        <f>_xlfn.XLOOKUP(E865,Calendar!C:C,Calendar!B:B)</f>
        <v>Working Day</v>
      </c>
    </row>
    <row r="866" spans="1:9" x14ac:dyDescent="0.25">
      <c r="A866" t="s">
        <v>866</v>
      </c>
      <c r="B866" t="s">
        <v>1384</v>
      </c>
      <c r="C866" t="s">
        <v>1428</v>
      </c>
      <c r="D866" s="2">
        <v>46223.497245370367</v>
      </c>
      <c r="E866" s="2">
        <f t="shared" si="24"/>
        <v>46223</v>
      </c>
      <c r="F866" t="s">
        <v>1759</v>
      </c>
      <c r="G866">
        <f>_xlfn.XLOOKUP(A866,FTD!A:A,FTD!C:C)</f>
        <v>500</v>
      </c>
      <c r="H866" cm="1">
        <f t="array" ref="H866">_xlfn.LET(
  _xlpm.s, TRIM(F866),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866" t="str">
        <f>_xlfn.XLOOKUP(E866,Calendar!C:C,Calendar!B:B)</f>
        <v>Working Day</v>
      </c>
    </row>
    <row r="867" spans="1:9" x14ac:dyDescent="0.25">
      <c r="A867" t="s">
        <v>867</v>
      </c>
      <c r="B867" t="s">
        <v>1387</v>
      </c>
      <c r="C867" t="s">
        <v>1393</v>
      </c>
      <c r="D867" s="2">
        <v>46212.805277777778</v>
      </c>
      <c r="E867" s="2">
        <f t="shared" si="24"/>
        <v>46212</v>
      </c>
      <c r="F867" t="s">
        <v>1738</v>
      </c>
      <c r="G867">
        <f>_xlfn.XLOOKUP(A867,FTD!A:A,FTD!C:C)</f>
        <v>10000</v>
      </c>
      <c r="H867" cm="1">
        <f t="array" ref="H867">_xlfn.LET(
  _xlpm.s, TRIM(F867),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67" t="str">
        <f>_xlfn.XLOOKUP(E867,Calendar!C:C,Calendar!B:B)</f>
        <v>Working Day</v>
      </c>
    </row>
    <row r="868" spans="1:9" x14ac:dyDescent="0.25">
      <c r="A868" t="s">
        <v>868</v>
      </c>
      <c r="B868" t="s">
        <v>1387</v>
      </c>
      <c r="C868" t="s">
        <v>1412</v>
      </c>
      <c r="D868" s="2">
        <v>46220.607488425921</v>
      </c>
      <c r="E868" s="2">
        <f t="shared" si="24"/>
        <v>46220</v>
      </c>
      <c r="F868" t="s">
        <v>1738</v>
      </c>
      <c r="G868">
        <f>_xlfn.XLOOKUP(A868,FTD!A:A,FTD!C:C)</f>
        <v>44400</v>
      </c>
      <c r="H868" cm="1">
        <f t="array" ref="H868">_xlfn.LET(
  _xlpm.s, TRIM(F868),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68" t="str">
        <f>_xlfn.XLOOKUP(E868,Calendar!C:C,Calendar!B:B)</f>
        <v>Working Day</v>
      </c>
    </row>
    <row r="869" spans="1:9" x14ac:dyDescent="0.25">
      <c r="A869" t="s">
        <v>869</v>
      </c>
      <c r="B869" t="s">
        <v>1387</v>
      </c>
      <c r="C869" t="s">
        <v>1397</v>
      </c>
      <c r="D869" s="2">
        <v>46234.419918981483</v>
      </c>
      <c r="E869" s="2">
        <f t="shared" si="24"/>
        <v>46234</v>
      </c>
      <c r="F869" t="s">
        <v>1739</v>
      </c>
      <c r="G869">
        <f>_xlfn.XLOOKUP(A869,FTD!A:A,FTD!C:C)</f>
        <v>16000</v>
      </c>
      <c r="H869" cm="1">
        <f t="array" ref="H869">_xlfn.LET(
  _xlpm.s, TRIM(F869),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69" t="str">
        <f>_xlfn.XLOOKUP(E869,Calendar!C:C,Calendar!B:B)</f>
        <v>Working Day</v>
      </c>
    </row>
    <row r="870" spans="1:9" x14ac:dyDescent="0.25">
      <c r="A870" t="s">
        <v>870</v>
      </c>
      <c r="B870" t="s">
        <v>1387</v>
      </c>
      <c r="C870" t="s">
        <v>1408</v>
      </c>
      <c r="D870" s="2">
        <v>46209.646782407406</v>
      </c>
      <c r="E870" s="2">
        <f t="shared" si="24"/>
        <v>46209</v>
      </c>
      <c r="F870" t="s">
        <v>1738</v>
      </c>
      <c r="G870">
        <f>_xlfn.XLOOKUP(A870,FTD!A:A,FTD!C:C)</f>
        <v>1000</v>
      </c>
      <c r="H870" cm="1">
        <f t="array" ref="H870">_xlfn.LET(
  _xlpm.s, TRIM(F870),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0" t="str">
        <f>_xlfn.XLOOKUP(E870,Calendar!C:C,Calendar!B:B)</f>
        <v>Working Day</v>
      </c>
    </row>
    <row r="871" spans="1:9" x14ac:dyDescent="0.25">
      <c r="A871" t="s">
        <v>871</v>
      </c>
      <c r="B871" t="s">
        <v>1387</v>
      </c>
      <c r="C871" t="s">
        <v>1433</v>
      </c>
      <c r="D871" s="2">
        <v>46219.926365740735</v>
      </c>
      <c r="E871" s="2">
        <f t="shared" si="24"/>
        <v>46219</v>
      </c>
      <c r="F871" t="s">
        <v>1738</v>
      </c>
      <c r="G871">
        <f>_xlfn.XLOOKUP(A871,FTD!A:A,FTD!C:C)</f>
        <v>1000</v>
      </c>
      <c r="H871" cm="1">
        <f t="array" ref="H871">_xlfn.LET(
  _xlpm.s, TRIM(F871),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1" t="str">
        <f>_xlfn.XLOOKUP(E871,Calendar!C:C,Calendar!B:B)</f>
        <v>Working Day</v>
      </c>
    </row>
    <row r="872" spans="1:9" x14ac:dyDescent="0.25">
      <c r="A872" t="s">
        <v>872</v>
      </c>
      <c r="B872" t="s">
        <v>1384</v>
      </c>
      <c r="C872" t="s">
        <v>1414</v>
      </c>
      <c r="D872" s="2">
        <v>46210.37976851852</v>
      </c>
      <c r="E872" s="2">
        <f t="shared" si="24"/>
        <v>46210</v>
      </c>
      <c r="F872" t="s">
        <v>1741</v>
      </c>
      <c r="G872">
        <f>_xlfn.XLOOKUP(A872,FTD!A:A,FTD!C:C)</f>
        <v>500</v>
      </c>
      <c r="H872" cm="1">
        <f t="array" ref="H872">_xlfn.LET(
  _xlpm.s, TRIM(F872),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2" t="str">
        <f>_xlfn.XLOOKUP(E872,Calendar!C:C,Calendar!B:B)</f>
        <v>Working Day</v>
      </c>
    </row>
    <row r="873" spans="1:9" x14ac:dyDescent="0.25">
      <c r="A873" t="s">
        <v>873</v>
      </c>
      <c r="B873" t="s">
        <v>1387</v>
      </c>
      <c r="C873" t="s">
        <v>1413</v>
      </c>
      <c r="D873" s="2">
        <v>46211.504571759258</v>
      </c>
      <c r="E873" s="2">
        <f t="shared" si="24"/>
        <v>46211</v>
      </c>
      <c r="F873" t="s">
        <v>1744</v>
      </c>
      <c r="G873">
        <f>_xlfn.XLOOKUP(A873,FTD!A:A,FTD!C:C)</f>
        <v>5000</v>
      </c>
      <c r="H873" cm="1">
        <f t="array" ref="H873">_xlfn.LET(
  _xlpm.s, TRIM(F873),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3" t="str">
        <f>_xlfn.XLOOKUP(E873,Calendar!C:C,Calendar!B:B)</f>
        <v>Working Day</v>
      </c>
    </row>
    <row r="874" spans="1:9" x14ac:dyDescent="0.25">
      <c r="A874" t="s">
        <v>874</v>
      </c>
      <c r="B874" t="s">
        <v>1387</v>
      </c>
      <c r="C874" t="s">
        <v>1413</v>
      </c>
      <c r="D874" s="2">
        <v>46209.564317129625</v>
      </c>
      <c r="E874" s="2">
        <f t="shared" si="24"/>
        <v>46209</v>
      </c>
      <c r="F874" t="s">
        <v>1738</v>
      </c>
      <c r="G874">
        <f>_xlfn.XLOOKUP(A874,FTD!A:A,FTD!C:C)</f>
        <v>1000</v>
      </c>
      <c r="H874" cm="1">
        <f t="array" ref="H874">_xlfn.LET(
  _xlpm.s, TRIM(F874),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4" t="str">
        <f>_xlfn.XLOOKUP(E874,Calendar!C:C,Calendar!B:B)</f>
        <v>Working Day</v>
      </c>
    </row>
    <row r="875" spans="1:9" x14ac:dyDescent="0.25">
      <c r="A875" t="s">
        <v>875</v>
      </c>
      <c r="B875" t="s">
        <v>1387</v>
      </c>
      <c r="C875" t="s">
        <v>1392</v>
      </c>
      <c r="D875" s="2">
        <v>46226.406724537032</v>
      </c>
      <c r="E875" s="2">
        <f t="shared" si="24"/>
        <v>46226</v>
      </c>
      <c r="F875" t="s">
        <v>1743</v>
      </c>
      <c r="G875">
        <f>_xlfn.XLOOKUP(A875,FTD!A:A,FTD!C:C)</f>
        <v>1000</v>
      </c>
      <c r="H875" cm="1">
        <f t="array" ref="H875">_xlfn.LET(
  _xlpm.s, TRIM(F875),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5" t="str">
        <f>_xlfn.XLOOKUP(E875,Calendar!C:C,Calendar!B:B)</f>
        <v>Working Day</v>
      </c>
    </row>
    <row r="876" spans="1:9" x14ac:dyDescent="0.25">
      <c r="A876" t="s">
        <v>876</v>
      </c>
      <c r="B876" t="s">
        <v>1387</v>
      </c>
      <c r="C876" t="s">
        <v>1406</v>
      </c>
      <c r="D876" s="2">
        <v>46217.865879629629</v>
      </c>
      <c r="E876" s="2">
        <f t="shared" si="24"/>
        <v>46217</v>
      </c>
      <c r="F876" t="s">
        <v>1739</v>
      </c>
      <c r="G876">
        <f>_xlfn.XLOOKUP(A876,FTD!A:A,FTD!C:C)</f>
        <v>20000</v>
      </c>
      <c r="H876" cm="1">
        <f t="array" ref="H876">_xlfn.LET(
  _xlpm.s, TRIM(F876),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76" t="str">
        <f>_xlfn.XLOOKUP(E876,Calendar!C:C,Calendar!B:B)</f>
        <v>Working Day</v>
      </c>
    </row>
    <row r="877" spans="1:9" x14ac:dyDescent="0.25">
      <c r="A877" t="s">
        <v>877</v>
      </c>
      <c r="B877" t="s">
        <v>1387</v>
      </c>
      <c r="C877" t="s">
        <v>1412</v>
      </c>
      <c r="D877" s="2">
        <v>46225.679409722223</v>
      </c>
      <c r="E877" s="2">
        <f t="shared" si="24"/>
        <v>46225</v>
      </c>
      <c r="F877" t="s">
        <v>1738</v>
      </c>
      <c r="G877">
        <f>_xlfn.XLOOKUP(A877,FTD!A:A,FTD!C:C)</f>
        <v>1000</v>
      </c>
      <c r="H877" cm="1">
        <f t="array" ref="H877">_xlfn.LET(
  _xlpm.s, TRIM(F877),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7" t="str">
        <f>_xlfn.XLOOKUP(E877,Calendar!C:C,Calendar!B:B)</f>
        <v>Working Day</v>
      </c>
    </row>
    <row r="878" spans="1:9" x14ac:dyDescent="0.25">
      <c r="A878" t="s">
        <v>878</v>
      </c>
      <c r="B878" t="s">
        <v>1387</v>
      </c>
      <c r="C878" t="s">
        <v>1398</v>
      </c>
      <c r="D878" s="2">
        <v>46227.58657407407</v>
      </c>
      <c r="E878" s="2">
        <f t="shared" si="24"/>
        <v>46227</v>
      </c>
      <c r="F878" t="s">
        <v>1738</v>
      </c>
      <c r="G878">
        <f>_xlfn.XLOOKUP(A878,FTD!A:A,FTD!C:C)</f>
        <v>1000</v>
      </c>
      <c r="H878" cm="1">
        <f t="array" ref="H878">_xlfn.LET(
  _xlpm.s, TRIM(F878),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8" t="str">
        <f>_xlfn.XLOOKUP(E878,Calendar!C:C,Calendar!B:B)</f>
        <v>Working Day</v>
      </c>
    </row>
    <row r="879" spans="1:9" x14ac:dyDescent="0.25">
      <c r="A879" t="s">
        <v>879</v>
      </c>
      <c r="B879" t="s">
        <v>1387</v>
      </c>
      <c r="C879" t="s">
        <v>1415</v>
      </c>
      <c r="D879" s="2">
        <v>46225.395810185182</v>
      </c>
      <c r="E879" s="2">
        <f t="shared" si="24"/>
        <v>46225</v>
      </c>
      <c r="F879" t="s">
        <v>1743</v>
      </c>
      <c r="G879">
        <f>_xlfn.XLOOKUP(A879,FTD!A:A,FTD!C:C)</f>
        <v>1000</v>
      </c>
      <c r="H879" cm="1">
        <f t="array" ref="H879">_xlfn.LET(
  _xlpm.s, TRIM(F879),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79" t="str">
        <f>_xlfn.XLOOKUP(E879,Calendar!C:C,Calendar!B:B)</f>
        <v>Working Day</v>
      </c>
    </row>
    <row r="880" spans="1:9" x14ac:dyDescent="0.25">
      <c r="A880" t="s">
        <v>880</v>
      </c>
      <c r="B880" t="s">
        <v>1387</v>
      </c>
      <c r="C880" t="s">
        <v>1406</v>
      </c>
      <c r="D880" s="2">
        <v>46231.385798611111</v>
      </c>
      <c r="E880" s="2">
        <f t="shared" si="24"/>
        <v>46231</v>
      </c>
      <c r="F880" t="s">
        <v>1738</v>
      </c>
      <c r="G880">
        <f>_xlfn.XLOOKUP(A880,FTD!A:A,FTD!C:C)</f>
        <v>1000</v>
      </c>
      <c r="H880" cm="1">
        <f t="array" ref="H880">_xlfn.LET(
  _xlpm.s, TRIM(F880),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0" t="str">
        <f>_xlfn.XLOOKUP(E880,Calendar!C:C,Calendar!B:B)</f>
        <v>Working Day</v>
      </c>
    </row>
    <row r="881" spans="1:9" x14ac:dyDescent="0.25">
      <c r="A881" t="s">
        <v>881</v>
      </c>
      <c r="B881" t="s">
        <v>1387</v>
      </c>
      <c r="C881" t="s">
        <v>1398</v>
      </c>
      <c r="D881" s="2">
        <v>46230.712442129625</v>
      </c>
      <c r="E881" s="2">
        <f t="shared" si="24"/>
        <v>46230</v>
      </c>
      <c r="F881" t="s">
        <v>1738</v>
      </c>
      <c r="G881">
        <f>_xlfn.XLOOKUP(A881,FTD!A:A,FTD!C:C)</f>
        <v>25000</v>
      </c>
      <c r="H881" cm="1">
        <f t="array" ref="H881">_xlfn.LET(
  _xlpm.s, TRIM(F881),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1" t="str">
        <f>_xlfn.XLOOKUP(E881,Calendar!C:C,Calendar!B:B)</f>
        <v>Working Day</v>
      </c>
    </row>
    <row r="882" spans="1:9" x14ac:dyDescent="0.25">
      <c r="A882" t="s">
        <v>882</v>
      </c>
      <c r="B882" t="s">
        <v>1387</v>
      </c>
      <c r="C882" t="s">
        <v>1417</v>
      </c>
      <c r="D882" s="2">
        <v>46205.442824074074</v>
      </c>
      <c r="E882" s="2">
        <f t="shared" si="24"/>
        <v>46205</v>
      </c>
      <c r="F882" t="s">
        <v>1743</v>
      </c>
      <c r="G882">
        <f>_xlfn.XLOOKUP(A882,FTD!A:A,FTD!C:C)</f>
        <v>3000</v>
      </c>
      <c r="H882" cm="1">
        <f t="array" ref="H882">_xlfn.LET(
  _xlpm.s, TRIM(F882),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2" t="str">
        <f>_xlfn.XLOOKUP(E882,Calendar!C:C,Calendar!B:B)</f>
        <v>Working Day</v>
      </c>
    </row>
    <row r="883" spans="1:9" x14ac:dyDescent="0.25">
      <c r="A883" t="s">
        <v>883</v>
      </c>
      <c r="B883" t="s">
        <v>1387</v>
      </c>
      <c r="C883" t="s">
        <v>1399</v>
      </c>
      <c r="D883" s="2">
        <v>46231.814317129625</v>
      </c>
      <c r="E883" s="2">
        <f t="shared" si="24"/>
        <v>46231</v>
      </c>
      <c r="F883" t="s">
        <v>1738</v>
      </c>
      <c r="G883">
        <f>_xlfn.XLOOKUP(A883,FTD!A:A,FTD!C:C)</f>
        <v>135000</v>
      </c>
      <c r="H883" cm="1">
        <f t="array" ref="H883">_xlfn.LET(
  _xlpm.s, TRIM(F883),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3" t="str">
        <f>_xlfn.XLOOKUP(E883,Calendar!C:C,Calendar!B:B)</f>
        <v>Working Day</v>
      </c>
    </row>
    <row r="884" spans="1:9" x14ac:dyDescent="0.25">
      <c r="A884" t="s">
        <v>884</v>
      </c>
      <c r="B884" t="s">
        <v>1387</v>
      </c>
      <c r="C884" t="s">
        <v>1408</v>
      </c>
      <c r="D884" s="2">
        <v>46225.481180555551</v>
      </c>
      <c r="E884" s="2">
        <f t="shared" si="24"/>
        <v>46225</v>
      </c>
      <c r="F884" t="s">
        <v>1738</v>
      </c>
      <c r="G884">
        <f>_xlfn.XLOOKUP(A884,FTD!A:A,FTD!C:C)</f>
        <v>1000</v>
      </c>
      <c r="H884" cm="1">
        <f t="array" ref="H884">_xlfn.LET(
  _xlpm.s, TRIM(F884),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4" t="str">
        <f>_xlfn.XLOOKUP(E884,Calendar!C:C,Calendar!B:B)</f>
        <v>Working Day</v>
      </c>
    </row>
    <row r="885" spans="1:9" x14ac:dyDescent="0.25">
      <c r="A885" t="s">
        <v>885</v>
      </c>
      <c r="B885" t="s">
        <v>1387</v>
      </c>
      <c r="C885" t="s">
        <v>1437</v>
      </c>
      <c r="D885" s="2">
        <v>46215.905543981477</v>
      </c>
      <c r="E885" s="2">
        <f t="shared" si="24"/>
        <v>46215</v>
      </c>
      <c r="F885" t="s">
        <v>1744</v>
      </c>
      <c r="G885">
        <f>_xlfn.XLOOKUP(A885,FTD!A:A,FTD!C:C)</f>
        <v>2000</v>
      </c>
      <c r="H885" cm="1">
        <f t="array" ref="H885">_xlfn.LET(
  _xlpm.s, TRIM(F885),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5" t="str">
        <f>_xlfn.XLOOKUP(E885,Calendar!C:C,Calendar!B:B)</f>
        <v>Sunday</v>
      </c>
    </row>
    <row r="886" spans="1:9" x14ac:dyDescent="0.25">
      <c r="A886" t="s">
        <v>886</v>
      </c>
      <c r="B886" t="s">
        <v>1387</v>
      </c>
      <c r="C886" t="s">
        <v>1415</v>
      </c>
      <c r="D886" s="2">
        <v>46231.865613425922</v>
      </c>
      <c r="E886" s="2">
        <f t="shared" si="24"/>
        <v>46231</v>
      </c>
      <c r="F886" t="s">
        <v>1739</v>
      </c>
      <c r="G886">
        <f>_xlfn.XLOOKUP(A886,FTD!A:A,FTD!C:C)</f>
        <v>5000</v>
      </c>
      <c r="H886" cm="1">
        <f t="array" ref="H886">_xlfn.LET(
  _xlpm.s, TRIM(F886),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86" t="str">
        <f>_xlfn.XLOOKUP(E886,Calendar!C:C,Calendar!B:B)</f>
        <v>Working Day</v>
      </c>
    </row>
    <row r="887" spans="1:9" x14ac:dyDescent="0.25">
      <c r="A887" t="s">
        <v>887</v>
      </c>
      <c r="B887" t="s">
        <v>1387</v>
      </c>
      <c r="C887" t="s">
        <v>1390</v>
      </c>
      <c r="D887" s="2">
        <v>46232.556562499994</v>
      </c>
      <c r="E887" s="2">
        <f t="shared" si="24"/>
        <v>46232</v>
      </c>
      <c r="F887" t="s">
        <v>1747</v>
      </c>
      <c r="G887">
        <f>_xlfn.XLOOKUP(A887,FTD!A:A,FTD!C:C)</f>
        <v>1000</v>
      </c>
      <c r="H887" cm="1">
        <f t="array" ref="H887">_xlfn.LET(
  _xlpm.s, TRIM(F887),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87" t="str">
        <f>_xlfn.XLOOKUP(E887,Calendar!C:C,Calendar!B:B)</f>
        <v>Working Day</v>
      </c>
    </row>
    <row r="888" spans="1:9" x14ac:dyDescent="0.25">
      <c r="A888" t="s">
        <v>888</v>
      </c>
      <c r="B888" t="s">
        <v>1387</v>
      </c>
      <c r="C888" t="s">
        <v>1412</v>
      </c>
      <c r="D888" s="2">
        <v>46231.438402777778</v>
      </c>
      <c r="E888" s="2">
        <f t="shared" si="24"/>
        <v>46231</v>
      </c>
      <c r="F888" t="s">
        <v>1738</v>
      </c>
      <c r="G888">
        <f>_xlfn.XLOOKUP(A888,FTD!A:A,FTD!C:C)</f>
        <v>45000</v>
      </c>
      <c r="H888" cm="1">
        <f t="array" ref="H888">_xlfn.LET(
  _xlpm.s, TRIM(F888),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88" t="str">
        <f>_xlfn.XLOOKUP(E888,Calendar!C:C,Calendar!B:B)</f>
        <v>Working Day</v>
      </c>
    </row>
    <row r="889" spans="1:9" x14ac:dyDescent="0.25">
      <c r="A889" t="s">
        <v>889</v>
      </c>
      <c r="B889" t="s">
        <v>1387</v>
      </c>
      <c r="C889" t="s">
        <v>1399</v>
      </c>
      <c r="D889" s="2">
        <v>46212.612256944441</v>
      </c>
      <c r="E889" s="2">
        <f t="shared" si="24"/>
        <v>46212</v>
      </c>
      <c r="F889" t="s">
        <v>1739</v>
      </c>
      <c r="G889">
        <f>_xlfn.XLOOKUP(A889,FTD!A:A,FTD!C:C)</f>
        <v>4000</v>
      </c>
      <c r="H889" cm="1">
        <f t="array" ref="H889">_xlfn.LET(
  _xlpm.s, TRIM(F889),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89" t="str">
        <f>_xlfn.XLOOKUP(E889,Calendar!C:C,Calendar!B:B)</f>
        <v>Working Day</v>
      </c>
    </row>
    <row r="890" spans="1:9" x14ac:dyDescent="0.25">
      <c r="A890" t="s">
        <v>890</v>
      </c>
      <c r="B890" t="s">
        <v>1387</v>
      </c>
      <c r="C890" t="s">
        <v>1412</v>
      </c>
      <c r="D890" s="2">
        <v>46227.682222222218</v>
      </c>
      <c r="E890" s="2">
        <f t="shared" si="24"/>
        <v>46227</v>
      </c>
      <c r="F890" t="s">
        <v>1738</v>
      </c>
      <c r="G890">
        <f>_xlfn.XLOOKUP(A890,FTD!A:A,FTD!C:C)</f>
        <v>16000</v>
      </c>
      <c r="H890" cm="1">
        <f t="array" ref="H890">_xlfn.LET(
  _xlpm.s, TRIM(F890),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0" t="str">
        <f>_xlfn.XLOOKUP(E890,Calendar!C:C,Calendar!B:B)</f>
        <v>Working Day</v>
      </c>
    </row>
    <row r="891" spans="1:9" x14ac:dyDescent="0.25">
      <c r="A891" t="s">
        <v>891</v>
      </c>
      <c r="B891" t="s">
        <v>1387</v>
      </c>
      <c r="C891" t="s">
        <v>1398</v>
      </c>
      <c r="D891" s="2">
        <v>46223.857314814813</v>
      </c>
      <c r="E891" s="2">
        <f t="shared" si="24"/>
        <v>46223</v>
      </c>
      <c r="F891" t="s">
        <v>1738</v>
      </c>
      <c r="G891">
        <f>_xlfn.XLOOKUP(A891,FTD!A:A,FTD!C:C)</f>
        <v>1000</v>
      </c>
      <c r="H891" cm="1">
        <f t="array" ref="H891">_xlfn.LET(
  _xlpm.s, TRIM(F891),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1" t="str">
        <f>_xlfn.XLOOKUP(E891,Calendar!C:C,Calendar!B:B)</f>
        <v>Working Day</v>
      </c>
    </row>
    <row r="892" spans="1:9" x14ac:dyDescent="0.25">
      <c r="A892" t="s">
        <v>892</v>
      </c>
      <c r="B892" t="s">
        <v>1387</v>
      </c>
      <c r="C892" t="s">
        <v>1402</v>
      </c>
      <c r="D892" s="2">
        <v>46227.591377314813</v>
      </c>
      <c r="E892" s="2">
        <f t="shared" si="24"/>
        <v>46227</v>
      </c>
      <c r="F892" t="s">
        <v>1738</v>
      </c>
      <c r="G892">
        <f>_xlfn.XLOOKUP(A892,FTD!A:A,FTD!C:C)</f>
        <v>2000</v>
      </c>
      <c r="H892" cm="1">
        <f t="array" ref="H892">_xlfn.LET(
  _xlpm.s, TRIM(F892),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2" t="str">
        <f>_xlfn.XLOOKUP(E892,Calendar!C:C,Calendar!B:B)</f>
        <v>Working Day</v>
      </c>
    </row>
    <row r="893" spans="1:9" x14ac:dyDescent="0.25">
      <c r="A893" t="s">
        <v>893</v>
      </c>
      <c r="B893" t="s">
        <v>1387</v>
      </c>
      <c r="C893" t="s">
        <v>1392</v>
      </c>
      <c r="D893" s="2">
        <v>46219.470787037033</v>
      </c>
      <c r="E893" s="2">
        <f t="shared" si="24"/>
        <v>46219</v>
      </c>
      <c r="F893" t="s">
        <v>1738</v>
      </c>
      <c r="G893">
        <f>_xlfn.XLOOKUP(A893,FTD!A:A,FTD!C:C)</f>
        <v>1000</v>
      </c>
      <c r="H893" cm="1">
        <f t="array" ref="H893">_xlfn.LET(
  _xlpm.s, TRIM(F893),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3" t="str">
        <f>_xlfn.XLOOKUP(E893,Calendar!C:C,Calendar!B:B)</f>
        <v>Working Day</v>
      </c>
    </row>
    <row r="894" spans="1:9" x14ac:dyDescent="0.25">
      <c r="A894" t="s">
        <v>894</v>
      </c>
      <c r="B894" t="s">
        <v>1387</v>
      </c>
      <c r="C894" t="s">
        <v>1393</v>
      </c>
      <c r="D894" s="2">
        <v>46210.421736111108</v>
      </c>
      <c r="E894" s="2">
        <f t="shared" si="24"/>
        <v>46210</v>
      </c>
      <c r="F894" t="s">
        <v>1739</v>
      </c>
      <c r="G894">
        <f>_xlfn.XLOOKUP(A894,FTD!A:A,FTD!C:C)</f>
        <v>1500</v>
      </c>
      <c r="H894" cm="1">
        <f t="array" ref="H894">_xlfn.LET(
  _xlpm.s, TRIM(F894),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894" t="str">
        <f>_xlfn.XLOOKUP(E894,Calendar!C:C,Calendar!B:B)</f>
        <v>Working Day</v>
      </c>
    </row>
    <row r="895" spans="1:9" x14ac:dyDescent="0.25">
      <c r="A895" t="s">
        <v>895</v>
      </c>
      <c r="B895" t="s">
        <v>1387</v>
      </c>
      <c r="C895" t="s">
        <v>1399</v>
      </c>
      <c r="D895" s="2">
        <v>46217.416701388887</v>
      </c>
      <c r="E895" s="2">
        <f t="shared" si="24"/>
        <v>46217</v>
      </c>
      <c r="F895" t="s">
        <v>1738</v>
      </c>
      <c r="G895">
        <f>_xlfn.XLOOKUP(A895,FTD!A:A,FTD!C:C)</f>
        <v>40000</v>
      </c>
      <c r="H895" cm="1">
        <f t="array" ref="H895">_xlfn.LET(
  _xlpm.s, TRIM(F895),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5" t="str">
        <f>_xlfn.XLOOKUP(E895,Calendar!C:C,Calendar!B:B)</f>
        <v>Working Day</v>
      </c>
    </row>
    <row r="896" spans="1:9" x14ac:dyDescent="0.25">
      <c r="A896" t="s">
        <v>896</v>
      </c>
      <c r="B896" t="s">
        <v>1387</v>
      </c>
      <c r="C896" t="s">
        <v>1405</v>
      </c>
      <c r="D896" s="2">
        <v>46216.406296296293</v>
      </c>
      <c r="E896" s="2">
        <f t="shared" si="24"/>
        <v>46216</v>
      </c>
      <c r="F896" t="s">
        <v>1738</v>
      </c>
      <c r="G896">
        <f>_xlfn.XLOOKUP(A896,FTD!A:A,FTD!C:C)</f>
        <v>8000</v>
      </c>
      <c r="H896" cm="1">
        <f t="array" ref="H896">_xlfn.LET(
  _xlpm.s, TRIM(F896),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6" t="str">
        <f>_xlfn.XLOOKUP(E896,Calendar!C:C,Calendar!B:B)</f>
        <v>Working Day</v>
      </c>
    </row>
    <row r="897" spans="1:9" x14ac:dyDescent="0.25">
      <c r="A897" t="s">
        <v>897</v>
      </c>
      <c r="B897" t="s">
        <v>1387</v>
      </c>
      <c r="C897" t="s">
        <v>1399</v>
      </c>
      <c r="D897" s="2">
        <v>46209.500717592593</v>
      </c>
      <c r="E897" s="2">
        <f t="shared" si="24"/>
        <v>46209</v>
      </c>
      <c r="F897" t="s">
        <v>1738</v>
      </c>
      <c r="G897">
        <f>_xlfn.XLOOKUP(A897,FTD!A:A,FTD!C:C)</f>
        <v>3000</v>
      </c>
      <c r="H897" cm="1">
        <f t="array" ref="H897">_xlfn.LET(
  _xlpm.s, TRIM(F897),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7" t="str">
        <f>_xlfn.XLOOKUP(E897,Calendar!C:C,Calendar!B:B)</f>
        <v>Working Day</v>
      </c>
    </row>
    <row r="898" spans="1:9" x14ac:dyDescent="0.25">
      <c r="A898" t="s">
        <v>898</v>
      </c>
      <c r="B898" t="s">
        <v>1387</v>
      </c>
      <c r="C898" t="s">
        <v>1417</v>
      </c>
      <c r="D898" s="2">
        <v>46215.541203703702</v>
      </c>
      <c r="E898" s="2">
        <f t="shared" si="24"/>
        <v>46215</v>
      </c>
      <c r="F898" t="s">
        <v>1743</v>
      </c>
      <c r="G898">
        <f>_xlfn.XLOOKUP(A898,FTD!A:A,FTD!C:C)</f>
        <v>1000</v>
      </c>
      <c r="H898" cm="1">
        <f t="array" ref="H898">_xlfn.LET(
  _xlpm.s, TRIM(F898),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8" t="str">
        <f>_xlfn.XLOOKUP(E898,Calendar!C:C,Calendar!B:B)</f>
        <v>Sunday</v>
      </c>
    </row>
    <row r="899" spans="1:9" x14ac:dyDescent="0.25">
      <c r="A899" t="s">
        <v>899</v>
      </c>
      <c r="B899" t="s">
        <v>1387</v>
      </c>
      <c r="C899" t="s">
        <v>1389</v>
      </c>
      <c r="D899" s="2">
        <v>46217.627905092588</v>
      </c>
      <c r="E899" s="2">
        <f t="shared" ref="E899:E962" si="25">INT(D899)</f>
        <v>46217</v>
      </c>
      <c r="F899" t="s">
        <v>1743</v>
      </c>
      <c r="G899">
        <f>_xlfn.XLOOKUP(A899,FTD!A:A,FTD!C:C)</f>
        <v>1000</v>
      </c>
      <c r="H899" cm="1">
        <f t="array" ref="H899">_xlfn.LET(
  _xlpm.s, TRIM(F899),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899" t="str">
        <f>_xlfn.XLOOKUP(E899,Calendar!C:C,Calendar!B:B)</f>
        <v>Working Day</v>
      </c>
    </row>
    <row r="900" spans="1:9" x14ac:dyDescent="0.25">
      <c r="A900" t="s">
        <v>900</v>
      </c>
      <c r="B900" t="s">
        <v>1387</v>
      </c>
      <c r="C900" t="s">
        <v>1417</v>
      </c>
      <c r="D900" s="2">
        <v>46233.580532407403</v>
      </c>
      <c r="E900" s="2">
        <f t="shared" si="25"/>
        <v>46233</v>
      </c>
      <c r="F900" t="s">
        <v>1743</v>
      </c>
      <c r="G900">
        <f>_xlfn.XLOOKUP(A900,FTD!A:A,FTD!C:C)</f>
        <v>2000</v>
      </c>
      <c r="H900" cm="1">
        <f t="array" ref="H900">_xlfn.LET(
  _xlpm.s, TRIM(F900),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00" t="str">
        <f>_xlfn.XLOOKUP(E900,Calendar!C:C,Calendar!B:B)</f>
        <v>Working Day</v>
      </c>
    </row>
    <row r="901" spans="1:9" x14ac:dyDescent="0.25">
      <c r="A901" t="s">
        <v>901</v>
      </c>
      <c r="B901" t="s">
        <v>1387</v>
      </c>
      <c r="C901" t="s">
        <v>1408</v>
      </c>
      <c r="D901" s="2">
        <v>46231.644074074073</v>
      </c>
      <c r="E901" s="2">
        <f t="shared" si="25"/>
        <v>46231</v>
      </c>
      <c r="F901" t="s">
        <v>1739</v>
      </c>
      <c r="G901">
        <f>_xlfn.XLOOKUP(A901,FTD!A:A,FTD!C:C)</f>
        <v>2000</v>
      </c>
      <c r="H901" cm="1">
        <f t="array" ref="H901">_xlfn.LET(
  _xlpm.s, TRIM(F901),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01" t="str">
        <f>_xlfn.XLOOKUP(E901,Calendar!C:C,Calendar!B:B)</f>
        <v>Working Day</v>
      </c>
    </row>
    <row r="902" spans="1:9" x14ac:dyDescent="0.25">
      <c r="A902" t="s">
        <v>902</v>
      </c>
      <c r="B902" t="s">
        <v>1387</v>
      </c>
      <c r="C902" t="s">
        <v>1399</v>
      </c>
      <c r="D902" s="2">
        <v>46206.742592592593</v>
      </c>
      <c r="E902" s="2">
        <f t="shared" si="25"/>
        <v>46206</v>
      </c>
      <c r="F902" t="s">
        <v>1738</v>
      </c>
      <c r="G902">
        <f>_xlfn.XLOOKUP(A902,FTD!A:A,FTD!C:C)</f>
        <v>1000</v>
      </c>
      <c r="H902" cm="1">
        <f t="array" ref="H902">_xlfn.LET(
  _xlpm.s, TRIM(F902),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02" t="str">
        <f>_xlfn.XLOOKUP(E902,Calendar!C:C,Calendar!B:B)</f>
        <v>Working Day</v>
      </c>
    </row>
    <row r="903" spans="1:9" x14ac:dyDescent="0.25">
      <c r="A903" t="s">
        <v>903</v>
      </c>
      <c r="B903" t="s">
        <v>1387</v>
      </c>
      <c r="C903" t="s">
        <v>1396</v>
      </c>
      <c r="D903" s="2">
        <v>46215.577222222222</v>
      </c>
      <c r="E903" s="2">
        <f t="shared" si="25"/>
        <v>46215</v>
      </c>
      <c r="F903" t="s">
        <v>1739</v>
      </c>
      <c r="G903">
        <f>_xlfn.XLOOKUP(A903,FTD!A:A,FTD!C:C)</f>
        <v>4000</v>
      </c>
      <c r="H903" cm="1">
        <f t="array" ref="H903">_xlfn.LET(
  _xlpm.s, TRIM(F903),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03" t="str">
        <f>_xlfn.XLOOKUP(E903,Calendar!C:C,Calendar!B:B)</f>
        <v>Sunday</v>
      </c>
    </row>
    <row r="904" spans="1:9" x14ac:dyDescent="0.25">
      <c r="A904" t="s">
        <v>904</v>
      </c>
      <c r="B904" t="s">
        <v>1387</v>
      </c>
      <c r="C904" t="s">
        <v>1388</v>
      </c>
      <c r="D904" s="2">
        <v>46220.706874999996</v>
      </c>
      <c r="E904" s="2">
        <f t="shared" si="25"/>
        <v>46220</v>
      </c>
      <c r="F904" t="s">
        <v>1745</v>
      </c>
      <c r="G904">
        <f>_xlfn.XLOOKUP(A904,FTD!A:A,FTD!C:C)</f>
        <v>5000</v>
      </c>
      <c r="H904" cm="1">
        <f t="array" ref="H904">_xlfn.LET(
  _xlpm.s, TRIM(F904),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04" t="str">
        <f>_xlfn.XLOOKUP(E904,Calendar!C:C,Calendar!B:B)</f>
        <v>Working Day</v>
      </c>
    </row>
    <row r="905" spans="1:9" x14ac:dyDescent="0.25">
      <c r="A905" t="s">
        <v>905</v>
      </c>
      <c r="B905" t="s">
        <v>1387</v>
      </c>
      <c r="C905" t="s">
        <v>1431</v>
      </c>
      <c r="D905" s="2">
        <v>46223.8355787037</v>
      </c>
      <c r="E905" s="2">
        <f t="shared" si="25"/>
        <v>46223</v>
      </c>
      <c r="F905" t="s">
        <v>1738</v>
      </c>
      <c r="G905">
        <f>_xlfn.XLOOKUP(A905,FTD!A:A,FTD!C:C)</f>
        <v>1000</v>
      </c>
      <c r="H905" cm="1">
        <f t="array" ref="H905">_xlfn.LET(
  _xlpm.s, TRIM(F905),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05" t="str">
        <f>_xlfn.XLOOKUP(E905,Calendar!C:C,Calendar!B:B)</f>
        <v>Working Day</v>
      </c>
    </row>
    <row r="906" spans="1:9" x14ac:dyDescent="0.25">
      <c r="A906" t="s">
        <v>906</v>
      </c>
      <c r="B906" t="s">
        <v>1387</v>
      </c>
      <c r="C906" t="s">
        <v>1396</v>
      </c>
      <c r="D906" s="2">
        <v>46212.645011574074</v>
      </c>
      <c r="E906" s="2">
        <f t="shared" si="25"/>
        <v>46212</v>
      </c>
      <c r="F906" t="s">
        <v>1739</v>
      </c>
      <c r="G906">
        <f>_xlfn.XLOOKUP(A906,FTD!A:A,FTD!C:C)</f>
        <v>1000</v>
      </c>
      <c r="H906" cm="1">
        <f t="array" ref="H906">_xlfn.LET(
  _xlpm.s, TRIM(F906),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06" t="str">
        <f>_xlfn.XLOOKUP(E906,Calendar!C:C,Calendar!B:B)</f>
        <v>Working Day</v>
      </c>
    </row>
    <row r="907" spans="1:9" x14ac:dyDescent="0.25">
      <c r="A907" t="s">
        <v>907</v>
      </c>
      <c r="B907" t="s">
        <v>1387</v>
      </c>
      <c r="C907" t="s">
        <v>1402</v>
      </c>
      <c r="D907" s="2">
        <v>46218.565740740742</v>
      </c>
      <c r="E907" s="2">
        <f t="shared" si="25"/>
        <v>46218</v>
      </c>
      <c r="F907" t="s">
        <v>1738</v>
      </c>
      <c r="G907">
        <f>_xlfn.XLOOKUP(A907,FTD!A:A,FTD!C:C)</f>
        <v>3500</v>
      </c>
      <c r="H907" cm="1">
        <f t="array" ref="H907">_xlfn.LET(
  _xlpm.s, TRIM(F907),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07" t="str">
        <f>_xlfn.XLOOKUP(E907,Calendar!C:C,Calendar!B:B)</f>
        <v>Working Day</v>
      </c>
    </row>
    <row r="908" spans="1:9" x14ac:dyDescent="0.25">
      <c r="A908" t="s">
        <v>908</v>
      </c>
      <c r="B908" t="s">
        <v>1387</v>
      </c>
      <c r="C908" t="s">
        <v>1399</v>
      </c>
      <c r="D908" s="2">
        <v>46233.552337962959</v>
      </c>
      <c r="E908" s="2">
        <f t="shared" si="25"/>
        <v>46233</v>
      </c>
      <c r="F908" t="s">
        <v>1739</v>
      </c>
      <c r="G908">
        <f>_xlfn.XLOOKUP(A908,FTD!A:A,FTD!C:C)</f>
        <v>1000</v>
      </c>
      <c r="H908" cm="1">
        <f t="array" ref="H908">_xlfn.LET(
  _xlpm.s, TRIM(F908),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08" t="str">
        <f>_xlfn.XLOOKUP(E908,Calendar!C:C,Calendar!B:B)</f>
        <v>Working Day</v>
      </c>
    </row>
    <row r="909" spans="1:9" x14ac:dyDescent="0.25">
      <c r="A909" t="s">
        <v>909</v>
      </c>
      <c r="B909" t="s">
        <v>1387</v>
      </c>
      <c r="C909" t="s">
        <v>1415</v>
      </c>
      <c r="D909" s="2">
        <v>46219.531793981478</v>
      </c>
      <c r="E909" s="2">
        <f t="shared" si="25"/>
        <v>46219</v>
      </c>
      <c r="F909" t="s">
        <v>1738</v>
      </c>
      <c r="G909">
        <f>_xlfn.XLOOKUP(A909,FTD!A:A,FTD!C:C)</f>
        <v>1000</v>
      </c>
      <c r="H909" cm="1">
        <f t="array" ref="H909">_xlfn.LET(
  _xlpm.s, TRIM(F909),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09" t="str">
        <f>_xlfn.XLOOKUP(E909,Calendar!C:C,Calendar!B:B)</f>
        <v>Working Day</v>
      </c>
    </row>
    <row r="910" spans="1:9" x14ac:dyDescent="0.25">
      <c r="A910" t="s">
        <v>910</v>
      </c>
      <c r="B910" t="s">
        <v>1384</v>
      </c>
      <c r="C910" t="s">
        <v>1420</v>
      </c>
      <c r="D910" s="2">
        <v>46224.838067129625</v>
      </c>
      <c r="E910" s="2">
        <f t="shared" si="25"/>
        <v>46224</v>
      </c>
      <c r="F910" t="s">
        <v>1738</v>
      </c>
      <c r="G910">
        <f>_xlfn.XLOOKUP(A910,FTD!A:A,FTD!C:C)</f>
        <v>2000</v>
      </c>
      <c r="H910" cm="1">
        <f t="array" ref="H910">_xlfn.LET(
  _xlpm.s, TRIM(F910),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0" t="str">
        <f>_xlfn.XLOOKUP(E910,Calendar!C:C,Calendar!B:B)</f>
        <v>Working Day</v>
      </c>
    </row>
    <row r="911" spans="1:9" x14ac:dyDescent="0.25">
      <c r="A911" t="s">
        <v>911</v>
      </c>
      <c r="B911" t="s">
        <v>1384</v>
      </c>
      <c r="C911" t="s">
        <v>1390</v>
      </c>
      <c r="D911" s="2">
        <v>46211.037905092591</v>
      </c>
      <c r="E911" s="2">
        <f t="shared" si="25"/>
        <v>46211</v>
      </c>
      <c r="F911" t="s">
        <v>1741</v>
      </c>
      <c r="G911">
        <f>_xlfn.XLOOKUP(A911,FTD!A:A,FTD!C:C)</f>
        <v>1000</v>
      </c>
      <c r="H911" cm="1">
        <f t="array" ref="H911">_xlfn.LET(
  _xlpm.s, TRIM(F911),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1" t="str">
        <f>_xlfn.XLOOKUP(E911,Calendar!C:C,Calendar!B:B)</f>
        <v>Working Day</v>
      </c>
    </row>
    <row r="912" spans="1:9" x14ac:dyDescent="0.25">
      <c r="A912" t="s">
        <v>912</v>
      </c>
      <c r="B912" t="s">
        <v>1384</v>
      </c>
      <c r="C912" t="s">
        <v>1412</v>
      </c>
      <c r="D912" s="2">
        <v>46224.783148148148</v>
      </c>
      <c r="E912" s="2">
        <f t="shared" si="25"/>
        <v>46224</v>
      </c>
      <c r="F912" t="s">
        <v>1738</v>
      </c>
      <c r="G912">
        <f>_xlfn.XLOOKUP(A912,FTD!A:A,FTD!C:C)</f>
        <v>2500</v>
      </c>
      <c r="H912" cm="1">
        <f t="array" ref="H912">_xlfn.LET(
  _xlpm.s, TRIM(F912),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2" t="str">
        <f>_xlfn.XLOOKUP(E912,Calendar!C:C,Calendar!B:B)</f>
        <v>Working Day</v>
      </c>
    </row>
    <row r="913" spans="1:9" x14ac:dyDescent="0.25">
      <c r="A913" t="s">
        <v>913</v>
      </c>
      <c r="B913" t="s">
        <v>1384</v>
      </c>
      <c r="C913" t="s">
        <v>1396</v>
      </c>
      <c r="D913" s="2">
        <v>46210.423726851848</v>
      </c>
      <c r="E913" s="2">
        <f t="shared" si="25"/>
        <v>46210</v>
      </c>
      <c r="F913" t="s">
        <v>1756</v>
      </c>
      <c r="G913">
        <f>_xlfn.XLOOKUP(A913,FTD!A:A,FTD!C:C)</f>
        <v>6000</v>
      </c>
      <c r="H913" cm="1">
        <f t="array" ref="H913">_xlfn.LET(
  _xlpm.s, TRIM(F913),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3" t="str">
        <f>_xlfn.XLOOKUP(E913,Calendar!C:C,Calendar!B:B)</f>
        <v>Working Day</v>
      </c>
    </row>
    <row r="914" spans="1:9" x14ac:dyDescent="0.25">
      <c r="A914" t="s">
        <v>914</v>
      </c>
      <c r="B914" t="s">
        <v>1385</v>
      </c>
      <c r="C914" t="s">
        <v>1436</v>
      </c>
      <c r="D914" s="2">
        <v>46224.833136574074</v>
      </c>
      <c r="E914" s="2">
        <f t="shared" si="25"/>
        <v>46224</v>
      </c>
      <c r="F914" t="s">
        <v>1738</v>
      </c>
      <c r="G914">
        <f>_xlfn.XLOOKUP(A914,FTD!A:A,FTD!C:C)</f>
        <v>527</v>
      </c>
      <c r="H914" cm="1">
        <f t="array" ref="H914">_xlfn.LET(
  _xlpm.s, TRIM(F914),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4" t="str">
        <f>_xlfn.XLOOKUP(E914,Calendar!C:C,Calendar!B:B)</f>
        <v>Working Day</v>
      </c>
    </row>
    <row r="915" spans="1:9" x14ac:dyDescent="0.25">
      <c r="A915" t="s">
        <v>915</v>
      </c>
      <c r="B915" t="s">
        <v>1384</v>
      </c>
      <c r="C915" t="s">
        <v>1421</v>
      </c>
      <c r="D915" s="2">
        <v>46217.441157407404</v>
      </c>
      <c r="E915" s="2">
        <f t="shared" si="25"/>
        <v>46217</v>
      </c>
      <c r="F915" t="s">
        <v>1740</v>
      </c>
      <c r="G915">
        <f>_xlfn.XLOOKUP(A915,FTD!A:A,FTD!C:C)</f>
        <v>1000</v>
      </c>
      <c r="H915" cm="1">
        <f t="array" ref="H915">_xlfn.LET(
  _xlpm.s, TRIM(F915),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15" t="str">
        <f>_xlfn.XLOOKUP(E915,Calendar!C:C,Calendar!B:B)</f>
        <v>Working Day</v>
      </c>
    </row>
    <row r="916" spans="1:9" x14ac:dyDescent="0.25">
      <c r="A916" t="s">
        <v>916</v>
      </c>
      <c r="B916" t="s">
        <v>1384</v>
      </c>
      <c r="C916" t="s">
        <v>1413</v>
      </c>
      <c r="D916" s="2">
        <v>46223.977800925924</v>
      </c>
      <c r="E916" s="2">
        <f t="shared" si="25"/>
        <v>46223</v>
      </c>
      <c r="F916" t="s">
        <v>1740</v>
      </c>
      <c r="G916">
        <f>_xlfn.XLOOKUP(A916,FTD!A:A,FTD!C:C)</f>
        <v>1500</v>
      </c>
      <c r="H916" cm="1">
        <f t="array" ref="H916">_xlfn.LET(
  _xlpm.s, TRIM(F916),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16" t="str">
        <f>_xlfn.XLOOKUP(E916,Calendar!C:C,Calendar!B:B)</f>
        <v>Working Day</v>
      </c>
    </row>
    <row r="917" spans="1:9" x14ac:dyDescent="0.25">
      <c r="A917" t="s">
        <v>917</v>
      </c>
      <c r="B917" t="s">
        <v>1387</v>
      </c>
      <c r="C917" t="s">
        <v>1408</v>
      </c>
      <c r="D917" s="2">
        <v>46227.419340277775</v>
      </c>
      <c r="E917" s="2">
        <f t="shared" si="25"/>
        <v>46227</v>
      </c>
      <c r="F917" t="s">
        <v>1739</v>
      </c>
      <c r="G917">
        <f>_xlfn.XLOOKUP(A917,FTD!A:A,FTD!C:C)</f>
        <v>1000</v>
      </c>
      <c r="H917" cm="1">
        <f t="array" ref="H917">_xlfn.LET(
  _xlpm.s, TRIM(F917),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17" t="str">
        <f>_xlfn.XLOOKUP(E917,Calendar!C:C,Calendar!B:B)</f>
        <v>Working Day</v>
      </c>
    </row>
    <row r="918" spans="1:9" x14ac:dyDescent="0.25">
      <c r="A918" t="s">
        <v>918</v>
      </c>
      <c r="B918" t="s">
        <v>1387</v>
      </c>
      <c r="C918" t="s">
        <v>1415</v>
      </c>
      <c r="D918" s="2">
        <v>46209.539988425924</v>
      </c>
      <c r="E918" s="2">
        <f t="shared" si="25"/>
        <v>46209</v>
      </c>
      <c r="F918" t="s">
        <v>1740</v>
      </c>
      <c r="G918">
        <f>_xlfn.XLOOKUP(A918,FTD!A:A,FTD!C:C)</f>
        <v>1000</v>
      </c>
      <c r="H918" cm="1">
        <f t="array" ref="H918">_xlfn.LET(
  _xlpm.s, TRIM(F918),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18" t="str">
        <f>_xlfn.XLOOKUP(E918,Calendar!C:C,Calendar!B:B)</f>
        <v>Working Day</v>
      </c>
    </row>
    <row r="919" spans="1:9" x14ac:dyDescent="0.25">
      <c r="A919" t="s">
        <v>919</v>
      </c>
      <c r="B919" t="s">
        <v>1387</v>
      </c>
      <c r="C919" t="s">
        <v>1389</v>
      </c>
      <c r="D919" s="2">
        <v>46231.399537037032</v>
      </c>
      <c r="E919" s="2">
        <f t="shared" si="25"/>
        <v>46231</v>
      </c>
      <c r="F919" t="s">
        <v>1738</v>
      </c>
      <c r="G919">
        <f>_xlfn.XLOOKUP(A919,FTD!A:A,FTD!C:C)</f>
        <v>5000</v>
      </c>
      <c r="H919" cm="1">
        <f t="array" ref="H919">_xlfn.LET(
  _xlpm.s, TRIM(F919),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19" t="str">
        <f>_xlfn.XLOOKUP(E919,Calendar!C:C,Calendar!B:B)</f>
        <v>Working Day</v>
      </c>
    </row>
    <row r="920" spans="1:9" x14ac:dyDescent="0.25">
      <c r="A920" t="s">
        <v>920</v>
      </c>
      <c r="B920" t="s">
        <v>1387</v>
      </c>
      <c r="C920" t="s">
        <v>1406</v>
      </c>
      <c r="D920" s="2">
        <v>46216.474409722221</v>
      </c>
      <c r="E920" s="2">
        <f t="shared" si="25"/>
        <v>46216</v>
      </c>
      <c r="F920" t="s">
        <v>1738</v>
      </c>
      <c r="G920">
        <f>_xlfn.XLOOKUP(A920,FTD!A:A,FTD!C:C)</f>
        <v>10000</v>
      </c>
      <c r="H920" cm="1">
        <f t="array" ref="H920">_xlfn.LET(
  _xlpm.s, TRIM(F920),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0" t="str">
        <f>_xlfn.XLOOKUP(E920,Calendar!C:C,Calendar!B:B)</f>
        <v>Working Day</v>
      </c>
    </row>
    <row r="921" spans="1:9" x14ac:dyDescent="0.25">
      <c r="A921" t="s">
        <v>921</v>
      </c>
      <c r="B921" t="s">
        <v>1387</v>
      </c>
      <c r="C921" t="s">
        <v>1415</v>
      </c>
      <c r="D921" s="2">
        <v>46204.62532407407</v>
      </c>
      <c r="E921" s="2">
        <f t="shared" si="25"/>
        <v>46204</v>
      </c>
      <c r="F921" t="s">
        <v>1744</v>
      </c>
      <c r="G921">
        <f>_xlfn.XLOOKUP(A921,FTD!A:A,FTD!C:C)</f>
        <v>1000</v>
      </c>
      <c r="H921" cm="1">
        <f t="array" ref="H921">_xlfn.LET(
  _xlpm.s, TRIM(F921),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1" t="str">
        <f>_xlfn.XLOOKUP(E921,Calendar!C:C,Calendar!B:B)</f>
        <v>Working Day</v>
      </c>
    </row>
    <row r="922" spans="1:9" x14ac:dyDescent="0.25">
      <c r="A922" t="s">
        <v>922</v>
      </c>
      <c r="B922" t="s">
        <v>1387</v>
      </c>
      <c r="C922" t="s">
        <v>1425</v>
      </c>
      <c r="D922" s="2">
        <v>46227.634965277779</v>
      </c>
      <c r="E922" s="2">
        <f t="shared" si="25"/>
        <v>46227</v>
      </c>
      <c r="F922" t="s">
        <v>1738</v>
      </c>
      <c r="G922">
        <f>_xlfn.XLOOKUP(A922,FTD!A:A,FTD!C:C)</f>
        <v>3000</v>
      </c>
      <c r="H922" cm="1">
        <f t="array" ref="H922">_xlfn.LET(
  _xlpm.s, TRIM(F922),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2" t="str">
        <f>_xlfn.XLOOKUP(E922,Calendar!C:C,Calendar!B:B)</f>
        <v>Working Day</v>
      </c>
    </row>
    <row r="923" spans="1:9" x14ac:dyDescent="0.25">
      <c r="A923" t="s">
        <v>923</v>
      </c>
      <c r="B923" t="s">
        <v>1387</v>
      </c>
      <c r="C923" t="s">
        <v>1413</v>
      </c>
      <c r="D923" s="2">
        <v>46206.597546296296</v>
      </c>
      <c r="E923" s="2">
        <f t="shared" si="25"/>
        <v>46206</v>
      </c>
      <c r="F923" t="s">
        <v>1744</v>
      </c>
      <c r="G923">
        <f>_xlfn.XLOOKUP(A923,FTD!A:A,FTD!C:C)</f>
        <v>1000</v>
      </c>
      <c r="H923" cm="1">
        <f t="array" ref="H923">_xlfn.LET(
  _xlpm.s, TRIM(F923),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3" t="str">
        <f>_xlfn.XLOOKUP(E923,Calendar!C:C,Calendar!B:B)</f>
        <v>Working Day</v>
      </c>
    </row>
    <row r="924" spans="1:9" x14ac:dyDescent="0.25">
      <c r="A924" t="s">
        <v>924</v>
      </c>
      <c r="B924" t="s">
        <v>1387</v>
      </c>
      <c r="C924" t="s">
        <v>1397</v>
      </c>
      <c r="D924" s="2">
        <v>46216.405300925922</v>
      </c>
      <c r="E924" s="2">
        <f t="shared" si="25"/>
        <v>46216</v>
      </c>
      <c r="F924" t="s">
        <v>1743</v>
      </c>
      <c r="G924">
        <f>_xlfn.XLOOKUP(A924,FTD!A:A,FTD!C:C)</f>
        <v>1000</v>
      </c>
      <c r="H924" cm="1">
        <f t="array" ref="H924">_xlfn.LET(
  _xlpm.s, TRIM(F924),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4" t="str">
        <f>_xlfn.XLOOKUP(E924,Calendar!C:C,Calendar!B:B)</f>
        <v>Working Day</v>
      </c>
    </row>
    <row r="925" spans="1:9" x14ac:dyDescent="0.25">
      <c r="A925" t="s">
        <v>925</v>
      </c>
      <c r="B925" t="s">
        <v>1387</v>
      </c>
      <c r="C925" t="s">
        <v>1407</v>
      </c>
      <c r="D925" s="2">
        <v>46212.454745370371</v>
      </c>
      <c r="E925" s="2">
        <f t="shared" si="25"/>
        <v>46212</v>
      </c>
      <c r="F925" t="s">
        <v>1739</v>
      </c>
      <c r="G925">
        <f>_xlfn.XLOOKUP(A925,FTD!A:A,FTD!C:C)</f>
        <v>1000</v>
      </c>
      <c r="H925" cm="1">
        <f t="array" ref="H925">_xlfn.LET(
  _xlpm.s, TRIM(F925),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25" t="str">
        <f>_xlfn.XLOOKUP(E925,Calendar!C:C,Calendar!B:B)</f>
        <v>Working Day</v>
      </c>
    </row>
    <row r="926" spans="1:9" x14ac:dyDescent="0.25">
      <c r="A926" t="s">
        <v>926</v>
      </c>
      <c r="B926" t="s">
        <v>1387</v>
      </c>
      <c r="C926" t="s">
        <v>1425</v>
      </c>
      <c r="D926" s="2">
        <v>46210.840983796297</v>
      </c>
      <c r="E926" s="2">
        <f t="shared" si="25"/>
        <v>46210</v>
      </c>
      <c r="F926" t="s">
        <v>1744</v>
      </c>
      <c r="G926">
        <f>_xlfn.XLOOKUP(A926,FTD!A:A,FTD!C:C)</f>
        <v>2000</v>
      </c>
      <c r="H926" cm="1">
        <f t="array" ref="H926">_xlfn.LET(
  _xlpm.s, TRIM(F926),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6" t="str">
        <f>_xlfn.XLOOKUP(E926,Calendar!C:C,Calendar!B:B)</f>
        <v>Working Day</v>
      </c>
    </row>
    <row r="927" spans="1:9" x14ac:dyDescent="0.25">
      <c r="A927" t="s">
        <v>927</v>
      </c>
      <c r="B927" t="s">
        <v>1387</v>
      </c>
      <c r="C927" t="s">
        <v>1418</v>
      </c>
      <c r="D927" s="2">
        <v>46210.837766203702</v>
      </c>
      <c r="E927" s="2">
        <f t="shared" si="25"/>
        <v>46210</v>
      </c>
      <c r="F927" t="s">
        <v>1741</v>
      </c>
      <c r="G927">
        <f>_xlfn.XLOOKUP(A927,FTD!A:A,FTD!C:C)</f>
        <v>2000</v>
      </c>
      <c r="H927" cm="1">
        <f t="array" ref="H927">_xlfn.LET(
  _xlpm.s, TRIM(F927),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27" t="str">
        <f>_xlfn.XLOOKUP(E927,Calendar!C:C,Calendar!B:B)</f>
        <v>Working Day</v>
      </c>
    </row>
    <row r="928" spans="1:9" x14ac:dyDescent="0.25">
      <c r="A928" t="s">
        <v>928</v>
      </c>
      <c r="B928" t="s">
        <v>1387</v>
      </c>
      <c r="C928" t="s">
        <v>1402</v>
      </c>
      <c r="D928" s="2">
        <v>46209.519930555551</v>
      </c>
      <c r="E928" s="2">
        <f t="shared" si="25"/>
        <v>46209</v>
      </c>
      <c r="F928" t="s">
        <v>1706</v>
      </c>
      <c r="G928">
        <f>_xlfn.XLOOKUP(A928,FTD!A:A,FTD!C:C)</f>
        <v>15000</v>
      </c>
      <c r="H928" cm="1">
        <f t="array" ref="H928">_xlfn.LET(
  _xlpm.s, TRIM(F928),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28" t="str">
        <f>_xlfn.XLOOKUP(E928,Calendar!C:C,Calendar!B:B)</f>
        <v>Working Day</v>
      </c>
    </row>
    <row r="929" spans="1:9" x14ac:dyDescent="0.25">
      <c r="A929" t="s">
        <v>929</v>
      </c>
      <c r="B929" t="s">
        <v>1387</v>
      </c>
      <c r="C929" t="s">
        <v>1400</v>
      </c>
      <c r="D929" s="2">
        <v>46206.480960648143</v>
      </c>
      <c r="E929" s="2">
        <f t="shared" si="25"/>
        <v>46206</v>
      </c>
      <c r="F929" t="s">
        <v>1745</v>
      </c>
      <c r="G929">
        <f>_xlfn.XLOOKUP(A929,FTD!A:A,FTD!C:C)</f>
        <v>1000</v>
      </c>
      <c r="H929" cm="1">
        <f t="array" ref="H929">_xlfn.LET(
  _xlpm.s, TRIM(F929),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29" t="str">
        <f>_xlfn.XLOOKUP(E929,Calendar!C:C,Calendar!B:B)</f>
        <v>Working Day</v>
      </c>
    </row>
    <row r="930" spans="1:9" x14ac:dyDescent="0.25">
      <c r="A930" t="s">
        <v>930</v>
      </c>
      <c r="B930" t="s">
        <v>1387</v>
      </c>
      <c r="C930" t="s">
        <v>1408</v>
      </c>
      <c r="D930" s="2">
        <v>46232.81144675926</v>
      </c>
      <c r="E930" s="2">
        <f t="shared" si="25"/>
        <v>46232</v>
      </c>
      <c r="F930" t="s">
        <v>1738</v>
      </c>
      <c r="G930">
        <f>_xlfn.XLOOKUP(A930,FTD!A:A,FTD!C:C)</f>
        <v>1000</v>
      </c>
      <c r="H930" cm="1">
        <f t="array" ref="H930">_xlfn.LET(
  _xlpm.s, TRIM(F930),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0" t="str">
        <f>_xlfn.XLOOKUP(E930,Calendar!C:C,Calendar!B:B)</f>
        <v>Working Day</v>
      </c>
    </row>
    <row r="931" spans="1:9" x14ac:dyDescent="0.25">
      <c r="A931" t="s">
        <v>931</v>
      </c>
      <c r="B931" t="s">
        <v>1387</v>
      </c>
      <c r="C931" t="s">
        <v>1404</v>
      </c>
      <c r="D931" s="2">
        <v>46230.543645833328</v>
      </c>
      <c r="E931" s="2">
        <f t="shared" si="25"/>
        <v>46230</v>
      </c>
      <c r="F931" t="s">
        <v>1740</v>
      </c>
      <c r="G931">
        <f>_xlfn.XLOOKUP(A931,FTD!A:A,FTD!C:C)</f>
        <v>1000</v>
      </c>
      <c r="H931" cm="1">
        <f t="array" ref="H931">_xlfn.LET(
  _xlpm.s, TRIM(F931),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31" t="str">
        <f>_xlfn.XLOOKUP(E931,Calendar!C:C,Calendar!B:B)</f>
        <v>Working Day</v>
      </c>
    </row>
    <row r="932" spans="1:9" x14ac:dyDescent="0.25">
      <c r="A932" t="s">
        <v>932</v>
      </c>
      <c r="B932" t="s">
        <v>1387</v>
      </c>
      <c r="C932" t="s">
        <v>1412</v>
      </c>
      <c r="D932" s="2">
        <v>46219.713993055557</v>
      </c>
      <c r="E932" s="2">
        <f t="shared" si="25"/>
        <v>46219</v>
      </c>
      <c r="F932" t="s">
        <v>1738</v>
      </c>
      <c r="G932">
        <f>_xlfn.XLOOKUP(A932,FTD!A:A,FTD!C:C)</f>
        <v>1000</v>
      </c>
      <c r="H932" cm="1">
        <f t="array" ref="H932">_xlfn.LET(
  _xlpm.s, TRIM(F932),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2" t="str">
        <f>_xlfn.XLOOKUP(E932,Calendar!C:C,Calendar!B:B)</f>
        <v>Working Day</v>
      </c>
    </row>
    <row r="933" spans="1:9" x14ac:dyDescent="0.25">
      <c r="A933" t="s">
        <v>933</v>
      </c>
      <c r="B933" t="s">
        <v>1387</v>
      </c>
      <c r="C933" t="s">
        <v>1407</v>
      </c>
      <c r="D933" s="2">
        <v>46209.749699074069</v>
      </c>
      <c r="E933" s="2">
        <f t="shared" si="25"/>
        <v>46209</v>
      </c>
      <c r="F933" t="s">
        <v>1739</v>
      </c>
      <c r="G933">
        <f>_xlfn.XLOOKUP(A933,FTD!A:A,FTD!C:C)</f>
        <v>2500</v>
      </c>
      <c r="H933" cm="1">
        <f t="array" ref="H933">_xlfn.LET(
  _xlpm.s, TRIM(F933),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33" t="str">
        <f>_xlfn.XLOOKUP(E933,Calendar!C:C,Calendar!B:B)</f>
        <v>Working Day</v>
      </c>
    </row>
    <row r="934" spans="1:9" x14ac:dyDescent="0.25">
      <c r="A934" t="s">
        <v>934</v>
      </c>
      <c r="B934" t="s">
        <v>1387</v>
      </c>
      <c r="C934" t="s">
        <v>1398</v>
      </c>
      <c r="D934" s="2">
        <v>46225.470289351848</v>
      </c>
      <c r="E934" s="2">
        <f t="shared" si="25"/>
        <v>46225</v>
      </c>
      <c r="F934" t="s">
        <v>1738</v>
      </c>
      <c r="G934">
        <f>_xlfn.XLOOKUP(A934,FTD!A:A,FTD!C:C)</f>
        <v>1000</v>
      </c>
      <c r="H934" cm="1">
        <f t="array" ref="H934">_xlfn.LET(
  _xlpm.s, TRIM(F934),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4" t="str">
        <f>_xlfn.XLOOKUP(E934,Calendar!C:C,Calendar!B:B)</f>
        <v>Working Day</v>
      </c>
    </row>
    <row r="935" spans="1:9" x14ac:dyDescent="0.25">
      <c r="A935" t="s">
        <v>935</v>
      </c>
      <c r="B935" t="s">
        <v>1387</v>
      </c>
      <c r="C935" t="s">
        <v>1408</v>
      </c>
      <c r="D935" s="2">
        <v>46217.521736111106</v>
      </c>
      <c r="E935" s="2">
        <f t="shared" si="25"/>
        <v>46217</v>
      </c>
      <c r="F935" t="s">
        <v>1739</v>
      </c>
      <c r="G935">
        <f>_xlfn.XLOOKUP(A935,FTD!A:A,FTD!C:C)</f>
        <v>1000</v>
      </c>
      <c r="H935" cm="1">
        <f t="array" ref="H935">_xlfn.LET(
  _xlpm.s, TRIM(F935),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35" t="str">
        <f>_xlfn.XLOOKUP(E935,Calendar!C:C,Calendar!B:B)</f>
        <v>Working Day</v>
      </c>
    </row>
    <row r="936" spans="1:9" x14ac:dyDescent="0.25">
      <c r="A936" t="s">
        <v>936</v>
      </c>
      <c r="B936" t="s">
        <v>1387</v>
      </c>
      <c r="C936" t="s">
        <v>1414</v>
      </c>
      <c r="D936" s="2">
        <v>46216.765428240738</v>
      </c>
      <c r="E936" s="2">
        <f t="shared" si="25"/>
        <v>46216</v>
      </c>
      <c r="F936" t="s">
        <v>1744</v>
      </c>
      <c r="G936">
        <f>_xlfn.XLOOKUP(A936,FTD!A:A,FTD!C:C)</f>
        <v>1000</v>
      </c>
      <c r="H936" cm="1">
        <f t="array" ref="H936">_xlfn.LET(
  _xlpm.s, TRIM(F936),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6" t="str">
        <f>_xlfn.XLOOKUP(E936,Calendar!C:C,Calendar!B:B)</f>
        <v>Working Day</v>
      </c>
    </row>
    <row r="937" spans="1:9" x14ac:dyDescent="0.25">
      <c r="A937" t="s">
        <v>937</v>
      </c>
      <c r="B937" t="s">
        <v>1384</v>
      </c>
      <c r="C937" t="s">
        <v>1409</v>
      </c>
      <c r="D937" s="2">
        <v>46206.391041666662</v>
      </c>
      <c r="E937" s="2">
        <f t="shared" si="25"/>
        <v>46206</v>
      </c>
      <c r="F937" t="s">
        <v>1759</v>
      </c>
      <c r="G937">
        <f>_xlfn.XLOOKUP(A937,FTD!A:A,FTD!C:C)</f>
        <v>1000</v>
      </c>
      <c r="H937" cm="1">
        <f t="array" ref="H937">_xlfn.LET(
  _xlpm.s, TRIM(F937),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37" t="str">
        <f>_xlfn.XLOOKUP(E937,Calendar!C:C,Calendar!B:B)</f>
        <v>Working Day</v>
      </c>
    </row>
    <row r="938" spans="1:9" x14ac:dyDescent="0.25">
      <c r="A938" t="s">
        <v>938</v>
      </c>
      <c r="B938" t="s">
        <v>1384</v>
      </c>
      <c r="C938" t="s">
        <v>1393</v>
      </c>
      <c r="D938" s="2">
        <v>46210.947187499994</v>
      </c>
      <c r="E938" s="2">
        <f t="shared" si="25"/>
        <v>46210</v>
      </c>
      <c r="F938" t="s">
        <v>1738</v>
      </c>
      <c r="G938">
        <f>_xlfn.XLOOKUP(A938,FTD!A:A,FTD!C:C)</f>
        <v>1000</v>
      </c>
      <c r="H938" cm="1">
        <f t="array" ref="H938">_xlfn.LET(
  _xlpm.s, TRIM(F938),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8" t="str">
        <f>_xlfn.XLOOKUP(E938,Calendar!C:C,Calendar!B:B)</f>
        <v>Working Day</v>
      </c>
    </row>
    <row r="939" spans="1:9" x14ac:dyDescent="0.25">
      <c r="A939" t="s">
        <v>939</v>
      </c>
      <c r="B939" t="s">
        <v>1384</v>
      </c>
      <c r="C939" t="s">
        <v>1400</v>
      </c>
      <c r="D939" s="2">
        <v>46204.732430555552</v>
      </c>
      <c r="E939" s="2">
        <f t="shared" si="25"/>
        <v>46204</v>
      </c>
      <c r="F939" t="s">
        <v>1738</v>
      </c>
      <c r="G939">
        <f>_xlfn.XLOOKUP(A939,FTD!A:A,FTD!C:C)</f>
        <v>1000</v>
      </c>
      <c r="H939" cm="1">
        <f t="array" ref="H939">_xlfn.LET(
  _xlpm.s, TRIM(F939),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39" t="str">
        <f>_xlfn.XLOOKUP(E939,Calendar!C:C,Calendar!B:B)</f>
        <v>Working Day</v>
      </c>
    </row>
    <row r="940" spans="1:9" x14ac:dyDescent="0.25">
      <c r="A940" t="s">
        <v>940</v>
      </c>
      <c r="B940" t="s">
        <v>1384</v>
      </c>
      <c r="C940" t="s">
        <v>1432</v>
      </c>
      <c r="D940" s="2">
        <v>46219.784155092588</v>
      </c>
      <c r="E940" s="2">
        <f t="shared" si="25"/>
        <v>46219</v>
      </c>
      <c r="F940" t="s">
        <v>1740</v>
      </c>
      <c r="G940">
        <f>_xlfn.XLOOKUP(A940,FTD!A:A,FTD!C:C)</f>
        <v>1025</v>
      </c>
      <c r="H940" cm="1">
        <f t="array" ref="H940">_xlfn.LET(
  _xlpm.s, TRIM(F940),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40" t="str">
        <f>_xlfn.XLOOKUP(E940,Calendar!C:C,Calendar!B:B)</f>
        <v>Working Day</v>
      </c>
    </row>
    <row r="941" spans="1:9" x14ac:dyDescent="0.25">
      <c r="A941" t="s">
        <v>941</v>
      </c>
      <c r="B941" t="s">
        <v>1387</v>
      </c>
      <c r="C941" t="s">
        <v>1407</v>
      </c>
      <c r="D941" s="2">
        <v>46217.98159722222</v>
      </c>
      <c r="E941" s="2">
        <f t="shared" si="25"/>
        <v>46217</v>
      </c>
      <c r="F941" t="s">
        <v>1745</v>
      </c>
      <c r="G941">
        <f>_xlfn.XLOOKUP(A941,FTD!A:A,FTD!C:C)</f>
        <v>1000</v>
      </c>
      <c r="H941" cm="1">
        <f t="array" ref="H941">_xlfn.LET(
  _xlpm.s, TRIM(F941),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41" t="str">
        <f>_xlfn.XLOOKUP(E941,Calendar!C:C,Calendar!B:B)</f>
        <v>Working Day</v>
      </c>
    </row>
    <row r="942" spans="1:9" x14ac:dyDescent="0.25">
      <c r="A942" t="s">
        <v>942</v>
      </c>
      <c r="B942" t="s">
        <v>1387</v>
      </c>
      <c r="C942" t="s">
        <v>1428</v>
      </c>
      <c r="D942" s="2">
        <v>46211.699212962958</v>
      </c>
      <c r="E942" s="2">
        <f t="shared" si="25"/>
        <v>46211</v>
      </c>
      <c r="F942" t="s">
        <v>1744</v>
      </c>
      <c r="G942">
        <f>_xlfn.XLOOKUP(A942,FTD!A:A,FTD!C:C)</f>
        <v>1000</v>
      </c>
      <c r="H942" cm="1">
        <f t="array" ref="H942">_xlfn.LET(
  _xlpm.s, TRIM(F942),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2" t="str">
        <f>_xlfn.XLOOKUP(E942,Calendar!C:C,Calendar!B:B)</f>
        <v>Working Day</v>
      </c>
    </row>
    <row r="943" spans="1:9" x14ac:dyDescent="0.25">
      <c r="A943" t="s">
        <v>943</v>
      </c>
      <c r="B943" t="s">
        <v>1387</v>
      </c>
      <c r="C943" t="s">
        <v>1399</v>
      </c>
      <c r="D943" s="2">
        <v>46210.442673611113</v>
      </c>
      <c r="E943" s="2">
        <f t="shared" si="25"/>
        <v>46210</v>
      </c>
      <c r="F943" t="s">
        <v>1738</v>
      </c>
      <c r="G943">
        <f>_xlfn.XLOOKUP(A943,FTD!A:A,FTD!C:C)</f>
        <v>2000</v>
      </c>
      <c r="H943" cm="1">
        <f t="array" ref="H943">_xlfn.LET(
  _xlpm.s, TRIM(F943),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3" t="str">
        <f>_xlfn.XLOOKUP(E943,Calendar!C:C,Calendar!B:B)</f>
        <v>Working Day</v>
      </c>
    </row>
    <row r="944" spans="1:9" x14ac:dyDescent="0.25">
      <c r="A944" t="s">
        <v>944</v>
      </c>
      <c r="B944" t="s">
        <v>1387</v>
      </c>
      <c r="C944" t="s">
        <v>1417</v>
      </c>
      <c r="D944" s="2">
        <v>46206.394675925927</v>
      </c>
      <c r="E944" s="2">
        <f t="shared" si="25"/>
        <v>46206</v>
      </c>
      <c r="F944" t="s">
        <v>1743</v>
      </c>
      <c r="G944">
        <f>_xlfn.XLOOKUP(A944,FTD!A:A,FTD!C:C)</f>
        <v>1000</v>
      </c>
      <c r="H944" cm="1">
        <f t="array" ref="H944">_xlfn.LET(
  _xlpm.s, TRIM(F944),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4" t="str">
        <f>_xlfn.XLOOKUP(E944,Calendar!C:C,Calendar!B:B)</f>
        <v>Working Day</v>
      </c>
    </row>
    <row r="945" spans="1:9" x14ac:dyDescent="0.25">
      <c r="A945" t="s">
        <v>945</v>
      </c>
      <c r="B945" t="s">
        <v>1387</v>
      </c>
      <c r="C945" t="s">
        <v>1408</v>
      </c>
      <c r="D945" s="2">
        <v>46217.47074074074</v>
      </c>
      <c r="E945" s="2">
        <f t="shared" si="25"/>
        <v>46217</v>
      </c>
      <c r="F945" t="s">
        <v>1738</v>
      </c>
      <c r="G945">
        <f>_xlfn.XLOOKUP(A945,FTD!A:A,FTD!C:C)</f>
        <v>1000</v>
      </c>
      <c r="H945" cm="1">
        <f t="array" ref="H945">_xlfn.LET(
  _xlpm.s, TRIM(F945),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5" t="str">
        <f>_xlfn.XLOOKUP(E945,Calendar!C:C,Calendar!B:B)</f>
        <v>Working Day</v>
      </c>
    </row>
    <row r="946" spans="1:9" x14ac:dyDescent="0.25">
      <c r="A946" t="s">
        <v>946</v>
      </c>
      <c r="B946" t="s">
        <v>1387</v>
      </c>
      <c r="C946" t="s">
        <v>1400</v>
      </c>
      <c r="D946" s="2">
        <v>46213.912083333329</v>
      </c>
      <c r="E946" s="2">
        <f t="shared" si="25"/>
        <v>46213</v>
      </c>
      <c r="F946" t="s">
        <v>1743</v>
      </c>
      <c r="G946">
        <f>_xlfn.XLOOKUP(A946,FTD!A:A,FTD!C:C)</f>
        <v>1000</v>
      </c>
      <c r="H946" cm="1">
        <f t="array" ref="H946">_xlfn.LET(
  _xlpm.s, TRIM(F946),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6" t="str">
        <f>_xlfn.XLOOKUP(E946,Calendar!C:C,Calendar!B:B)</f>
        <v>Working Day</v>
      </c>
    </row>
    <row r="947" spans="1:9" x14ac:dyDescent="0.25">
      <c r="A947" t="s">
        <v>947</v>
      </c>
      <c r="B947" t="s">
        <v>1387</v>
      </c>
      <c r="C947" t="s">
        <v>1433</v>
      </c>
      <c r="D947" s="2">
        <v>46212.535428240742</v>
      </c>
      <c r="E947" s="2">
        <f t="shared" si="25"/>
        <v>46212</v>
      </c>
      <c r="F947" t="s">
        <v>1743</v>
      </c>
      <c r="G947">
        <f>_xlfn.XLOOKUP(A947,FTD!A:A,FTD!C:C)</f>
        <v>1000</v>
      </c>
      <c r="H947" cm="1">
        <f t="array" ref="H947">_xlfn.LET(
  _xlpm.s, TRIM(F947),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7" t="str">
        <f>_xlfn.XLOOKUP(E947,Calendar!C:C,Calendar!B:B)</f>
        <v>Working Day</v>
      </c>
    </row>
    <row r="948" spans="1:9" x14ac:dyDescent="0.25">
      <c r="A948" t="s">
        <v>948</v>
      </c>
      <c r="B948" t="s">
        <v>1387</v>
      </c>
      <c r="C948" t="s">
        <v>1402</v>
      </c>
      <c r="D948" s="2">
        <v>46234.927812499998</v>
      </c>
      <c r="E948" s="2">
        <f t="shared" si="25"/>
        <v>46234</v>
      </c>
      <c r="F948" t="s">
        <v>1738</v>
      </c>
      <c r="G948">
        <f>_xlfn.XLOOKUP(A948,FTD!A:A,FTD!C:C)</f>
        <v>9757</v>
      </c>
      <c r="H948" cm="1">
        <f t="array" ref="H948">_xlfn.LET(
  _xlpm.s, TRIM(F948),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48" t="str">
        <f>_xlfn.XLOOKUP(E948,Calendar!C:C,Calendar!B:B)</f>
        <v>Working Day</v>
      </c>
    </row>
    <row r="949" spans="1:9" x14ac:dyDescent="0.25">
      <c r="A949" t="s">
        <v>949</v>
      </c>
      <c r="B949" t="s">
        <v>1387</v>
      </c>
      <c r="C949" t="s">
        <v>1388</v>
      </c>
      <c r="D949" s="2">
        <v>46231.613715277774</v>
      </c>
      <c r="E949" s="2">
        <f t="shared" si="25"/>
        <v>46231</v>
      </c>
      <c r="F949" t="s">
        <v>1739</v>
      </c>
      <c r="G949">
        <f>_xlfn.XLOOKUP(A949,FTD!A:A,FTD!C:C)</f>
        <v>1000</v>
      </c>
      <c r="H949" cm="1">
        <f t="array" ref="H949">_xlfn.LET(
  _xlpm.s, TRIM(F949),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49" t="str">
        <f>_xlfn.XLOOKUP(E949,Calendar!C:C,Calendar!B:B)</f>
        <v>Working Day</v>
      </c>
    </row>
    <row r="950" spans="1:9" x14ac:dyDescent="0.25">
      <c r="A950" t="s">
        <v>950</v>
      </c>
      <c r="B950" t="s">
        <v>1384</v>
      </c>
      <c r="C950" t="s">
        <v>1395</v>
      </c>
      <c r="D950" s="2">
        <v>46209.400081018517</v>
      </c>
      <c r="E950" s="2">
        <f t="shared" si="25"/>
        <v>46209</v>
      </c>
      <c r="F950" t="s">
        <v>1740</v>
      </c>
      <c r="G950">
        <f>_xlfn.XLOOKUP(A950,FTD!A:A,FTD!C:C)</f>
        <v>10000</v>
      </c>
      <c r="H950" cm="1">
        <f t="array" ref="H950">_xlfn.LET(
  _xlpm.s, TRIM(F950),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0" t="str">
        <f>_xlfn.XLOOKUP(E950,Calendar!C:C,Calendar!B:B)</f>
        <v>Working Day</v>
      </c>
    </row>
    <row r="951" spans="1:9" x14ac:dyDescent="0.25">
      <c r="A951" t="s">
        <v>951</v>
      </c>
      <c r="B951" t="s">
        <v>1384</v>
      </c>
      <c r="C951" t="s">
        <v>1401</v>
      </c>
      <c r="D951" s="2">
        <v>46205.471932870365</v>
      </c>
      <c r="E951" s="2">
        <f t="shared" si="25"/>
        <v>46205</v>
      </c>
      <c r="F951" t="s">
        <v>1706</v>
      </c>
      <c r="G951">
        <f>_xlfn.XLOOKUP(A951,FTD!A:A,FTD!C:C)</f>
        <v>1000</v>
      </c>
      <c r="H951" cm="1">
        <f t="array" ref="H951">_xlfn.LET(
  _xlpm.s, TRIM(F951),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51" t="str">
        <f>_xlfn.XLOOKUP(E951,Calendar!C:C,Calendar!B:B)</f>
        <v>Working Day</v>
      </c>
    </row>
    <row r="952" spans="1:9" x14ac:dyDescent="0.25">
      <c r="A952" t="s">
        <v>952</v>
      </c>
      <c r="B952" t="s">
        <v>1387</v>
      </c>
      <c r="C952" t="s">
        <v>1428</v>
      </c>
      <c r="D952" s="2">
        <v>46209.407372685186</v>
      </c>
      <c r="E952" s="2">
        <f t="shared" si="25"/>
        <v>46209</v>
      </c>
      <c r="F952" t="s">
        <v>1746</v>
      </c>
      <c r="G952">
        <f>_xlfn.XLOOKUP(A952,FTD!A:A,FTD!C:C)</f>
        <v>1000</v>
      </c>
      <c r="H952" cm="1">
        <f t="array" ref="H952">_xlfn.LET(
  _xlpm.s, TRIM(F952),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2" t="str">
        <f>_xlfn.XLOOKUP(E952,Calendar!C:C,Calendar!B:B)</f>
        <v>Working Day</v>
      </c>
    </row>
    <row r="953" spans="1:9" x14ac:dyDescent="0.25">
      <c r="A953" t="s">
        <v>953</v>
      </c>
      <c r="B953" t="s">
        <v>1387</v>
      </c>
      <c r="C953" t="s">
        <v>1400</v>
      </c>
      <c r="D953" s="2">
        <v>46223.417812499996</v>
      </c>
      <c r="E953" s="2">
        <f t="shared" si="25"/>
        <v>46223</v>
      </c>
      <c r="F953" t="s">
        <v>1739</v>
      </c>
      <c r="G953">
        <f>_xlfn.XLOOKUP(A953,FTD!A:A,FTD!C:C)</f>
        <v>1000</v>
      </c>
      <c r="H953" cm="1">
        <f t="array" ref="H953">_xlfn.LET(
  _xlpm.s, TRIM(F953),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3" t="str">
        <f>_xlfn.XLOOKUP(E953,Calendar!C:C,Calendar!B:B)</f>
        <v>Working Day</v>
      </c>
    </row>
    <row r="954" spans="1:9" x14ac:dyDescent="0.25">
      <c r="A954" t="s">
        <v>954</v>
      </c>
      <c r="B954" t="s">
        <v>1387</v>
      </c>
      <c r="C954" t="s">
        <v>1405</v>
      </c>
      <c r="D954" s="2">
        <v>46225.368483796294</v>
      </c>
      <c r="E954" s="2">
        <f t="shared" si="25"/>
        <v>46225</v>
      </c>
      <c r="F954" t="s">
        <v>1739</v>
      </c>
      <c r="G954">
        <f>_xlfn.XLOOKUP(A954,FTD!A:A,FTD!C:C)</f>
        <v>4500</v>
      </c>
      <c r="H954" cm="1">
        <f t="array" ref="H954">_xlfn.LET(
  _xlpm.s, TRIM(F954),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4" t="str">
        <f>_xlfn.XLOOKUP(E954,Calendar!C:C,Calendar!B:B)</f>
        <v>Working Day</v>
      </c>
    </row>
    <row r="955" spans="1:9" x14ac:dyDescent="0.25">
      <c r="A955" t="s">
        <v>955</v>
      </c>
      <c r="B955" t="s">
        <v>1387</v>
      </c>
      <c r="C955" t="s">
        <v>1402</v>
      </c>
      <c r="D955" s="2">
        <v>46233.52270833333</v>
      </c>
      <c r="E955" s="2">
        <f t="shared" si="25"/>
        <v>46233</v>
      </c>
      <c r="F955" t="s">
        <v>1739</v>
      </c>
      <c r="G955">
        <f>_xlfn.XLOOKUP(A955,FTD!A:A,FTD!C:C)</f>
        <v>1000</v>
      </c>
      <c r="H955" cm="1">
        <f t="array" ref="H955">_xlfn.LET(
  _xlpm.s, TRIM(F955),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5" t="str">
        <f>_xlfn.XLOOKUP(E955,Calendar!C:C,Calendar!B:B)</f>
        <v>Working Day</v>
      </c>
    </row>
    <row r="956" spans="1:9" x14ac:dyDescent="0.25">
      <c r="A956" t="s">
        <v>956</v>
      </c>
      <c r="B956" t="s">
        <v>1387</v>
      </c>
      <c r="C956" t="s">
        <v>1408</v>
      </c>
      <c r="D956" s="2">
        <v>46216.582708333328</v>
      </c>
      <c r="E956" s="2">
        <f t="shared" si="25"/>
        <v>46216</v>
      </c>
      <c r="F956" t="s">
        <v>1738</v>
      </c>
      <c r="G956">
        <f>_xlfn.XLOOKUP(A956,FTD!A:A,FTD!C:C)</f>
        <v>1000</v>
      </c>
      <c r="H956" cm="1">
        <f t="array" ref="H956">_xlfn.LET(
  _xlpm.s, TRIM(F956),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56" t="str">
        <f>_xlfn.XLOOKUP(E956,Calendar!C:C,Calendar!B:B)</f>
        <v>Working Day</v>
      </c>
    </row>
    <row r="957" spans="1:9" x14ac:dyDescent="0.25">
      <c r="A957" t="s">
        <v>957</v>
      </c>
      <c r="B957" t="s">
        <v>1387</v>
      </c>
      <c r="C957" t="s">
        <v>1431</v>
      </c>
      <c r="D957" s="2">
        <v>46219.820960648147</v>
      </c>
      <c r="E957" s="2">
        <f t="shared" si="25"/>
        <v>46219</v>
      </c>
      <c r="F957" t="s">
        <v>1739</v>
      </c>
      <c r="G957">
        <f>_xlfn.XLOOKUP(A957,FTD!A:A,FTD!C:C)</f>
        <v>2000</v>
      </c>
      <c r="H957" cm="1">
        <f t="array" ref="H957">_xlfn.LET(
  _xlpm.s, TRIM(F957),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57" t="str">
        <f>_xlfn.XLOOKUP(E957,Calendar!C:C,Calendar!B:B)</f>
        <v>Working Day</v>
      </c>
    </row>
    <row r="958" spans="1:9" x14ac:dyDescent="0.25">
      <c r="A958" t="s">
        <v>958</v>
      </c>
      <c r="B958" t="s">
        <v>1384</v>
      </c>
      <c r="C958" t="s">
        <v>1436</v>
      </c>
      <c r="D958" s="2">
        <v>46206.710497685184</v>
      </c>
      <c r="E958" s="2">
        <f t="shared" si="25"/>
        <v>46206</v>
      </c>
      <c r="F958" t="s">
        <v>1742</v>
      </c>
      <c r="G958">
        <f>_xlfn.XLOOKUP(A958,FTD!A:A,FTD!C:C)</f>
        <v>2138</v>
      </c>
      <c r="H958" cm="1">
        <f t="array" ref="H958">_xlfn.LET(
  _xlpm.s, TRIM(F958),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58" t="str">
        <f>_xlfn.XLOOKUP(E958,Calendar!C:C,Calendar!B:B)</f>
        <v>Working Day</v>
      </c>
    </row>
    <row r="959" spans="1:9" x14ac:dyDescent="0.25">
      <c r="A959" t="s">
        <v>959</v>
      </c>
      <c r="B959" t="s">
        <v>1387</v>
      </c>
      <c r="C959" t="s">
        <v>1408</v>
      </c>
      <c r="D959" s="2">
        <v>46204.605682870366</v>
      </c>
      <c r="E959" s="2">
        <f t="shared" si="25"/>
        <v>46204</v>
      </c>
      <c r="F959" t="s">
        <v>1738</v>
      </c>
      <c r="G959">
        <f>_xlfn.XLOOKUP(A959,FTD!A:A,FTD!C:C)</f>
        <v>2000</v>
      </c>
      <c r="H959" cm="1">
        <f t="array" ref="H959">_xlfn.LET(
  _xlpm.s, TRIM(F959),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59" t="str">
        <f>_xlfn.XLOOKUP(E959,Calendar!C:C,Calendar!B:B)</f>
        <v>Working Day</v>
      </c>
    </row>
    <row r="960" spans="1:9" x14ac:dyDescent="0.25">
      <c r="A960" t="s">
        <v>960</v>
      </c>
      <c r="B960" t="s">
        <v>1387</v>
      </c>
      <c r="C960" t="s">
        <v>1407</v>
      </c>
      <c r="D960" s="2">
        <v>46227.479074074072</v>
      </c>
      <c r="E960" s="2">
        <f t="shared" si="25"/>
        <v>46227</v>
      </c>
      <c r="F960" t="s">
        <v>1746</v>
      </c>
      <c r="G960">
        <f>_xlfn.XLOOKUP(A960,FTD!A:A,FTD!C:C)</f>
        <v>1500</v>
      </c>
      <c r="H960" cm="1">
        <f t="array" ref="H960">_xlfn.LET(
  _xlpm.s, TRIM(F960),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0" t="str">
        <f>_xlfn.XLOOKUP(E960,Calendar!C:C,Calendar!B:B)</f>
        <v>Working Day</v>
      </c>
    </row>
    <row r="961" spans="1:9" x14ac:dyDescent="0.25">
      <c r="A961" t="s">
        <v>961</v>
      </c>
      <c r="B961" t="s">
        <v>1387</v>
      </c>
      <c r="C961" t="s">
        <v>1389</v>
      </c>
      <c r="D961" s="2">
        <v>46220.569733796292</v>
      </c>
      <c r="E961" s="2">
        <f t="shared" si="25"/>
        <v>46220</v>
      </c>
      <c r="F961" t="s">
        <v>1743</v>
      </c>
      <c r="G961">
        <f>_xlfn.XLOOKUP(A961,FTD!A:A,FTD!C:C)</f>
        <v>1000</v>
      </c>
      <c r="H961" cm="1">
        <f t="array" ref="H961">_xlfn.LET(
  _xlpm.s, TRIM(F961),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61" t="str">
        <f>_xlfn.XLOOKUP(E961,Calendar!C:C,Calendar!B:B)</f>
        <v>Working Day</v>
      </c>
    </row>
    <row r="962" spans="1:9" x14ac:dyDescent="0.25">
      <c r="A962" t="s">
        <v>962</v>
      </c>
      <c r="B962" t="s">
        <v>1387</v>
      </c>
      <c r="C962" t="s">
        <v>1420</v>
      </c>
      <c r="D962" s="2">
        <v>46206.60219907407</v>
      </c>
      <c r="E962" s="2">
        <f t="shared" si="25"/>
        <v>46206</v>
      </c>
      <c r="F962" t="s">
        <v>1739</v>
      </c>
      <c r="G962">
        <f>_xlfn.XLOOKUP(A962,FTD!A:A,FTD!C:C)</f>
        <v>35000</v>
      </c>
      <c r="H962" cm="1">
        <f t="array" ref="H962">_xlfn.LET(
  _xlpm.s, TRIM(F962),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2" t="str">
        <f>_xlfn.XLOOKUP(E962,Calendar!C:C,Calendar!B:B)</f>
        <v>Working Day</v>
      </c>
    </row>
    <row r="963" spans="1:9" x14ac:dyDescent="0.25">
      <c r="A963" t="s">
        <v>963</v>
      </c>
      <c r="B963" t="s">
        <v>1387</v>
      </c>
      <c r="C963" t="s">
        <v>1394</v>
      </c>
      <c r="D963" s="2">
        <v>46227.631342592591</v>
      </c>
      <c r="E963" s="2">
        <f t="shared" ref="E963:E1026" si="26">INT(D963)</f>
        <v>46227</v>
      </c>
      <c r="F963" t="s">
        <v>1739</v>
      </c>
      <c r="G963">
        <f>_xlfn.XLOOKUP(A963,FTD!A:A,FTD!C:C)</f>
        <v>1000</v>
      </c>
      <c r="H963" cm="1">
        <f t="array" ref="H963">_xlfn.LET(
  _xlpm.s, TRIM(F963),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3" t="str">
        <f>_xlfn.XLOOKUP(E963,Calendar!C:C,Calendar!B:B)</f>
        <v>Working Day</v>
      </c>
    </row>
    <row r="964" spans="1:9" x14ac:dyDescent="0.25">
      <c r="A964" t="s">
        <v>964</v>
      </c>
      <c r="B964" t="s">
        <v>1387</v>
      </c>
      <c r="C964" t="s">
        <v>1406</v>
      </c>
      <c r="D964" s="2">
        <v>46226.529733796291</v>
      </c>
      <c r="E964" s="2">
        <f t="shared" si="26"/>
        <v>46226</v>
      </c>
      <c r="F964" t="s">
        <v>1739</v>
      </c>
      <c r="G964">
        <f>_xlfn.XLOOKUP(A964,FTD!A:A,FTD!C:C)</f>
        <v>2000</v>
      </c>
      <c r="H964" cm="1">
        <f t="array" ref="H964">_xlfn.LET(
  _xlpm.s, TRIM(F964),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4" t="str">
        <f>_xlfn.XLOOKUP(E964,Calendar!C:C,Calendar!B:B)</f>
        <v>Working Day</v>
      </c>
    </row>
    <row r="965" spans="1:9" x14ac:dyDescent="0.25">
      <c r="A965" t="s">
        <v>965</v>
      </c>
      <c r="B965" t="s">
        <v>1384</v>
      </c>
      <c r="C965" t="s">
        <v>1406</v>
      </c>
      <c r="D965" s="2">
        <v>46231.509062500001</v>
      </c>
      <c r="E965" s="2">
        <f t="shared" si="26"/>
        <v>46231</v>
      </c>
      <c r="F965" t="s">
        <v>1738</v>
      </c>
      <c r="G965">
        <f>_xlfn.XLOOKUP(A965,FTD!A:A,FTD!C:C)</f>
        <v>10000</v>
      </c>
      <c r="H965" cm="1">
        <f t="array" ref="H965">_xlfn.LET(
  _xlpm.s, TRIM(F965),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65" t="str">
        <f>_xlfn.XLOOKUP(E965,Calendar!C:C,Calendar!B:B)</f>
        <v>Working Day</v>
      </c>
    </row>
    <row r="966" spans="1:9" x14ac:dyDescent="0.25">
      <c r="A966" t="s">
        <v>966</v>
      </c>
      <c r="B966" t="s">
        <v>1384</v>
      </c>
      <c r="C966" t="s">
        <v>1408</v>
      </c>
      <c r="D966" s="2">
        <v>46226.77202546296</v>
      </c>
      <c r="E966" s="2">
        <f t="shared" si="26"/>
        <v>46226</v>
      </c>
      <c r="F966" t="s">
        <v>1742</v>
      </c>
      <c r="G966">
        <f>_xlfn.XLOOKUP(A966,FTD!A:A,FTD!C:C)</f>
        <v>1729</v>
      </c>
      <c r="H966" cm="1">
        <f t="array" ref="H966">_xlfn.LET(
  _xlpm.s, TRIM(F966),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66" t="str">
        <f>_xlfn.XLOOKUP(E966,Calendar!C:C,Calendar!B:B)</f>
        <v>Working Day</v>
      </c>
    </row>
    <row r="967" spans="1:9" x14ac:dyDescent="0.25">
      <c r="A967" t="s">
        <v>967</v>
      </c>
      <c r="B967" t="s">
        <v>1387</v>
      </c>
      <c r="C967" t="s">
        <v>1407</v>
      </c>
      <c r="D967" s="2">
        <v>46211.607523148145</v>
      </c>
      <c r="E967" s="2">
        <f t="shared" si="26"/>
        <v>46211</v>
      </c>
      <c r="F967" t="s">
        <v>1739</v>
      </c>
      <c r="G967">
        <f>_xlfn.XLOOKUP(A967,FTD!A:A,FTD!C:C)</f>
        <v>9000</v>
      </c>
      <c r="H967" cm="1">
        <f t="array" ref="H967">_xlfn.LET(
  _xlpm.s, TRIM(F967),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7" t="str">
        <f>_xlfn.XLOOKUP(E967,Calendar!C:C,Calendar!B:B)</f>
        <v>Working Day</v>
      </c>
    </row>
    <row r="968" spans="1:9" x14ac:dyDescent="0.25">
      <c r="A968" t="s">
        <v>968</v>
      </c>
      <c r="B968" t="s">
        <v>1387</v>
      </c>
      <c r="C968" t="s">
        <v>1397</v>
      </c>
      <c r="D968" s="2">
        <v>46231.754861111112</v>
      </c>
      <c r="E968" s="2">
        <f t="shared" si="26"/>
        <v>46231</v>
      </c>
      <c r="F968" t="s">
        <v>1739</v>
      </c>
      <c r="G968">
        <f>_xlfn.XLOOKUP(A968,FTD!A:A,FTD!C:C)</f>
        <v>1000</v>
      </c>
      <c r="H968" cm="1">
        <f t="array" ref="H968">_xlfn.LET(
  _xlpm.s, TRIM(F968),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8" t="str">
        <f>_xlfn.XLOOKUP(E968,Calendar!C:C,Calendar!B:B)</f>
        <v>Working Day</v>
      </c>
    </row>
    <row r="969" spans="1:9" x14ac:dyDescent="0.25">
      <c r="A969" t="s">
        <v>969</v>
      </c>
      <c r="B969" t="s">
        <v>1387</v>
      </c>
      <c r="C969" t="s">
        <v>1420</v>
      </c>
      <c r="D969" s="2">
        <v>46210.487291666665</v>
      </c>
      <c r="E969" s="2">
        <f t="shared" si="26"/>
        <v>46210</v>
      </c>
      <c r="F969" t="s">
        <v>1739</v>
      </c>
      <c r="G969">
        <f>_xlfn.XLOOKUP(A969,FTD!A:A,FTD!C:C)</f>
        <v>34000</v>
      </c>
      <c r="H969" cm="1">
        <f t="array" ref="H969">_xlfn.LET(
  _xlpm.s, TRIM(F969),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69" t="str">
        <f>_xlfn.XLOOKUP(E969,Calendar!C:C,Calendar!B:B)</f>
        <v>Working Day</v>
      </c>
    </row>
    <row r="970" spans="1:9" x14ac:dyDescent="0.25">
      <c r="A970" t="s">
        <v>970</v>
      </c>
      <c r="B970" t="s">
        <v>1387</v>
      </c>
      <c r="C970" t="s">
        <v>1399</v>
      </c>
      <c r="D970" s="2">
        <v>46214.882164351853</v>
      </c>
      <c r="E970" s="2">
        <f t="shared" si="26"/>
        <v>46214</v>
      </c>
      <c r="F970" t="s">
        <v>1739</v>
      </c>
      <c r="G970">
        <f>_xlfn.XLOOKUP(A970,FTD!A:A,FTD!C:C)</f>
        <v>25000</v>
      </c>
      <c r="H970" cm="1">
        <f t="array" ref="H970">_xlfn.LET(
  _xlpm.s, TRIM(F970),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70" t="str">
        <f>_xlfn.XLOOKUP(E970,Calendar!C:C,Calendar!B:B)</f>
        <v>Saturday</v>
      </c>
    </row>
    <row r="971" spans="1:9" x14ac:dyDescent="0.25">
      <c r="A971" t="s">
        <v>971</v>
      </c>
      <c r="B971" t="s">
        <v>1387</v>
      </c>
      <c r="C971" t="s">
        <v>1388</v>
      </c>
      <c r="D971" s="2">
        <v>46211.520381944443</v>
      </c>
      <c r="E971" s="2">
        <f t="shared" si="26"/>
        <v>46211</v>
      </c>
      <c r="F971" t="s">
        <v>1743</v>
      </c>
      <c r="G971">
        <f>_xlfn.XLOOKUP(A971,FTD!A:A,FTD!C:C)</f>
        <v>1000</v>
      </c>
      <c r="H971" cm="1">
        <f t="array" ref="H971">_xlfn.LET(
  _xlpm.s, TRIM(F971),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1" t="str">
        <f>_xlfn.XLOOKUP(E971,Calendar!C:C,Calendar!B:B)</f>
        <v>Working Day</v>
      </c>
    </row>
    <row r="972" spans="1:9" x14ac:dyDescent="0.25">
      <c r="A972" t="s">
        <v>972</v>
      </c>
      <c r="B972" t="s">
        <v>1387</v>
      </c>
      <c r="C972" t="s">
        <v>1398</v>
      </c>
      <c r="D972" s="2">
        <v>46212.965520833328</v>
      </c>
      <c r="E972" s="2">
        <f t="shared" si="26"/>
        <v>46212</v>
      </c>
      <c r="F972" t="s">
        <v>1738</v>
      </c>
      <c r="G972">
        <f>_xlfn.XLOOKUP(A972,FTD!A:A,FTD!C:C)</f>
        <v>49000</v>
      </c>
      <c r="H972" cm="1">
        <f t="array" ref="H972">_xlfn.LET(
  _xlpm.s, TRIM(F972),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2" t="str">
        <f>_xlfn.XLOOKUP(E972,Calendar!C:C,Calendar!B:B)</f>
        <v>Working Day</v>
      </c>
    </row>
    <row r="973" spans="1:9" x14ac:dyDescent="0.25">
      <c r="A973" t="s">
        <v>973</v>
      </c>
      <c r="B973" t="s">
        <v>1387</v>
      </c>
      <c r="C973" t="s">
        <v>1408</v>
      </c>
      <c r="D973" s="2">
        <v>46226.477337962962</v>
      </c>
      <c r="E973" s="2">
        <f t="shared" si="26"/>
        <v>46226</v>
      </c>
      <c r="F973" t="s">
        <v>1739</v>
      </c>
      <c r="G973">
        <f>_xlfn.XLOOKUP(A973,FTD!A:A,FTD!C:C)</f>
        <v>1000</v>
      </c>
      <c r="H973" cm="1">
        <f t="array" ref="H973">_xlfn.LET(
  _xlpm.s, TRIM(F973),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73" t="str">
        <f>_xlfn.XLOOKUP(E973,Calendar!C:C,Calendar!B:B)</f>
        <v>Working Day</v>
      </c>
    </row>
    <row r="974" spans="1:9" x14ac:dyDescent="0.25">
      <c r="A974" t="s">
        <v>974</v>
      </c>
      <c r="B974" t="s">
        <v>1387</v>
      </c>
      <c r="C974" t="s">
        <v>1400</v>
      </c>
      <c r="D974" s="2">
        <v>46230.768657407403</v>
      </c>
      <c r="E974" s="2">
        <f t="shared" si="26"/>
        <v>46230</v>
      </c>
      <c r="F974" t="s">
        <v>1745</v>
      </c>
      <c r="G974">
        <f>_xlfn.XLOOKUP(A974,FTD!A:A,FTD!C:C)</f>
        <v>1001</v>
      </c>
      <c r="H974" cm="1">
        <f t="array" ref="H974">_xlfn.LET(
  _xlpm.s, TRIM(F974),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74" t="str">
        <f>_xlfn.XLOOKUP(E974,Calendar!C:C,Calendar!B:B)</f>
        <v>Working Day</v>
      </c>
    </row>
    <row r="975" spans="1:9" x14ac:dyDescent="0.25">
      <c r="A975" t="s">
        <v>975</v>
      </c>
      <c r="B975" t="s">
        <v>1387</v>
      </c>
      <c r="C975" t="s">
        <v>1433</v>
      </c>
      <c r="D975" s="2">
        <v>46224.553240740737</v>
      </c>
      <c r="E975" s="2">
        <f t="shared" si="26"/>
        <v>46224</v>
      </c>
      <c r="F975" t="s">
        <v>1738</v>
      </c>
      <c r="G975">
        <f>_xlfn.XLOOKUP(A975,FTD!A:A,FTD!C:C)</f>
        <v>11000</v>
      </c>
      <c r="H975" cm="1">
        <f t="array" ref="H975">_xlfn.LET(
  _xlpm.s, TRIM(F975),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5" t="str">
        <f>_xlfn.XLOOKUP(E975,Calendar!C:C,Calendar!B:B)</f>
        <v>Working Day</v>
      </c>
    </row>
    <row r="976" spans="1:9" x14ac:dyDescent="0.25">
      <c r="A976" t="s">
        <v>976</v>
      </c>
      <c r="B976" t="s">
        <v>1387</v>
      </c>
      <c r="C976" t="s">
        <v>1391</v>
      </c>
      <c r="D976" s="2">
        <v>46227.576562499999</v>
      </c>
      <c r="E976" s="2">
        <f t="shared" si="26"/>
        <v>46227</v>
      </c>
      <c r="F976" t="s">
        <v>1739</v>
      </c>
      <c r="G976">
        <f>_xlfn.XLOOKUP(A976,FTD!A:A,FTD!C:C)</f>
        <v>2000</v>
      </c>
      <c r="H976" cm="1">
        <f t="array" ref="H976">_xlfn.LET(
  _xlpm.s, TRIM(F976),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76" t="str">
        <f>_xlfn.XLOOKUP(E976,Calendar!C:C,Calendar!B:B)</f>
        <v>Working Day</v>
      </c>
    </row>
    <row r="977" spans="1:9" x14ac:dyDescent="0.25">
      <c r="A977" t="s">
        <v>977</v>
      </c>
      <c r="B977" t="s">
        <v>1387</v>
      </c>
      <c r="C977" t="s">
        <v>1408</v>
      </c>
      <c r="D977" s="2">
        <v>46230.733101851853</v>
      </c>
      <c r="E977" s="2">
        <f t="shared" si="26"/>
        <v>46230</v>
      </c>
      <c r="F977" t="s">
        <v>1738</v>
      </c>
      <c r="G977">
        <f>_xlfn.XLOOKUP(A977,FTD!A:A,FTD!C:C)</f>
        <v>2000</v>
      </c>
      <c r="H977" cm="1">
        <f t="array" ref="H977">_xlfn.LET(
  _xlpm.s, TRIM(F977),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7" t="str">
        <f>_xlfn.XLOOKUP(E977,Calendar!C:C,Calendar!B:B)</f>
        <v>Working Day</v>
      </c>
    </row>
    <row r="978" spans="1:9" x14ac:dyDescent="0.25">
      <c r="A978" t="s">
        <v>978</v>
      </c>
      <c r="B978" t="s">
        <v>1387</v>
      </c>
      <c r="C978" t="s">
        <v>1399</v>
      </c>
      <c r="D978" s="2">
        <v>46204.515173611107</v>
      </c>
      <c r="E978" s="2">
        <f t="shared" si="26"/>
        <v>46204</v>
      </c>
      <c r="F978" t="s">
        <v>1738</v>
      </c>
      <c r="G978">
        <f>_xlfn.XLOOKUP(A978,FTD!A:A,FTD!C:C)</f>
        <v>5000</v>
      </c>
      <c r="H978" cm="1">
        <f t="array" ref="H978">_xlfn.LET(
  _xlpm.s, TRIM(F978),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8" t="str">
        <f>_xlfn.XLOOKUP(E978,Calendar!C:C,Calendar!B:B)</f>
        <v>Working Day</v>
      </c>
    </row>
    <row r="979" spans="1:9" x14ac:dyDescent="0.25">
      <c r="A979" t="s">
        <v>979</v>
      </c>
      <c r="B979" t="s">
        <v>1387</v>
      </c>
      <c r="C979" t="s">
        <v>1405</v>
      </c>
      <c r="D979" s="2">
        <v>46218.836585648147</v>
      </c>
      <c r="E979" s="2">
        <f t="shared" si="26"/>
        <v>46218</v>
      </c>
      <c r="F979" t="s">
        <v>1738</v>
      </c>
      <c r="G979">
        <f>_xlfn.XLOOKUP(A979,FTD!A:A,FTD!C:C)</f>
        <v>1000</v>
      </c>
      <c r="H979" cm="1">
        <f t="array" ref="H979">_xlfn.LET(
  _xlpm.s, TRIM(F979),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79" t="str">
        <f>_xlfn.XLOOKUP(E979,Calendar!C:C,Calendar!B:B)</f>
        <v>Working Day</v>
      </c>
    </row>
    <row r="980" spans="1:9" x14ac:dyDescent="0.25">
      <c r="A980" t="s">
        <v>980</v>
      </c>
      <c r="B980" t="s">
        <v>1387</v>
      </c>
      <c r="C980" t="s">
        <v>1412</v>
      </c>
      <c r="D980" s="2">
        <v>46224.68881944444</v>
      </c>
      <c r="E980" s="2">
        <f t="shared" si="26"/>
        <v>46224</v>
      </c>
      <c r="F980" t="s">
        <v>1738</v>
      </c>
      <c r="G980">
        <f>_xlfn.XLOOKUP(A980,FTD!A:A,FTD!C:C)</f>
        <v>10000</v>
      </c>
      <c r="H980" cm="1">
        <f t="array" ref="H980">_xlfn.LET(
  _xlpm.s, TRIM(F980),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0" t="str">
        <f>_xlfn.XLOOKUP(E980,Calendar!C:C,Calendar!B:B)</f>
        <v>Working Day</v>
      </c>
    </row>
    <row r="981" spans="1:9" x14ac:dyDescent="0.25">
      <c r="A981" t="s">
        <v>981</v>
      </c>
      <c r="B981" t="s">
        <v>1387</v>
      </c>
      <c r="C981" t="s">
        <v>1407</v>
      </c>
      <c r="D981" s="2">
        <v>46232.642777777779</v>
      </c>
      <c r="E981" s="2">
        <f t="shared" si="26"/>
        <v>46232</v>
      </c>
      <c r="F981" t="s">
        <v>1743</v>
      </c>
      <c r="G981">
        <f>_xlfn.XLOOKUP(A981,FTD!A:A,FTD!C:C)</f>
        <v>1000</v>
      </c>
      <c r="H981" cm="1">
        <f t="array" ref="H981">_xlfn.LET(
  _xlpm.s, TRIM(F981),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1" t="str">
        <f>_xlfn.XLOOKUP(E981,Calendar!C:C,Calendar!B:B)</f>
        <v>Working Day</v>
      </c>
    </row>
    <row r="982" spans="1:9" x14ac:dyDescent="0.25">
      <c r="A982" t="s">
        <v>982</v>
      </c>
      <c r="B982" t="s">
        <v>1387</v>
      </c>
      <c r="C982" t="s">
        <v>1429</v>
      </c>
      <c r="D982" s="2">
        <v>46226.558217592588</v>
      </c>
      <c r="E982" s="2">
        <f t="shared" si="26"/>
        <v>46226</v>
      </c>
      <c r="F982" t="s">
        <v>1739</v>
      </c>
      <c r="G982">
        <f>_xlfn.XLOOKUP(A982,FTD!A:A,FTD!C:C)</f>
        <v>3000</v>
      </c>
      <c r="H982" cm="1">
        <f t="array" ref="H982">_xlfn.LET(
  _xlpm.s, TRIM(F982),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82" t="str">
        <f>_xlfn.XLOOKUP(E982,Calendar!C:C,Calendar!B:B)</f>
        <v>Working Day</v>
      </c>
    </row>
    <row r="983" spans="1:9" x14ac:dyDescent="0.25">
      <c r="A983" t="s">
        <v>983</v>
      </c>
      <c r="B983" t="s">
        <v>1387</v>
      </c>
      <c r="C983" t="s">
        <v>1398</v>
      </c>
      <c r="D983" s="2">
        <v>46204.836759259255</v>
      </c>
      <c r="E983" s="2">
        <f t="shared" si="26"/>
        <v>46204</v>
      </c>
      <c r="F983" t="s">
        <v>1741</v>
      </c>
      <c r="G983">
        <f>_xlfn.XLOOKUP(A983,FTD!A:A,FTD!C:C)</f>
        <v>1000</v>
      </c>
      <c r="H983" cm="1">
        <f t="array" ref="H983">_xlfn.LET(
  _xlpm.s, TRIM(F983),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3" t="str">
        <f>_xlfn.XLOOKUP(E983,Calendar!C:C,Calendar!B:B)</f>
        <v>Working Day</v>
      </c>
    </row>
    <row r="984" spans="1:9" x14ac:dyDescent="0.25">
      <c r="A984" t="s">
        <v>984</v>
      </c>
      <c r="B984" t="s">
        <v>1387</v>
      </c>
      <c r="C984" t="s">
        <v>1400</v>
      </c>
      <c r="D984" s="2">
        <v>46227.532372685186</v>
      </c>
      <c r="E984" s="2">
        <f t="shared" si="26"/>
        <v>46227</v>
      </c>
      <c r="F984" t="s">
        <v>1745</v>
      </c>
      <c r="G984">
        <f>_xlfn.XLOOKUP(A984,FTD!A:A,FTD!C:C)</f>
        <v>1000</v>
      </c>
      <c r="H984" cm="1">
        <f t="array" ref="H984">_xlfn.LET(
  _xlpm.s, TRIM(F984),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84" t="str">
        <f>_xlfn.XLOOKUP(E984,Calendar!C:C,Calendar!B:B)</f>
        <v>Working Day</v>
      </c>
    </row>
    <row r="985" spans="1:9" x14ac:dyDescent="0.25">
      <c r="A985" t="s">
        <v>985</v>
      </c>
      <c r="B985" t="s">
        <v>1387</v>
      </c>
      <c r="C985" t="s">
        <v>1397</v>
      </c>
      <c r="D985" s="2">
        <v>46206.54688657407</v>
      </c>
      <c r="E985" s="2">
        <f t="shared" si="26"/>
        <v>46206</v>
      </c>
      <c r="F985" t="s">
        <v>1743</v>
      </c>
      <c r="G985">
        <f>_xlfn.XLOOKUP(A985,FTD!A:A,FTD!C:C)</f>
        <v>1000</v>
      </c>
      <c r="H985" cm="1">
        <f t="array" ref="H985">_xlfn.LET(
  _xlpm.s, TRIM(F985),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5" t="str">
        <f>_xlfn.XLOOKUP(E985,Calendar!C:C,Calendar!B:B)</f>
        <v>Working Day</v>
      </c>
    </row>
    <row r="986" spans="1:9" x14ac:dyDescent="0.25">
      <c r="A986" t="s">
        <v>986</v>
      </c>
      <c r="B986" t="s">
        <v>1387</v>
      </c>
      <c r="C986" t="s">
        <v>1402</v>
      </c>
      <c r="D986" s="2">
        <v>46219.447372685187</v>
      </c>
      <c r="E986" s="2">
        <f t="shared" si="26"/>
        <v>46219</v>
      </c>
      <c r="F986" t="s">
        <v>1738</v>
      </c>
      <c r="G986">
        <f>_xlfn.XLOOKUP(A986,FTD!A:A,FTD!C:C)</f>
        <v>1000</v>
      </c>
      <c r="H986" cm="1">
        <f t="array" ref="H986">_xlfn.LET(
  _xlpm.s, TRIM(F986),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6" t="str">
        <f>_xlfn.XLOOKUP(E986,Calendar!C:C,Calendar!B:B)</f>
        <v>Working Day</v>
      </c>
    </row>
    <row r="987" spans="1:9" x14ac:dyDescent="0.25">
      <c r="A987" t="s">
        <v>987</v>
      </c>
      <c r="B987" t="s">
        <v>1387</v>
      </c>
      <c r="C987" t="s">
        <v>1398</v>
      </c>
      <c r="D987" s="2">
        <v>46224.547766203701</v>
      </c>
      <c r="E987" s="2">
        <f t="shared" si="26"/>
        <v>46224</v>
      </c>
      <c r="F987" t="s">
        <v>1738</v>
      </c>
      <c r="G987">
        <f>_xlfn.XLOOKUP(A987,FTD!A:A,FTD!C:C)</f>
        <v>35000</v>
      </c>
      <c r="H987" cm="1">
        <f t="array" ref="H987">_xlfn.LET(
  _xlpm.s, TRIM(F987),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7" t="str">
        <f>_xlfn.XLOOKUP(E987,Calendar!C:C,Calendar!B:B)</f>
        <v>Working Day</v>
      </c>
    </row>
    <row r="988" spans="1:9" x14ac:dyDescent="0.25">
      <c r="A988" t="s">
        <v>988</v>
      </c>
      <c r="B988" t="s">
        <v>1387</v>
      </c>
      <c r="C988" t="s">
        <v>1406</v>
      </c>
      <c r="D988" s="2">
        <v>46225.559016203704</v>
      </c>
      <c r="E988" s="2">
        <f t="shared" si="26"/>
        <v>46225</v>
      </c>
      <c r="F988" t="s">
        <v>1738</v>
      </c>
      <c r="G988">
        <f>_xlfn.XLOOKUP(A988,FTD!A:A,FTD!C:C)</f>
        <v>6000</v>
      </c>
      <c r="H988" cm="1">
        <f t="array" ref="H988">_xlfn.LET(
  _xlpm.s, TRIM(F988),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88" t="str">
        <f>_xlfn.XLOOKUP(E988,Calendar!C:C,Calendar!B:B)</f>
        <v>Working Day</v>
      </c>
    </row>
    <row r="989" spans="1:9" x14ac:dyDescent="0.25">
      <c r="A989" t="s">
        <v>989</v>
      </c>
      <c r="B989" t="s">
        <v>1387</v>
      </c>
      <c r="C989" t="s">
        <v>1417</v>
      </c>
      <c r="D989" s="2">
        <v>46218.713541666664</v>
      </c>
      <c r="E989" s="2">
        <f t="shared" si="26"/>
        <v>46218</v>
      </c>
      <c r="F989" t="s">
        <v>1745</v>
      </c>
      <c r="G989">
        <f>_xlfn.XLOOKUP(A989,FTD!A:A,FTD!C:C)</f>
        <v>1000</v>
      </c>
      <c r="H989" cm="1">
        <f t="array" ref="H989">_xlfn.LET(
  _xlpm.s, TRIM(F989),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989" t="str">
        <f>_xlfn.XLOOKUP(E989,Calendar!C:C,Calendar!B:B)</f>
        <v>Working Day</v>
      </c>
    </row>
    <row r="990" spans="1:9" x14ac:dyDescent="0.25">
      <c r="A990" t="s">
        <v>990</v>
      </c>
      <c r="B990" t="s">
        <v>1387</v>
      </c>
      <c r="C990" t="s">
        <v>1415</v>
      </c>
      <c r="D990" s="2">
        <v>46217.797638888886</v>
      </c>
      <c r="E990" s="2">
        <f t="shared" si="26"/>
        <v>46217</v>
      </c>
      <c r="F990" t="s">
        <v>1743</v>
      </c>
      <c r="G990">
        <f>_xlfn.XLOOKUP(A990,FTD!A:A,FTD!C:C)</f>
        <v>7000</v>
      </c>
      <c r="H990" cm="1">
        <f t="array" ref="H990">_xlfn.LET(
  _xlpm.s, TRIM(F990),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0" t="str">
        <f>_xlfn.XLOOKUP(E990,Calendar!C:C,Calendar!B:B)</f>
        <v>Working Day</v>
      </c>
    </row>
    <row r="991" spans="1:9" x14ac:dyDescent="0.25">
      <c r="A991" t="s">
        <v>991</v>
      </c>
      <c r="B991" t="s">
        <v>1387</v>
      </c>
      <c r="C991" t="s">
        <v>1406</v>
      </c>
      <c r="D991" s="2">
        <v>46216.76112268518</v>
      </c>
      <c r="E991" s="2">
        <f t="shared" si="26"/>
        <v>46216</v>
      </c>
      <c r="F991" t="s">
        <v>1738</v>
      </c>
      <c r="G991">
        <f>_xlfn.XLOOKUP(A991,FTD!A:A,FTD!C:C)</f>
        <v>25000</v>
      </c>
      <c r="H991" cm="1">
        <f t="array" ref="H991">_xlfn.LET(
  _xlpm.s, TRIM(F991),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1" t="str">
        <f>_xlfn.XLOOKUP(E991,Calendar!C:C,Calendar!B:B)</f>
        <v>Working Day</v>
      </c>
    </row>
    <row r="992" spans="1:9" x14ac:dyDescent="0.25">
      <c r="A992" t="s">
        <v>992</v>
      </c>
      <c r="B992" t="s">
        <v>1387</v>
      </c>
      <c r="C992" t="s">
        <v>1408</v>
      </c>
      <c r="D992" s="2">
        <v>46226.820405092592</v>
      </c>
      <c r="E992" s="2">
        <f t="shared" si="26"/>
        <v>46226</v>
      </c>
      <c r="F992" t="s">
        <v>1739</v>
      </c>
      <c r="G992">
        <f>_xlfn.XLOOKUP(A992,FTD!A:A,FTD!C:C)</f>
        <v>1000</v>
      </c>
      <c r="H992" cm="1">
        <f t="array" ref="H992">_xlfn.LET(
  _xlpm.s, TRIM(F992),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92" t="str">
        <f>_xlfn.XLOOKUP(E992,Calendar!C:C,Calendar!B:B)</f>
        <v>Working Day</v>
      </c>
    </row>
    <row r="993" spans="1:9" x14ac:dyDescent="0.25">
      <c r="A993" t="s">
        <v>993</v>
      </c>
      <c r="B993" t="s">
        <v>1387</v>
      </c>
      <c r="C993" t="s">
        <v>1408</v>
      </c>
      <c r="D993" s="2">
        <v>46234.584409722222</v>
      </c>
      <c r="E993" s="2">
        <f t="shared" si="26"/>
        <v>46234</v>
      </c>
      <c r="F993" t="s">
        <v>1738</v>
      </c>
      <c r="G993">
        <f>_xlfn.XLOOKUP(A993,FTD!A:A,FTD!C:C)</f>
        <v>2000</v>
      </c>
      <c r="H993" cm="1">
        <f t="array" ref="H993">_xlfn.LET(
  _xlpm.s, TRIM(F993),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3" t="str">
        <f>_xlfn.XLOOKUP(E993,Calendar!C:C,Calendar!B:B)</f>
        <v>Working Day</v>
      </c>
    </row>
    <row r="994" spans="1:9" x14ac:dyDescent="0.25">
      <c r="A994" t="s">
        <v>994</v>
      </c>
      <c r="B994" t="s">
        <v>1387</v>
      </c>
      <c r="C994" t="s">
        <v>1406</v>
      </c>
      <c r="D994" s="2">
        <v>46230.457465277774</v>
      </c>
      <c r="E994" s="2">
        <f t="shared" si="26"/>
        <v>46230</v>
      </c>
      <c r="F994" t="s">
        <v>1738</v>
      </c>
      <c r="G994">
        <f>_xlfn.XLOOKUP(A994,FTD!A:A,FTD!C:C)</f>
        <v>1000</v>
      </c>
      <c r="H994" cm="1">
        <f t="array" ref="H994">_xlfn.LET(
  _xlpm.s, TRIM(F994),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4" t="str">
        <f>_xlfn.XLOOKUP(E994,Calendar!C:C,Calendar!B:B)</f>
        <v>Working Day</v>
      </c>
    </row>
    <row r="995" spans="1:9" x14ac:dyDescent="0.25">
      <c r="A995" t="s">
        <v>995</v>
      </c>
      <c r="B995" t="s">
        <v>1387</v>
      </c>
      <c r="C995" t="s">
        <v>1404</v>
      </c>
      <c r="D995" s="2">
        <v>46217.608194444445</v>
      </c>
      <c r="E995" s="2">
        <f t="shared" si="26"/>
        <v>46217</v>
      </c>
      <c r="F995" t="s">
        <v>1738</v>
      </c>
      <c r="G995">
        <f>_xlfn.XLOOKUP(A995,FTD!A:A,FTD!C:C)</f>
        <v>1000</v>
      </c>
      <c r="H995" cm="1">
        <f t="array" ref="H995">_xlfn.LET(
  _xlpm.s, TRIM(F995),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5" t="str">
        <f>_xlfn.XLOOKUP(E995,Calendar!C:C,Calendar!B:B)</f>
        <v>Working Day</v>
      </c>
    </row>
    <row r="996" spans="1:9" x14ac:dyDescent="0.25">
      <c r="A996" t="s">
        <v>996</v>
      </c>
      <c r="B996" t="s">
        <v>1387</v>
      </c>
      <c r="C996" t="s">
        <v>1399</v>
      </c>
      <c r="D996" s="2">
        <v>46220.517662037033</v>
      </c>
      <c r="E996" s="2">
        <f t="shared" si="26"/>
        <v>46220</v>
      </c>
      <c r="F996" t="s">
        <v>1738</v>
      </c>
      <c r="G996">
        <f>_xlfn.XLOOKUP(A996,FTD!A:A,FTD!C:C)</f>
        <v>1000</v>
      </c>
      <c r="H996" cm="1">
        <f t="array" ref="H996">_xlfn.LET(
  _xlpm.s, TRIM(F996),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6" t="str">
        <f>_xlfn.XLOOKUP(E996,Calendar!C:C,Calendar!B:B)</f>
        <v>Working Day</v>
      </c>
    </row>
    <row r="997" spans="1:9" x14ac:dyDescent="0.25">
      <c r="A997" t="s">
        <v>997</v>
      </c>
      <c r="B997" t="s">
        <v>1387</v>
      </c>
      <c r="C997" t="s">
        <v>1407</v>
      </c>
      <c r="D997" s="2">
        <v>46223.81449074074</v>
      </c>
      <c r="E997" s="2">
        <f t="shared" si="26"/>
        <v>46223</v>
      </c>
      <c r="F997" t="s">
        <v>1739</v>
      </c>
      <c r="G997">
        <f>_xlfn.XLOOKUP(A997,FTD!A:A,FTD!C:C)</f>
        <v>7000</v>
      </c>
      <c r="H997" cm="1">
        <f t="array" ref="H997">_xlfn.LET(
  _xlpm.s, TRIM(F997),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97" t="str">
        <f>_xlfn.XLOOKUP(E997,Calendar!C:C,Calendar!B:B)</f>
        <v>Working Day</v>
      </c>
    </row>
    <row r="998" spans="1:9" x14ac:dyDescent="0.25">
      <c r="A998" t="s">
        <v>998</v>
      </c>
      <c r="B998" t="s">
        <v>1387</v>
      </c>
      <c r="C998" t="s">
        <v>1408</v>
      </c>
      <c r="D998" s="2">
        <v>46210.561261574076</v>
      </c>
      <c r="E998" s="2">
        <f t="shared" si="26"/>
        <v>46210</v>
      </c>
      <c r="F998" t="s">
        <v>1739</v>
      </c>
      <c r="G998">
        <f>_xlfn.XLOOKUP(A998,FTD!A:A,FTD!C:C)</f>
        <v>1000</v>
      </c>
      <c r="H998" cm="1">
        <f t="array" ref="H998">_xlfn.LET(
  _xlpm.s, TRIM(F998),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998" t="str">
        <f>_xlfn.XLOOKUP(E998,Calendar!C:C,Calendar!B:B)</f>
        <v>Working Day</v>
      </c>
    </row>
    <row r="999" spans="1:9" x14ac:dyDescent="0.25">
      <c r="A999" t="s">
        <v>999</v>
      </c>
      <c r="B999" t="s">
        <v>1387</v>
      </c>
      <c r="C999" t="s">
        <v>1389</v>
      </c>
      <c r="D999" s="2">
        <v>46208.502453703702</v>
      </c>
      <c r="E999" s="2">
        <f t="shared" si="26"/>
        <v>46208</v>
      </c>
      <c r="F999" t="s">
        <v>1743</v>
      </c>
      <c r="G999">
        <f>_xlfn.XLOOKUP(A999,FTD!A:A,FTD!C:C)</f>
        <v>1000</v>
      </c>
      <c r="H999" cm="1">
        <f t="array" ref="H999">_xlfn.LET(
  _xlpm.s, TRIM(F999),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999" t="str">
        <f>_xlfn.XLOOKUP(E999,Calendar!C:C,Calendar!B:B)</f>
        <v>Sunday</v>
      </c>
    </row>
    <row r="1000" spans="1:9" x14ac:dyDescent="0.25">
      <c r="A1000" t="s">
        <v>1000</v>
      </c>
      <c r="B1000" t="s">
        <v>1387</v>
      </c>
      <c r="C1000" t="s">
        <v>1403</v>
      </c>
      <c r="D1000" s="2">
        <v>46224.238680555551</v>
      </c>
      <c r="E1000" s="2">
        <f t="shared" si="26"/>
        <v>46224</v>
      </c>
      <c r="F1000" t="s">
        <v>1745</v>
      </c>
      <c r="G1000">
        <f>_xlfn.XLOOKUP(A1000,FTD!A:A,FTD!C:C)</f>
        <v>1000</v>
      </c>
      <c r="H1000" cm="1">
        <f t="array" ref="H1000">_xlfn.LET(
  _xlpm.s, TRIM(F1000),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00" t="str">
        <f>_xlfn.XLOOKUP(E1000,Calendar!C:C,Calendar!B:B)</f>
        <v>Working Day</v>
      </c>
    </row>
    <row r="1001" spans="1:9" x14ac:dyDescent="0.25">
      <c r="A1001" t="s">
        <v>1001</v>
      </c>
      <c r="B1001" t="s">
        <v>1384</v>
      </c>
      <c r="C1001" t="s">
        <v>1403</v>
      </c>
      <c r="D1001" s="2">
        <v>46226.532650462963</v>
      </c>
      <c r="E1001" s="2">
        <f t="shared" si="26"/>
        <v>46226</v>
      </c>
      <c r="F1001" t="s">
        <v>1706</v>
      </c>
      <c r="G1001">
        <f>_xlfn.XLOOKUP(A1001,FTD!A:A,FTD!C:C)</f>
        <v>3800</v>
      </c>
      <c r="H1001" cm="1">
        <f t="array" ref="H1001">_xlfn.LET(
  _xlpm.s, TRIM(F1001),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01" t="str">
        <f>_xlfn.XLOOKUP(E1001,Calendar!C:C,Calendar!B:B)</f>
        <v>Working Day</v>
      </c>
    </row>
    <row r="1002" spans="1:9" x14ac:dyDescent="0.25">
      <c r="A1002" t="s">
        <v>1002</v>
      </c>
      <c r="B1002" t="s">
        <v>1384</v>
      </c>
      <c r="C1002" t="s">
        <v>1428</v>
      </c>
      <c r="D1002" s="2">
        <v>46226.407384259255</v>
      </c>
      <c r="E1002" s="2">
        <f t="shared" si="26"/>
        <v>46226</v>
      </c>
      <c r="F1002" t="s">
        <v>1758</v>
      </c>
      <c r="G1002">
        <f>_xlfn.XLOOKUP(A1002,FTD!A:A,FTD!C:C)</f>
        <v>20000</v>
      </c>
      <c r="H1002" cm="1">
        <f t="array" ref="H1002">_xlfn.LET(
  _xlpm.s, TRIM(F1002),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02" t="str">
        <f>_xlfn.XLOOKUP(E1002,Calendar!C:C,Calendar!B:B)</f>
        <v>Working Day</v>
      </c>
    </row>
    <row r="1003" spans="1:9" x14ac:dyDescent="0.25">
      <c r="A1003" t="s">
        <v>1003</v>
      </c>
      <c r="B1003" t="s">
        <v>1384</v>
      </c>
      <c r="C1003" t="s">
        <v>1391</v>
      </c>
      <c r="D1003" s="2">
        <v>46223.429398148146</v>
      </c>
      <c r="E1003" s="2">
        <f t="shared" si="26"/>
        <v>46223</v>
      </c>
      <c r="F1003" t="s">
        <v>1764</v>
      </c>
      <c r="G1003">
        <f>_xlfn.XLOOKUP(A1003,FTD!A:A,FTD!C:C)</f>
        <v>2000</v>
      </c>
      <c r="H1003" cm="1">
        <f t="array" ref="H1003">_xlfn.LET(
  _xlpm.s, TRIM(F1003),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03" t="str">
        <f>_xlfn.XLOOKUP(E1003,Calendar!C:C,Calendar!B:B)</f>
        <v>Working Day</v>
      </c>
    </row>
    <row r="1004" spans="1:9" x14ac:dyDescent="0.25">
      <c r="A1004" t="s">
        <v>1004</v>
      </c>
      <c r="B1004" t="s">
        <v>1384</v>
      </c>
      <c r="C1004" t="s">
        <v>1394</v>
      </c>
      <c r="D1004" s="2">
        <v>46204.402638888889</v>
      </c>
      <c r="E1004" s="2">
        <f t="shared" si="26"/>
        <v>46204</v>
      </c>
      <c r="F1004" t="s">
        <v>1742</v>
      </c>
      <c r="G1004">
        <f>_xlfn.XLOOKUP(A1004,FTD!A:A,FTD!C:C)</f>
        <v>10000</v>
      </c>
      <c r="H1004" cm="1">
        <f t="array" ref="H1004">_xlfn.LET(
  _xlpm.s, TRIM(F1004),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04" t="str">
        <f>_xlfn.XLOOKUP(E1004,Calendar!C:C,Calendar!B:B)</f>
        <v>Working Day</v>
      </c>
    </row>
    <row r="1005" spans="1:9" x14ac:dyDescent="0.25">
      <c r="A1005" t="s">
        <v>1005</v>
      </c>
      <c r="B1005" t="s">
        <v>1384</v>
      </c>
      <c r="C1005" t="s">
        <v>1424</v>
      </c>
      <c r="D1005" s="2">
        <v>46219.823229166665</v>
      </c>
      <c r="E1005" s="2">
        <f t="shared" si="26"/>
        <v>46219</v>
      </c>
      <c r="F1005" t="s">
        <v>1738</v>
      </c>
      <c r="G1005">
        <f>_xlfn.XLOOKUP(A1005,FTD!A:A,FTD!C:C)</f>
        <v>1001</v>
      </c>
      <c r="H1005" cm="1">
        <f t="array" ref="H1005">_xlfn.LET(
  _xlpm.s, TRIM(F1005),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05" t="str">
        <f>_xlfn.XLOOKUP(E1005,Calendar!C:C,Calendar!B:B)</f>
        <v>Working Day</v>
      </c>
    </row>
    <row r="1006" spans="1:9" x14ac:dyDescent="0.25">
      <c r="A1006" t="s">
        <v>1006</v>
      </c>
      <c r="B1006" t="s">
        <v>1384</v>
      </c>
      <c r="C1006" t="s">
        <v>1393</v>
      </c>
      <c r="D1006" s="2">
        <v>46205.814745370371</v>
      </c>
      <c r="E1006" s="2">
        <f t="shared" si="26"/>
        <v>46205</v>
      </c>
      <c r="F1006" t="s">
        <v>1738</v>
      </c>
      <c r="G1006">
        <f>_xlfn.XLOOKUP(A1006,FTD!A:A,FTD!C:C)</f>
        <v>1000</v>
      </c>
      <c r="H1006" cm="1">
        <f t="array" ref="H1006">_xlfn.LET(
  _xlpm.s, TRIM(F1006),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06" t="str">
        <f>_xlfn.XLOOKUP(E1006,Calendar!C:C,Calendar!B:B)</f>
        <v>Working Day</v>
      </c>
    </row>
    <row r="1007" spans="1:9" x14ac:dyDescent="0.25">
      <c r="A1007" t="s">
        <v>1007</v>
      </c>
      <c r="B1007" t="s">
        <v>1384</v>
      </c>
      <c r="C1007" t="s">
        <v>1426</v>
      </c>
      <c r="D1007" s="2">
        <v>46220.696018518516</v>
      </c>
      <c r="E1007" s="2">
        <f t="shared" si="26"/>
        <v>46220</v>
      </c>
      <c r="F1007" t="s">
        <v>1740</v>
      </c>
      <c r="G1007">
        <f>_xlfn.XLOOKUP(A1007,FTD!A:A,FTD!C:C)</f>
        <v>1356</v>
      </c>
      <c r="H1007" cm="1">
        <f t="array" ref="H1007">_xlfn.LET(
  _xlpm.s, TRIM(F1007),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07" t="str">
        <f>_xlfn.XLOOKUP(E1007,Calendar!C:C,Calendar!B:B)</f>
        <v>Working Day</v>
      </c>
    </row>
    <row r="1008" spans="1:9" x14ac:dyDescent="0.25">
      <c r="A1008" t="s">
        <v>1008</v>
      </c>
      <c r="B1008" t="s">
        <v>1387</v>
      </c>
      <c r="C1008" t="s">
        <v>1415</v>
      </c>
      <c r="D1008" s="2">
        <v>46218.416412037033</v>
      </c>
      <c r="E1008" s="2">
        <f t="shared" si="26"/>
        <v>46218</v>
      </c>
      <c r="F1008" t="s">
        <v>1738</v>
      </c>
      <c r="G1008">
        <f>_xlfn.XLOOKUP(A1008,FTD!A:A,FTD!C:C)</f>
        <v>3000</v>
      </c>
      <c r="H1008" cm="1">
        <f t="array" ref="H1008">_xlfn.LET(
  _xlpm.s, TRIM(F1008),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08" t="str">
        <f>_xlfn.XLOOKUP(E1008,Calendar!C:C,Calendar!B:B)</f>
        <v>Working Day</v>
      </c>
    </row>
    <row r="1009" spans="1:9" x14ac:dyDescent="0.25">
      <c r="A1009" t="s">
        <v>1009</v>
      </c>
      <c r="B1009" t="s">
        <v>1387</v>
      </c>
      <c r="C1009" t="s">
        <v>1406</v>
      </c>
      <c r="D1009" s="2">
        <v>46205.438680555555</v>
      </c>
      <c r="E1009" s="2">
        <f t="shared" si="26"/>
        <v>46205</v>
      </c>
      <c r="F1009" t="s">
        <v>1738</v>
      </c>
      <c r="G1009">
        <f>_xlfn.XLOOKUP(A1009,FTD!A:A,FTD!C:C)</f>
        <v>1000</v>
      </c>
      <c r="H1009" cm="1">
        <f t="array" ref="H1009">_xlfn.LET(
  _xlpm.s, TRIM(F1009),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09" t="str">
        <f>_xlfn.XLOOKUP(E1009,Calendar!C:C,Calendar!B:B)</f>
        <v>Working Day</v>
      </c>
    </row>
    <row r="1010" spans="1:9" x14ac:dyDescent="0.25">
      <c r="A1010" t="s">
        <v>1010</v>
      </c>
      <c r="B1010" t="s">
        <v>1387</v>
      </c>
      <c r="C1010" t="s">
        <v>1418</v>
      </c>
      <c r="D1010" s="2">
        <v>46230.400243055556</v>
      </c>
      <c r="E1010" s="2">
        <f t="shared" si="26"/>
        <v>46230</v>
      </c>
      <c r="F1010" t="s">
        <v>1741</v>
      </c>
      <c r="G1010">
        <f>_xlfn.XLOOKUP(A1010,FTD!A:A,FTD!C:C)</f>
        <v>2000</v>
      </c>
      <c r="H1010" cm="1">
        <f t="array" ref="H1010">_xlfn.LET(
  _xlpm.s, TRIM(F1010),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0" t="str">
        <f>_xlfn.XLOOKUP(E1010,Calendar!C:C,Calendar!B:B)</f>
        <v>Working Day</v>
      </c>
    </row>
    <row r="1011" spans="1:9" x14ac:dyDescent="0.25">
      <c r="A1011" t="s">
        <v>1011</v>
      </c>
      <c r="B1011" t="s">
        <v>1387</v>
      </c>
      <c r="C1011" t="s">
        <v>1415</v>
      </c>
      <c r="D1011" s="2">
        <v>46224.899409722224</v>
      </c>
      <c r="E1011" s="2">
        <f t="shared" si="26"/>
        <v>46224</v>
      </c>
      <c r="F1011" t="s">
        <v>1740</v>
      </c>
      <c r="G1011">
        <f>_xlfn.XLOOKUP(A1011,FTD!A:A,FTD!C:C)</f>
        <v>1000</v>
      </c>
      <c r="H1011" cm="1">
        <f t="array" ref="H1011">_xlfn.LET(
  _xlpm.s, TRIM(F1011),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11" t="str">
        <f>_xlfn.XLOOKUP(E1011,Calendar!C:C,Calendar!B:B)</f>
        <v>Working Day</v>
      </c>
    </row>
    <row r="1012" spans="1:9" x14ac:dyDescent="0.25">
      <c r="A1012" t="s">
        <v>1012</v>
      </c>
      <c r="B1012" t="s">
        <v>1387</v>
      </c>
      <c r="C1012" t="s">
        <v>1406</v>
      </c>
      <c r="D1012" s="2">
        <v>46216.891562500001</v>
      </c>
      <c r="E1012" s="2">
        <f t="shared" si="26"/>
        <v>46216</v>
      </c>
      <c r="F1012" t="s">
        <v>1738</v>
      </c>
      <c r="G1012">
        <f>_xlfn.XLOOKUP(A1012,FTD!A:A,FTD!C:C)</f>
        <v>1000</v>
      </c>
      <c r="H1012" cm="1">
        <f t="array" ref="H1012">_xlfn.LET(
  _xlpm.s, TRIM(F1012),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2" t="str">
        <f>_xlfn.XLOOKUP(E1012,Calendar!C:C,Calendar!B:B)</f>
        <v>Working Day</v>
      </c>
    </row>
    <row r="1013" spans="1:9" x14ac:dyDescent="0.25">
      <c r="A1013" t="s">
        <v>1013</v>
      </c>
      <c r="B1013" t="s">
        <v>1387</v>
      </c>
      <c r="C1013" t="s">
        <v>1406</v>
      </c>
      <c r="D1013" s="2">
        <v>46211.851354166662</v>
      </c>
      <c r="E1013" s="2">
        <f t="shared" si="26"/>
        <v>46211</v>
      </c>
      <c r="F1013" t="s">
        <v>1743</v>
      </c>
      <c r="G1013">
        <f>_xlfn.XLOOKUP(A1013,FTD!A:A,FTD!C:C)</f>
        <v>40000</v>
      </c>
      <c r="H1013" cm="1">
        <f t="array" ref="H1013">_xlfn.LET(
  _xlpm.s, TRIM(F1013),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3" t="str">
        <f>_xlfn.XLOOKUP(E1013,Calendar!C:C,Calendar!B:B)</f>
        <v>Working Day</v>
      </c>
    </row>
    <row r="1014" spans="1:9" x14ac:dyDescent="0.25">
      <c r="A1014" t="s">
        <v>1014</v>
      </c>
      <c r="B1014" t="s">
        <v>1387</v>
      </c>
      <c r="C1014" t="s">
        <v>1432</v>
      </c>
      <c r="D1014" s="2">
        <v>46217.618935185186</v>
      </c>
      <c r="E1014" s="2">
        <f t="shared" si="26"/>
        <v>46217</v>
      </c>
      <c r="F1014" t="s">
        <v>1754</v>
      </c>
      <c r="G1014">
        <f>_xlfn.XLOOKUP(A1014,FTD!A:A,FTD!C:C)</f>
        <v>1000</v>
      </c>
      <c r="H1014" cm="1">
        <f t="array" ref="H1014">_xlfn.LET(
  _xlpm.s, TRIM(F1014),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14" t="str">
        <f>_xlfn.XLOOKUP(E1014,Calendar!C:C,Calendar!B:B)</f>
        <v>Working Day</v>
      </c>
    </row>
    <row r="1015" spans="1:9" x14ac:dyDescent="0.25">
      <c r="A1015" t="s">
        <v>1015</v>
      </c>
      <c r="B1015" t="s">
        <v>1387</v>
      </c>
      <c r="C1015" t="s">
        <v>1403</v>
      </c>
      <c r="D1015" s="2">
        <v>46215.484293981477</v>
      </c>
      <c r="E1015" s="2">
        <f t="shared" si="26"/>
        <v>46215</v>
      </c>
      <c r="F1015" t="s">
        <v>1739</v>
      </c>
      <c r="G1015">
        <f>_xlfn.XLOOKUP(A1015,FTD!A:A,FTD!C:C)</f>
        <v>3000</v>
      </c>
      <c r="H1015" cm="1">
        <f t="array" ref="H1015">_xlfn.LET(
  _xlpm.s, TRIM(F1015),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15" t="str">
        <f>_xlfn.XLOOKUP(E1015,Calendar!C:C,Calendar!B:B)</f>
        <v>Sunday</v>
      </c>
    </row>
    <row r="1016" spans="1:9" x14ac:dyDescent="0.25">
      <c r="A1016" t="s">
        <v>1016</v>
      </c>
      <c r="B1016" t="s">
        <v>1387</v>
      </c>
      <c r="C1016" t="s">
        <v>1397</v>
      </c>
      <c r="D1016" s="2">
        <v>46211.614953703705</v>
      </c>
      <c r="E1016" s="2">
        <f t="shared" si="26"/>
        <v>46211</v>
      </c>
      <c r="F1016" t="s">
        <v>1743</v>
      </c>
      <c r="G1016">
        <f>_xlfn.XLOOKUP(A1016,FTD!A:A,FTD!C:C)</f>
        <v>1001</v>
      </c>
      <c r="H1016" cm="1">
        <f t="array" ref="H1016">_xlfn.LET(
  _xlpm.s, TRIM(F1016),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6" t="str">
        <f>_xlfn.XLOOKUP(E1016,Calendar!C:C,Calendar!B:B)</f>
        <v>Working Day</v>
      </c>
    </row>
    <row r="1017" spans="1:9" x14ac:dyDescent="0.25">
      <c r="A1017" t="s">
        <v>1017</v>
      </c>
      <c r="B1017" t="s">
        <v>1387</v>
      </c>
      <c r="C1017" t="s">
        <v>1399</v>
      </c>
      <c r="D1017" s="2">
        <v>46230.650034722217</v>
      </c>
      <c r="E1017" s="2">
        <f t="shared" si="26"/>
        <v>46230</v>
      </c>
      <c r="F1017" t="s">
        <v>1741</v>
      </c>
      <c r="G1017">
        <f>_xlfn.XLOOKUP(A1017,FTD!A:A,FTD!C:C)</f>
        <v>1000</v>
      </c>
      <c r="H1017" cm="1">
        <f t="array" ref="H1017">_xlfn.LET(
  _xlpm.s, TRIM(F1017),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7" t="str">
        <f>_xlfn.XLOOKUP(E1017,Calendar!C:C,Calendar!B:B)</f>
        <v>Working Day</v>
      </c>
    </row>
    <row r="1018" spans="1:9" x14ac:dyDescent="0.25">
      <c r="A1018" t="s">
        <v>1018</v>
      </c>
      <c r="B1018" t="s">
        <v>1387</v>
      </c>
      <c r="C1018" t="s">
        <v>1401</v>
      </c>
      <c r="D1018" s="2">
        <v>46225.359432870369</v>
      </c>
      <c r="E1018" s="2">
        <f t="shared" si="26"/>
        <v>46225</v>
      </c>
      <c r="F1018" t="s">
        <v>1739</v>
      </c>
      <c r="G1018">
        <f>_xlfn.XLOOKUP(A1018,FTD!A:A,FTD!C:C)</f>
        <v>1000</v>
      </c>
      <c r="H1018" cm="1">
        <f t="array" ref="H1018">_xlfn.LET(
  _xlpm.s, TRIM(F1018),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18" t="str">
        <f>_xlfn.XLOOKUP(E1018,Calendar!C:C,Calendar!B:B)</f>
        <v>Working Day</v>
      </c>
    </row>
    <row r="1019" spans="1:9" x14ac:dyDescent="0.25">
      <c r="A1019" t="s">
        <v>1019</v>
      </c>
      <c r="B1019" t="s">
        <v>1387</v>
      </c>
      <c r="C1019" t="s">
        <v>1399</v>
      </c>
      <c r="D1019" s="2">
        <v>46210.431597222218</v>
      </c>
      <c r="E1019" s="2">
        <f t="shared" si="26"/>
        <v>46210</v>
      </c>
      <c r="F1019" t="s">
        <v>1738</v>
      </c>
      <c r="G1019">
        <f>_xlfn.XLOOKUP(A1019,FTD!A:A,FTD!C:C)</f>
        <v>5000</v>
      </c>
      <c r="H1019" cm="1">
        <f t="array" ref="H1019">_xlfn.LET(
  _xlpm.s, TRIM(F1019),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19" t="str">
        <f>_xlfn.XLOOKUP(E1019,Calendar!C:C,Calendar!B:B)</f>
        <v>Working Day</v>
      </c>
    </row>
    <row r="1020" spans="1:9" x14ac:dyDescent="0.25">
      <c r="A1020" t="s">
        <v>1020</v>
      </c>
      <c r="B1020" t="s">
        <v>1387</v>
      </c>
      <c r="C1020" t="s">
        <v>1389</v>
      </c>
      <c r="D1020" s="2">
        <v>46217.639594907407</v>
      </c>
      <c r="E1020" s="2">
        <f t="shared" si="26"/>
        <v>46217</v>
      </c>
      <c r="F1020" t="s">
        <v>1743</v>
      </c>
      <c r="G1020">
        <f>_xlfn.XLOOKUP(A1020,FTD!A:A,FTD!C:C)</f>
        <v>2000</v>
      </c>
      <c r="H1020" cm="1">
        <f t="array" ref="H1020">_xlfn.LET(
  _xlpm.s, TRIM(F1020),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20" t="str">
        <f>_xlfn.XLOOKUP(E1020,Calendar!C:C,Calendar!B:B)</f>
        <v>Working Day</v>
      </c>
    </row>
    <row r="1021" spans="1:9" x14ac:dyDescent="0.25">
      <c r="A1021" t="s">
        <v>1021</v>
      </c>
      <c r="B1021" t="s">
        <v>1387</v>
      </c>
      <c r="C1021" t="s">
        <v>1388</v>
      </c>
      <c r="D1021" s="2">
        <v>46219.477905092594</v>
      </c>
      <c r="E1021" s="2">
        <f t="shared" si="26"/>
        <v>46219</v>
      </c>
      <c r="F1021" t="s">
        <v>1761</v>
      </c>
      <c r="G1021">
        <f>_xlfn.XLOOKUP(A1021,FTD!A:A,FTD!C:C)</f>
        <v>1000</v>
      </c>
      <c r="H1021" cm="1">
        <f t="array" ref="H1021">_xlfn.LET(
  _xlpm.s, TRIM(F1021),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21" t="str">
        <f>_xlfn.XLOOKUP(E1021,Calendar!C:C,Calendar!B:B)</f>
        <v>Working Day</v>
      </c>
    </row>
    <row r="1022" spans="1:9" x14ac:dyDescent="0.25">
      <c r="A1022" t="s">
        <v>1022</v>
      </c>
      <c r="B1022" t="s">
        <v>1387</v>
      </c>
      <c r="C1022" t="s">
        <v>1398</v>
      </c>
      <c r="D1022" s="2">
        <v>46223.494421296295</v>
      </c>
      <c r="E1022" s="2">
        <f t="shared" si="26"/>
        <v>46223</v>
      </c>
      <c r="F1022" t="s">
        <v>1739</v>
      </c>
      <c r="G1022">
        <f>_xlfn.XLOOKUP(A1022,FTD!A:A,FTD!C:C)</f>
        <v>10000</v>
      </c>
      <c r="H1022" cm="1">
        <f t="array" ref="H1022">_xlfn.LET(
  _xlpm.s, TRIM(F1022),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22" t="str">
        <f>_xlfn.XLOOKUP(E1022,Calendar!C:C,Calendar!B:B)</f>
        <v>Working Day</v>
      </c>
    </row>
    <row r="1023" spans="1:9" x14ac:dyDescent="0.25">
      <c r="A1023" t="s">
        <v>1023</v>
      </c>
      <c r="B1023" t="s">
        <v>1387</v>
      </c>
      <c r="C1023" t="s">
        <v>1407</v>
      </c>
      <c r="D1023" s="2">
        <v>46234.633900462963</v>
      </c>
      <c r="E1023" s="2">
        <f t="shared" si="26"/>
        <v>46234</v>
      </c>
      <c r="F1023" t="s">
        <v>1743</v>
      </c>
      <c r="G1023">
        <f>_xlfn.XLOOKUP(A1023,FTD!A:A,FTD!C:C)</f>
        <v>1000</v>
      </c>
      <c r="H1023" cm="1">
        <f t="array" ref="H1023">_xlfn.LET(
  _xlpm.s, TRIM(F1023),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23" t="str">
        <f>_xlfn.XLOOKUP(E1023,Calendar!C:C,Calendar!B:B)</f>
        <v>Working Day</v>
      </c>
    </row>
    <row r="1024" spans="1:9" x14ac:dyDescent="0.25">
      <c r="A1024" t="s">
        <v>1024</v>
      </c>
      <c r="B1024" t="s">
        <v>1387</v>
      </c>
      <c r="C1024" t="s">
        <v>1400</v>
      </c>
      <c r="D1024" s="2">
        <v>46226.521192129629</v>
      </c>
      <c r="E1024" s="2">
        <f t="shared" si="26"/>
        <v>46226</v>
      </c>
      <c r="F1024" t="s">
        <v>1739</v>
      </c>
      <c r="G1024">
        <f>_xlfn.XLOOKUP(A1024,FTD!A:A,FTD!C:C)</f>
        <v>1000</v>
      </c>
      <c r="H1024" cm="1">
        <f t="array" ref="H1024">_xlfn.LET(
  _xlpm.s, TRIM(F1024),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24" t="str">
        <f>_xlfn.XLOOKUP(E1024,Calendar!C:C,Calendar!B:B)</f>
        <v>Working Day</v>
      </c>
    </row>
    <row r="1025" spans="1:9" x14ac:dyDescent="0.25">
      <c r="A1025" t="s">
        <v>1025</v>
      </c>
      <c r="B1025" t="s">
        <v>1387</v>
      </c>
      <c r="C1025" t="s">
        <v>1402</v>
      </c>
      <c r="D1025" s="2">
        <v>46233.792685185181</v>
      </c>
      <c r="E1025" s="2">
        <f t="shared" si="26"/>
        <v>46233</v>
      </c>
      <c r="F1025" t="s">
        <v>1738</v>
      </c>
      <c r="G1025">
        <f>_xlfn.XLOOKUP(A1025,FTD!A:A,FTD!C:C)</f>
        <v>1000</v>
      </c>
      <c r="H1025" cm="1">
        <f t="array" ref="H1025">_xlfn.LET(
  _xlpm.s, TRIM(F1025),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25" t="str">
        <f>_xlfn.XLOOKUP(E1025,Calendar!C:C,Calendar!B:B)</f>
        <v>Working Day</v>
      </c>
    </row>
    <row r="1026" spans="1:9" x14ac:dyDescent="0.25">
      <c r="A1026" t="s">
        <v>1026</v>
      </c>
      <c r="B1026" t="s">
        <v>1384</v>
      </c>
      <c r="C1026" t="s">
        <v>1391</v>
      </c>
      <c r="D1026" s="2">
        <v>46205.417164351849</v>
      </c>
      <c r="E1026" s="2">
        <f t="shared" si="26"/>
        <v>46205</v>
      </c>
      <c r="F1026" t="s">
        <v>1739</v>
      </c>
      <c r="G1026">
        <f>_xlfn.XLOOKUP(A1026,FTD!A:A,FTD!C:C)</f>
        <v>5000</v>
      </c>
      <c r="H1026" cm="1">
        <f t="array" ref="H1026">_xlfn.LET(
  _xlpm.s, TRIM(F1026),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26" t="str">
        <f>_xlfn.XLOOKUP(E1026,Calendar!C:C,Calendar!B:B)</f>
        <v>Working Day</v>
      </c>
    </row>
    <row r="1027" spans="1:9" x14ac:dyDescent="0.25">
      <c r="A1027" t="s">
        <v>1027</v>
      </c>
      <c r="B1027" t="s">
        <v>1384</v>
      </c>
      <c r="C1027" t="s">
        <v>1414</v>
      </c>
      <c r="D1027" s="2">
        <v>46232.810046296298</v>
      </c>
      <c r="E1027" s="2">
        <f t="shared" ref="E1027:E1090" si="27">INT(D1027)</f>
        <v>46232</v>
      </c>
      <c r="F1027" t="s">
        <v>1739</v>
      </c>
      <c r="G1027">
        <f>_xlfn.XLOOKUP(A1027,FTD!A:A,FTD!C:C)</f>
        <v>1000</v>
      </c>
      <c r="H1027" cm="1">
        <f t="array" ref="H1027">_xlfn.LET(
  _xlpm.s, TRIM(F1027),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27" t="str">
        <f>_xlfn.XLOOKUP(E1027,Calendar!C:C,Calendar!B:B)</f>
        <v>Working Day</v>
      </c>
    </row>
    <row r="1028" spans="1:9" x14ac:dyDescent="0.25">
      <c r="A1028" t="s">
        <v>1028</v>
      </c>
      <c r="B1028" t="s">
        <v>1384</v>
      </c>
      <c r="C1028" t="s">
        <v>1422</v>
      </c>
      <c r="D1028" s="2">
        <v>46226.548796296294</v>
      </c>
      <c r="E1028" s="2">
        <f t="shared" si="27"/>
        <v>46226</v>
      </c>
      <c r="F1028" t="s">
        <v>1738</v>
      </c>
      <c r="G1028">
        <f>_xlfn.XLOOKUP(A1028,FTD!A:A,FTD!C:C)</f>
        <v>501</v>
      </c>
      <c r="H1028" cm="1">
        <f t="array" ref="H1028">_xlfn.LET(
  _xlpm.s, TRIM(F1028),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28" t="str">
        <f>_xlfn.XLOOKUP(E1028,Calendar!C:C,Calendar!B:B)</f>
        <v>Working Day</v>
      </c>
    </row>
    <row r="1029" spans="1:9" x14ac:dyDescent="0.25">
      <c r="A1029" t="s">
        <v>1029</v>
      </c>
      <c r="B1029" t="s">
        <v>1387</v>
      </c>
      <c r="C1029" t="s">
        <v>1403</v>
      </c>
      <c r="D1029" s="2">
        <v>46212.833472222221</v>
      </c>
      <c r="E1029" s="2">
        <f t="shared" si="27"/>
        <v>46212</v>
      </c>
      <c r="F1029" t="s">
        <v>1743</v>
      </c>
      <c r="G1029">
        <f>_xlfn.XLOOKUP(A1029,FTD!A:A,FTD!C:C)</f>
        <v>1000</v>
      </c>
      <c r="H1029" cm="1">
        <f t="array" ref="H1029">_xlfn.LET(
  _xlpm.s, TRIM(F1029),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29" t="str">
        <f>_xlfn.XLOOKUP(E1029,Calendar!C:C,Calendar!B:B)</f>
        <v>Working Day</v>
      </c>
    </row>
    <row r="1030" spans="1:9" x14ac:dyDescent="0.25">
      <c r="A1030" t="s">
        <v>1030</v>
      </c>
      <c r="B1030" t="s">
        <v>1387</v>
      </c>
      <c r="C1030" t="s">
        <v>1389</v>
      </c>
      <c r="D1030" s="2">
        <v>46211.417754629627</v>
      </c>
      <c r="E1030" s="2">
        <f t="shared" si="27"/>
        <v>46211</v>
      </c>
      <c r="F1030" t="s">
        <v>1744</v>
      </c>
      <c r="G1030">
        <f>_xlfn.XLOOKUP(A1030,FTD!A:A,FTD!C:C)</f>
        <v>1000</v>
      </c>
      <c r="H1030" cm="1">
        <f t="array" ref="H1030">_xlfn.LET(
  _xlpm.s, TRIM(F1030),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0" t="str">
        <f>_xlfn.XLOOKUP(E1030,Calendar!C:C,Calendar!B:B)</f>
        <v>Working Day</v>
      </c>
    </row>
    <row r="1031" spans="1:9" x14ac:dyDescent="0.25">
      <c r="A1031" t="s">
        <v>1031</v>
      </c>
      <c r="B1031" t="s">
        <v>1387</v>
      </c>
      <c r="C1031" t="s">
        <v>1396</v>
      </c>
      <c r="D1031" s="2">
        <v>46211.013483796298</v>
      </c>
      <c r="E1031" s="2">
        <f t="shared" si="27"/>
        <v>46211</v>
      </c>
      <c r="F1031" t="s">
        <v>1744</v>
      </c>
      <c r="G1031">
        <f>_xlfn.XLOOKUP(A1031,FTD!A:A,FTD!C:C)</f>
        <v>1000</v>
      </c>
      <c r="H1031" cm="1">
        <f t="array" ref="H1031">_xlfn.LET(
  _xlpm.s, TRIM(F1031),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1" t="str">
        <f>_xlfn.XLOOKUP(E1031,Calendar!C:C,Calendar!B:B)</f>
        <v>Working Day</v>
      </c>
    </row>
    <row r="1032" spans="1:9" x14ac:dyDescent="0.25">
      <c r="A1032" t="s">
        <v>1032</v>
      </c>
      <c r="B1032" t="s">
        <v>1387</v>
      </c>
      <c r="C1032" t="s">
        <v>1406</v>
      </c>
      <c r="D1032" s="2">
        <v>46224.821226851847</v>
      </c>
      <c r="E1032" s="2">
        <f t="shared" si="27"/>
        <v>46224</v>
      </c>
      <c r="F1032" t="s">
        <v>1746</v>
      </c>
      <c r="G1032">
        <f>_xlfn.XLOOKUP(A1032,FTD!A:A,FTD!C:C)</f>
        <v>1000</v>
      </c>
      <c r="H1032" cm="1">
        <f t="array" ref="H1032">_xlfn.LET(
  _xlpm.s, TRIM(F1032),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32" t="str">
        <f>_xlfn.XLOOKUP(E1032,Calendar!C:C,Calendar!B:B)</f>
        <v>Working Day</v>
      </c>
    </row>
    <row r="1033" spans="1:9" x14ac:dyDescent="0.25">
      <c r="A1033" t="s">
        <v>1033</v>
      </c>
      <c r="B1033" t="s">
        <v>1387</v>
      </c>
      <c r="C1033" t="s">
        <v>1407</v>
      </c>
      <c r="D1033" s="2">
        <v>46233.66978009259</v>
      </c>
      <c r="E1033" s="2">
        <f t="shared" si="27"/>
        <v>46233</v>
      </c>
      <c r="F1033" t="s">
        <v>1738</v>
      </c>
      <c r="G1033">
        <f>_xlfn.XLOOKUP(A1033,FTD!A:A,FTD!C:C)</f>
        <v>10000</v>
      </c>
      <c r="H1033" cm="1">
        <f t="array" ref="H1033">_xlfn.LET(
  _xlpm.s, TRIM(F1033),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3" t="str">
        <f>_xlfn.XLOOKUP(E1033,Calendar!C:C,Calendar!B:B)</f>
        <v>Working Day</v>
      </c>
    </row>
    <row r="1034" spans="1:9" x14ac:dyDescent="0.25">
      <c r="A1034" t="s">
        <v>1034</v>
      </c>
      <c r="B1034" t="s">
        <v>1387</v>
      </c>
      <c r="C1034" t="s">
        <v>1398</v>
      </c>
      <c r="D1034" s="2">
        <v>46212.715601851851</v>
      </c>
      <c r="E1034" s="2">
        <f t="shared" si="27"/>
        <v>46212</v>
      </c>
      <c r="F1034" t="s">
        <v>1738</v>
      </c>
      <c r="G1034">
        <f>_xlfn.XLOOKUP(A1034,FTD!A:A,FTD!C:C)</f>
        <v>2000</v>
      </c>
      <c r="H1034" cm="1">
        <f t="array" ref="H1034">_xlfn.LET(
  _xlpm.s, TRIM(F1034),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4" t="str">
        <f>_xlfn.XLOOKUP(E1034,Calendar!C:C,Calendar!B:B)</f>
        <v>Working Day</v>
      </c>
    </row>
    <row r="1035" spans="1:9" x14ac:dyDescent="0.25">
      <c r="A1035" t="s">
        <v>1035</v>
      </c>
      <c r="B1035" t="s">
        <v>1387</v>
      </c>
      <c r="C1035" t="s">
        <v>1399</v>
      </c>
      <c r="D1035" s="2">
        <v>46231.45958333333</v>
      </c>
      <c r="E1035" s="2">
        <f t="shared" si="27"/>
        <v>46231</v>
      </c>
      <c r="F1035" t="s">
        <v>1738</v>
      </c>
      <c r="G1035">
        <f>_xlfn.XLOOKUP(A1035,FTD!A:A,FTD!C:C)</f>
        <v>1000</v>
      </c>
      <c r="H1035" cm="1">
        <f t="array" ref="H1035">_xlfn.LET(
  _xlpm.s, TRIM(F1035),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5" t="str">
        <f>_xlfn.XLOOKUP(E1035,Calendar!C:C,Calendar!B:B)</f>
        <v>Working Day</v>
      </c>
    </row>
    <row r="1036" spans="1:9" x14ac:dyDescent="0.25">
      <c r="A1036" t="s">
        <v>1036</v>
      </c>
      <c r="B1036" t="s">
        <v>1387</v>
      </c>
      <c r="C1036" t="s">
        <v>1408</v>
      </c>
      <c r="D1036" s="2">
        <v>46221.571493055555</v>
      </c>
      <c r="E1036" s="2">
        <f t="shared" si="27"/>
        <v>46221</v>
      </c>
      <c r="F1036" t="s">
        <v>1738</v>
      </c>
      <c r="G1036">
        <f>_xlfn.XLOOKUP(A1036,FTD!A:A,FTD!C:C)</f>
        <v>2000</v>
      </c>
      <c r="H1036" cm="1">
        <f t="array" ref="H1036">_xlfn.LET(
  _xlpm.s, TRIM(F1036),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6" t="str">
        <f>_xlfn.XLOOKUP(E1036,Calendar!C:C,Calendar!B:B)</f>
        <v>Saturday</v>
      </c>
    </row>
    <row r="1037" spans="1:9" x14ac:dyDescent="0.25">
      <c r="A1037" t="s">
        <v>1037</v>
      </c>
      <c r="B1037" t="s">
        <v>1387</v>
      </c>
      <c r="C1037" t="s">
        <v>1396</v>
      </c>
      <c r="D1037" s="2">
        <v>46205.474537037036</v>
      </c>
      <c r="E1037" s="2">
        <f t="shared" si="27"/>
        <v>46205</v>
      </c>
      <c r="F1037" t="s">
        <v>1743</v>
      </c>
      <c r="G1037">
        <f>_xlfn.XLOOKUP(A1037,FTD!A:A,FTD!C:C)</f>
        <v>1000</v>
      </c>
      <c r="H1037" cm="1">
        <f t="array" ref="H1037">_xlfn.LET(
  _xlpm.s, TRIM(F1037),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37" t="str">
        <f>_xlfn.XLOOKUP(E1037,Calendar!C:C,Calendar!B:B)</f>
        <v>Working Day</v>
      </c>
    </row>
    <row r="1038" spans="1:9" x14ac:dyDescent="0.25">
      <c r="A1038" t="s">
        <v>1038</v>
      </c>
      <c r="B1038" t="s">
        <v>1385</v>
      </c>
      <c r="C1038" t="s">
        <v>1418</v>
      </c>
      <c r="D1038" s="2">
        <v>46209.499178240738</v>
      </c>
      <c r="E1038" s="2">
        <f t="shared" si="27"/>
        <v>46209</v>
      </c>
      <c r="F1038" t="s">
        <v>1740</v>
      </c>
      <c r="G1038">
        <f>_xlfn.XLOOKUP(A1038,FTD!A:A,FTD!C:C)</f>
        <v>1000</v>
      </c>
      <c r="H1038" cm="1">
        <f t="array" ref="H1038">_xlfn.LET(
  _xlpm.s, TRIM(F1038),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38" t="str">
        <f>_xlfn.XLOOKUP(E1038,Calendar!C:C,Calendar!B:B)</f>
        <v>Working Day</v>
      </c>
    </row>
    <row r="1039" spans="1:9" x14ac:dyDescent="0.25">
      <c r="A1039" t="s">
        <v>1039</v>
      </c>
      <c r="B1039" t="s">
        <v>1384</v>
      </c>
      <c r="C1039" t="s">
        <v>1421</v>
      </c>
      <c r="D1039" s="2">
        <v>46225.699282407404</v>
      </c>
      <c r="E1039" s="2">
        <f t="shared" si="27"/>
        <v>46225</v>
      </c>
      <c r="F1039" t="s">
        <v>1763</v>
      </c>
      <c r="G1039">
        <f>_xlfn.XLOOKUP(A1039,FTD!A:A,FTD!C:C)</f>
        <v>1000</v>
      </c>
      <c r="H1039" cm="1">
        <f t="array" ref="H1039">_xlfn.LET(
  _xlpm.s, TRIM(F1039),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39" t="str">
        <f>_xlfn.XLOOKUP(E1039,Calendar!C:C,Calendar!B:B)</f>
        <v>Working Day</v>
      </c>
    </row>
    <row r="1040" spans="1:9" x14ac:dyDescent="0.25">
      <c r="A1040" t="s">
        <v>1040</v>
      </c>
      <c r="B1040" t="s">
        <v>1384</v>
      </c>
      <c r="C1040" t="s">
        <v>1436</v>
      </c>
      <c r="D1040" s="2">
        <v>46221.709085648145</v>
      </c>
      <c r="E1040" s="2">
        <f t="shared" si="27"/>
        <v>46221</v>
      </c>
      <c r="F1040" t="s">
        <v>1741</v>
      </c>
      <c r="G1040">
        <f>_xlfn.XLOOKUP(A1040,FTD!A:A,FTD!C:C)</f>
        <v>500</v>
      </c>
      <c r="H1040" cm="1">
        <f t="array" ref="H1040">_xlfn.LET(
  _xlpm.s, TRIM(F1040),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0" t="str">
        <f>_xlfn.XLOOKUP(E1040,Calendar!C:C,Calendar!B:B)</f>
        <v>Saturday</v>
      </c>
    </row>
    <row r="1041" spans="1:9" x14ac:dyDescent="0.25">
      <c r="A1041" t="s">
        <v>1041</v>
      </c>
      <c r="B1041" t="s">
        <v>1387</v>
      </c>
      <c r="C1041" t="s">
        <v>1408</v>
      </c>
      <c r="D1041" s="2">
        <v>46206.742418981477</v>
      </c>
      <c r="E1041" s="2">
        <f t="shared" si="27"/>
        <v>46206</v>
      </c>
      <c r="F1041" t="s">
        <v>1738</v>
      </c>
      <c r="G1041">
        <f>_xlfn.XLOOKUP(A1041,FTD!A:A,FTD!C:C)</f>
        <v>1000</v>
      </c>
      <c r="H1041" cm="1">
        <f t="array" ref="H1041">_xlfn.LET(
  _xlpm.s, TRIM(F1041),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1" t="str">
        <f>_xlfn.XLOOKUP(E1041,Calendar!C:C,Calendar!B:B)</f>
        <v>Working Day</v>
      </c>
    </row>
    <row r="1042" spans="1:9" x14ac:dyDescent="0.25">
      <c r="A1042" t="s">
        <v>1042</v>
      </c>
      <c r="B1042" t="s">
        <v>1387</v>
      </c>
      <c r="C1042" t="s">
        <v>1418</v>
      </c>
      <c r="D1042" s="2">
        <v>46212.91375</v>
      </c>
      <c r="E1042" s="2">
        <f t="shared" si="27"/>
        <v>46212</v>
      </c>
      <c r="F1042" t="s">
        <v>1744</v>
      </c>
      <c r="G1042">
        <f>_xlfn.XLOOKUP(A1042,FTD!A:A,FTD!C:C)</f>
        <v>1001</v>
      </c>
      <c r="H1042" cm="1">
        <f t="array" ref="H1042">_xlfn.LET(
  _xlpm.s, TRIM(F1042),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2" t="str">
        <f>_xlfn.XLOOKUP(E1042,Calendar!C:C,Calendar!B:B)</f>
        <v>Working Day</v>
      </c>
    </row>
    <row r="1043" spans="1:9" x14ac:dyDescent="0.25">
      <c r="A1043" t="s">
        <v>1043</v>
      </c>
      <c r="B1043" t="s">
        <v>1387</v>
      </c>
      <c r="C1043" t="s">
        <v>1399</v>
      </c>
      <c r="D1043" s="2">
        <v>46223.609224537038</v>
      </c>
      <c r="E1043" s="2">
        <f t="shared" si="27"/>
        <v>46223</v>
      </c>
      <c r="F1043" t="s">
        <v>1738</v>
      </c>
      <c r="G1043">
        <f>_xlfn.XLOOKUP(A1043,FTD!A:A,FTD!C:C)</f>
        <v>1000</v>
      </c>
      <c r="H1043" cm="1">
        <f t="array" ref="H1043">_xlfn.LET(
  _xlpm.s, TRIM(F1043),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3" t="str">
        <f>_xlfn.XLOOKUP(E1043,Calendar!C:C,Calendar!B:B)</f>
        <v>Working Day</v>
      </c>
    </row>
    <row r="1044" spans="1:9" x14ac:dyDescent="0.25">
      <c r="A1044" t="s">
        <v>1044</v>
      </c>
      <c r="B1044" t="s">
        <v>1387</v>
      </c>
      <c r="C1044" t="s">
        <v>1413</v>
      </c>
      <c r="D1044" s="2">
        <v>46234.798310185186</v>
      </c>
      <c r="E1044" s="2">
        <f t="shared" si="27"/>
        <v>46234</v>
      </c>
      <c r="F1044" t="s">
        <v>1738</v>
      </c>
      <c r="G1044">
        <f>_xlfn.XLOOKUP(A1044,FTD!A:A,FTD!C:C)</f>
        <v>1000</v>
      </c>
      <c r="H1044" cm="1">
        <f t="array" ref="H1044">_xlfn.LET(
  _xlpm.s, TRIM(F1044),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4" t="str">
        <f>_xlfn.XLOOKUP(E1044,Calendar!C:C,Calendar!B:B)</f>
        <v>Working Day</v>
      </c>
    </row>
    <row r="1045" spans="1:9" x14ac:dyDescent="0.25">
      <c r="A1045" t="s">
        <v>1045</v>
      </c>
      <c r="B1045" t="s">
        <v>1387</v>
      </c>
      <c r="C1045" t="s">
        <v>1406</v>
      </c>
      <c r="D1045" s="2">
        <v>46211.795613425922</v>
      </c>
      <c r="E1045" s="2">
        <f t="shared" si="27"/>
        <v>46211</v>
      </c>
      <c r="F1045" t="s">
        <v>1738</v>
      </c>
      <c r="G1045">
        <f>_xlfn.XLOOKUP(A1045,FTD!A:A,FTD!C:C)</f>
        <v>5000</v>
      </c>
      <c r="H1045" cm="1">
        <f t="array" ref="H1045">_xlfn.LET(
  _xlpm.s, TRIM(F1045),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5" t="str">
        <f>_xlfn.XLOOKUP(E1045,Calendar!C:C,Calendar!B:B)</f>
        <v>Working Day</v>
      </c>
    </row>
    <row r="1046" spans="1:9" x14ac:dyDescent="0.25">
      <c r="A1046" t="s">
        <v>1046</v>
      </c>
      <c r="B1046" t="s">
        <v>1384</v>
      </c>
      <c r="C1046" t="s">
        <v>1421</v>
      </c>
      <c r="D1046" s="2">
        <v>46220.864803240736</v>
      </c>
      <c r="E1046" s="2">
        <f t="shared" si="27"/>
        <v>46220</v>
      </c>
      <c r="F1046" t="s">
        <v>1706</v>
      </c>
      <c r="G1046">
        <f>_xlfn.XLOOKUP(A1046,FTD!A:A,FTD!C:C)</f>
        <v>1000</v>
      </c>
      <c r="H1046" cm="1">
        <f t="array" ref="H1046">_xlfn.LET(
  _xlpm.s, TRIM(F1046),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46" t="str">
        <f>_xlfn.XLOOKUP(E1046,Calendar!C:C,Calendar!B:B)</f>
        <v>Working Day</v>
      </c>
    </row>
    <row r="1047" spans="1:9" x14ac:dyDescent="0.25">
      <c r="A1047" t="s">
        <v>1047</v>
      </c>
      <c r="B1047" t="s">
        <v>1384</v>
      </c>
      <c r="C1047" t="s">
        <v>1389</v>
      </c>
      <c r="D1047" s="2">
        <v>46210.391203703701</v>
      </c>
      <c r="E1047" s="2">
        <f t="shared" si="27"/>
        <v>46210</v>
      </c>
      <c r="F1047" t="s">
        <v>1738</v>
      </c>
      <c r="G1047">
        <f>_xlfn.XLOOKUP(A1047,FTD!A:A,FTD!C:C)</f>
        <v>1000</v>
      </c>
      <c r="H1047" cm="1">
        <f t="array" ref="H1047">_xlfn.LET(
  _xlpm.s, TRIM(F1047),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7" t="str">
        <f>_xlfn.XLOOKUP(E1047,Calendar!C:C,Calendar!B:B)</f>
        <v>Working Day</v>
      </c>
    </row>
    <row r="1048" spans="1:9" x14ac:dyDescent="0.25">
      <c r="A1048" t="s">
        <v>1048</v>
      </c>
      <c r="B1048" t="s">
        <v>1384</v>
      </c>
      <c r="C1048" t="s">
        <v>1422</v>
      </c>
      <c r="D1048" s="2">
        <v>46220.714953703704</v>
      </c>
      <c r="E1048" s="2">
        <f t="shared" si="27"/>
        <v>46220</v>
      </c>
      <c r="F1048" t="s">
        <v>1739</v>
      </c>
      <c r="G1048">
        <f>_xlfn.XLOOKUP(A1048,FTD!A:A,FTD!C:C)</f>
        <v>862</v>
      </c>
      <c r="H1048" cm="1">
        <f t="array" ref="H1048">_xlfn.LET(
  _xlpm.s, TRIM(F1048),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48" t="str">
        <f>_xlfn.XLOOKUP(E1048,Calendar!C:C,Calendar!B:B)</f>
        <v>Working Day</v>
      </c>
    </row>
    <row r="1049" spans="1:9" x14ac:dyDescent="0.25">
      <c r="A1049" t="s">
        <v>1049</v>
      </c>
      <c r="B1049" t="s">
        <v>1387</v>
      </c>
      <c r="C1049" t="s">
        <v>1397</v>
      </c>
      <c r="D1049" s="2">
        <v>46231.700914351852</v>
      </c>
      <c r="E1049" s="2">
        <f t="shared" si="27"/>
        <v>46231</v>
      </c>
      <c r="F1049" t="s">
        <v>1744</v>
      </c>
      <c r="G1049">
        <f>_xlfn.XLOOKUP(A1049,FTD!A:A,FTD!C:C)</f>
        <v>1001</v>
      </c>
      <c r="H1049" cm="1">
        <f t="array" ref="H1049">_xlfn.LET(
  _xlpm.s, TRIM(F1049),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49" t="str">
        <f>_xlfn.XLOOKUP(E1049,Calendar!C:C,Calendar!B:B)</f>
        <v>Working Day</v>
      </c>
    </row>
    <row r="1050" spans="1:9" x14ac:dyDescent="0.25">
      <c r="A1050" t="s">
        <v>1050</v>
      </c>
      <c r="B1050" t="s">
        <v>1384</v>
      </c>
      <c r="C1050" t="s">
        <v>1388</v>
      </c>
      <c r="D1050" s="2">
        <v>46220.751284722217</v>
      </c>
      <c r="E1050" s="2">
        <f t="shared" si="27"/>
        <v>46220</v>
      </c>
      <c r="F1050" t="s">
        <v>1738</v>
      </c>
      <c r="G1050">
        <f>_xlfn.XLOOKUP(A1050,FTD!A:A,FTD!C:C)</f>
        <v>3939</v>
      </c>
      <c r="H1050" cm="1">
        <f t="array" ref="H1050">_xlfn.LET(
  _xlpm.s, TRIM(F1050),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0" t="str">
        <f>_xlfn.XLOOKUP(E1050,Calendar!C:C,Calendar!B:B)</f>
        <v>Working Day</v>
      </c>
    </row>
    <row r="1051" spans="1:9" x14ac:dyDescent="0.25">
      <c r="A1051" t="s">
        <v>1051</v>
      </c>
      <c r="B1051" t="s">
        <v>1385</v>
      </c>
      <c r="C1051" t="s">
        <v>1423</v>
      </c>
      <c r="D1051" s="2">
        <v>46225.8046875</v>
      </c>
      <c r="E1051" s="2">
        <f t="shared" si="27"/>
        <v>46225</v>
      </c>
      <c r="F1051" t="s">
        <v>1739</v>
      </c>
      <c r="G1051">
        <f>_xlfn.XLOOKUP(A1051,FTD!A:A,FTD!C:C)</f>
        <v>10000</v>
      </c>
      <c r="H1051" cm="1">
        <f t="array" ref="H1051">_xlfn.LET(
  _xlpm.s, TRIM(F1051),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51" t="str">
        <f>_xlfn.XLOOKUP(E1051,Calendar!C:C,Calendar!B:B)</f>
        <v>Working Day</v>
      </c>
    </row>
    <row r="1052" spans="1:9" x14ac:dyDescent="0.25">
      <c r="A1052" t="s">
        <v>1052</v>
      </c>
      <c r="B1052" t="s">
        <v>1384</v>
      </c>
      <c r="C1052" t="s">
        <v>1422</v>
      </c>
      <c r="D1052" s="2">
        <v>46219.928368055553</v>
      </c>
      <c r="E1052" s="2">
        <f t="shared" si="27"/>
        <v>46219</v>
      </c>
      <c r="F1052" t="s">
        <v>1741</v>
      </c>
      <c r="G1052">
        <f>_xlfn.XLOOKUP(A1052,FTD!A:A,FTD!C:C)</f>
        <v>1000</v>
      </c>
      <c r="H1052" cm="1">
        <f t="array" ref="H1052">_xlfn.LET(
  _xlpm.s, TRIM(F1052),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2" t="str">
        <f>_xlfn.XLOOKUP(E1052,Calendar!C:C,Calendar!B:B)</f>
        <v>Working Day</v>
      </c>
    </row>
    <row r="1053" spans="1:9" x14ac:dyDescent="0.25">
      <c r="A1053" t="s">
        <v>1053</v>
      </c>
      <c r="B1053" t="s">
        <v>1384</v>
      </c>
      <c r="C1053" t="s">
        <v>1389</v>
      </c>
      <c r="D1053" s="2">
        <v>46205.826053240737</v>
      </c>
      <c r="E1053" s="2">
        <f t="shared" si="27"/>
        <v>46205</v>
      </c>
      <c r="F1053" t="s">
        <v>1739</v>
      </c>
      <c r="G1053">
        <f>_xlfn.XLOOKUP(A1053,FTD!A:A,FTD!C:C)</f>
        <v>25000</v>
      </c>
      <c r="H1053" cm="1">
        <f t="array" ref="H1053">_xlfn.LET(
  _xlpm.s, TRIM(F1053),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53" t="str">
        <f>_xlfn.XLOOKUP(E1053,Calendar!C:C,Calendar!B:B)</f>
        <v>Working Day</v>
      </c>
    </row>
    <row r="1054" spans="1:9" x14ac:dyDescent="0.25">
      <c r="A1054" t="s">
        <v>1054</v>
      </c>
      <c r="B1054" t="s">
        <v>1384</v>
      </c>
      <c r="C1054" t="s">
        <v>1395</v>
      </c>
      <c r="D1054" s="2">
        <v>46227.561979166661</v>
      </c>
      <c r="E1054" s="2">
        <f t="shared" si="27"/>
        <v>46227</v>
      </c>
      <c r="F1054" t="s">
        <v>1738</v>
      </c>
      <c r="G1054">
        <f>_xlfn.XLOOKUP(A1054,FTD!A:A,FTD!C:C)</f>
        <v>500</v>
      </c>
      <c r="H1054" cm="1">
        <f t="array" ref="H1054">_xlfn.LET(
  _xlpm.s, TRIM(F1054),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4" t="str">
        <f>_xlfn.XLOOKUP(E1054,Calendar!C:C,Calendar!B:B)</f>
        <v>Working Day</v>
      </c>
    </row>
    <row r="1055" spans="1:9" x14ac:dyDescent="0.25">
      <c r="A1055" t="s">
        <v>1055</v>
      </c>
      <c r="B1055" t="s">
        <v>1384</v>
      </c>
      <c r="C1055" t="s">
        <v>1391</v>
      </c>
      <c r="D1055" s="2">
        <v>46217.750092592592</v>
      </c>
      <c r="E1055" s="2">
        <f t="shared" si="27"/>
        <v>46217</v>
      </c>
      <c r="F1055" t="s">
        <v>1741</v>
      </c>
      <c r="G1055">
        <f>_xlfn.XLOOKUP(A1055,FTD!A:A,FTD!C:C)</f>
        <v>1000</v>
      </c>
      <c r="H1055" cm="1">
        <f t="array" ref="H1055">_xlfn.LET(
  _xlpm.s, TRIM(F1055),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5" t="str">
        <f>_xlfn.XLOOKUP(E1055,Calendar!C:C,Calendar!B:B)</f>
        <v>Working Day</v>
      </c>
    </row>
    <row r="1056" spans="1:9" x14ac:dyDescent="0.25">
      <c r="A1056" t="s">
        <v>1056</v>
      </c>
      <c r="B1056" t="s">
        <v>1384</v>
      </c>
      <c r="C1056" t="s">
        <v>1396</v>
      </c>
      <c r="D1056" s="2">
        <v>46224.548807870371</v>
      </c>
      <c r="E1056" s="2">
        <f t="shared" si="27"/>
        <v>46224</v>
      </c>
      <c r="F1056" t="s">
        <v>1738</v>
      </c>
      <c r="G1056">
        <f>_xlfn.XLOOKUP(A1056,FTD!A:A,FTD!C:C)</f>
        <v>2000</v>
      </c>
      <c r="H1056" cm="1">
        <f t="array" ref="H1056">_xlfn.LET(
  _xlpm.s, TRIM(F1056),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6" t="str">
        <f>_xlfn.XLOOKUP(E1056,Calendar!C:C,Calendar!B:B)</f>
        <v>Working Day</v>
      </c>
    </row>
    <row r="1057" spans="1:9" x14ac:dyDescent="0.25">
      <c r="A1057" t="s">
        <v>1057</v>
      </c>
      <c r="B1057" t="s">
        <v>1384</v>
      </c>
      <c r="C1057" t="s">
        <v>1397</v>
      </c>
      <c r="D1057" s="2">
        <v>46233.431909722218</v>
      </c>
      <c r="E1057" s="2">
        <f t="shared" si="27"/>
        <v>46233</v>
      </c>
      <c r="F1057" t="s">
        <v>1738</v>
      </c>
      <c r="G1057">
        <f>_xlfn.XLOOKUP(A1057,FTD!A:A,FTD!C:C)</f>
        <v>1000</v>
      </c>
      <c r="H1057" cm="1">
        <f t="array" ref="H1057">_xlfn.LET(
  _xlpm.s, TRIM(F1057),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7" t="str">
        <f>_xlfn.XLOOKUP(E1057,Calendar!C:C,Calendar!B:B)</f>
        <v>Working Day</v>
      </c>
    </row>
    <row r="1058" spans="1:9" x14ac:dyDescent="0.25">
      <c r="A1058" t="s">
        <v>1058</v>
      </c>
      <c r="B1058" t="s">
        <v>1384</v>
      </c>
      <c r="C1058" t="s">
        <v>1420</v>
      </c>
      <c r="D1058" s="2">
        <v>46217.92150462963</v>
      </c>
      <c r="E1058" s="2">
        <f t="shared" si="27"/>
        <v>46217</v>
      </c>
      <c r="F1058" t="s">
        <v>1738</v>
      </c>
      <c r="G1058">
        <f>_xlfn.XLOOKUP(A1058,FTD!A:A,FTD!C:C)</f>
        <v>2000</v>
      </c>
      <c r="H1058" cm="1">
        <f t="array" ref="H1058">_xlfn.LET(
  _xlpm.s, TRIM(F1058),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8" t="str">
        <f>_xlfn.XLOOKUP(E1058,Calendar!C:C,Calendar!B:B)</f>
        <v>Working Day</v>
      </c>
    </row>
    <row r="1059" spans="1:9" x14ac:dyDescent="0.25">
      <c r="A1059" t="s">
        <v>1059</v>
      </c>
      <c r="B1059" t="s">
        <v>1387</v>
      </c>
      <c r="C1059" t="s">
        <v>1406</v>
      </c>
      <c r="D1059" s="2">
        <v>46206.813252314816</v>
      </c>
      <c r="E1059" s="2">
        <f t="shared" si="27"/>
        <v>46206</v>
      </c>
      <c r="F1059" t="s">
        <v>1738</v>
      </c>
      <c r="G1059">
        <f>_xlfn.XLOOKUP(A1059,FTD!A:A,FTD!C:C)</f>
        <v>1000</v>
      </c>
      <c r="H1059" cm="1">
        <f t="array" ref="H1059">_xlfn.LET(
  _xlpm.s, TRIM(F1059),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59" t="str">
        <f>_xlfn.XLOOKUP(E1059,Calendar!C:C,Calendar!B:B)</f>
        <v>Working Day</v>
      </c>
    </row>
    <row r="1060" spans="1:9" x14ac:dyDescent="0.25">
      <c r="A1060" t="s">
        <v>1060</v>
      </c>
      <c r="B1060" t="s">
        <v>1387</v>
      </c>
      <c r="C1060" t="s">
        <v>1413</v>
      </c>
      <c r="D1060" s="2">
        <v>46220.377372685187</v>
      </c>
      <c r="E1060" s="2">
        <f t="shared" si="27"/>
        <v>46220</v>
      </c>
      <c r="F1060" t="s">
        <v>1738</v>
      </c>
      <c r="G1060">
        <f>_xlfn.XLOOKUP(A1060,FTD!A:A,FTD!C:C)</f>
        <v>3000</v>
      </c>
      <c r="H1060" cm="1">
        <f t="array" ref="H1060">_xlfn.LET(
  _xlpm.s, TRIM(F1060),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0" t="str">
        <f>_xlfn.XLOOKUP(E1060,Calendar!C:C,Calendar!B:B)</f>
        <v>Working Day</v>
      </c>
    </row>
    <row r="1061" spans="1:9" x14ac:dyDescent="0.25">
      <c r="A1061" t="s">
        <v>1061</v>
      </c>
      <c r="B1061" t="s">
        <v>1387</v>
      </c>
      <c r="C1061" t="s">
        <v>1430</v>
      </c>
      <c r="D1061" s="2">
        <v>46217.833587962959</v>
      </c>
      <c r="E1061" s="2">
        <f t="shared" si="27"/>
        <v>46217</v>
      </c>
      <c r="F1061" t="s">
        <v>1741</v>
      </c>
      <c r="G1061">
        <f>_xlfn.XLOOKUP(A1061,FTD!A:A,FTD!C:C)</f>
        <v>1000</v>
      </c>
      <c r="H1061" cm="1">
        <f t="array" ref="H1061">_xlfn.LET(
  _xlpm.s, TRIM(F1061),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1" t="str">
        <f>_xlfn.XLOOKUP(E1061,Calendar!C:C,Calendar!B:B)</f>
        <v>Working Day</v>
      </c>
    </row>
    <row r="1062" spans="1:9" x14ac:dyDescent="0.25">
      <c r="A1062" t="s">
        <v>1062</v>
      </c>
      <c r="B1062" t="s">
        <v>1387</v>
      </c>
      <c r="C1062" t="s">
        <v>1403</v>
      </c>
      <c r="D1062" s="2">
        <v>46209.652974537035</v>
      </c>
      <c r="E1062" s="2">
        <f t="shared" si="27"/>
        <v>46209</v>
      </c>
      <c r="F1062" t="s">
        <v>1743</v>
      </c>
      <c r="G1062">
        <f>_xlfn.XLOOKUP(A1062,FTD!A:A,FTD!C:C)</f>
        <v>1000</v>
      </c>
      <c r="H1062" cm="1">
        <f t="array" ref="H1062">_xlfn.LET(
  _xlpm.s, TRIM(F1062),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2" t="str">
        <f>_xlfn.XLOOKUP(E1062,Calendar!C:C,Calendar!B:B)</f>
        <v>Working Day</v>
      </c>
    </row>
    <row r="1063" spans="1:9" x14ac:dyDescent="0.25">
      <c r="A1063" t="s">
        <v>1063</v>
      </c>
      <c r="B1063" t="s">
        <v>1387</v>
      </c>
      <c r="C1063" t="s">
        <v>1406</v>
      </c>
      <c r="D1063" s="2">
        <v>46210.639710648145</v>
      </c>
      <c r="E1063" s="2">
        <f t="shared" si="27"/>
        <v>46210</v>
      </c>
      <c r="F1063" t="s">
        <v>1754</v>
      </c>
      <c r="G1063">
        <f>_xlfn.XLOOKUP(A1063,FTD!A:A,FTD!C:C)</f>
        <v>1000</v>
      </c>
      <c r="H1063" cm="1">
        <f t="array" ref="H1063">_xlfn.LET(
  _xlpm.s, TRIM(F1063),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63" t="str">
        <f>_xlfn.XLOOKUP(E1063,Calendar!C:C,Calendar!B:B)</f>
        <v>Working Day</v>
      </c>
    </row>
    <row r="1064" spans="1:9" x14ac:dyDescent="0.25">
      <c r="A1064" t="s">
        <v>1064</v>
      </c>
      <c r="B1064" t="s">
        <v>1387</v>
      </c>
      <c r="C1064" t="s">
        <v>1428</v>
      </c>
      <c r="D1064" s="2">
        <v>46211.433993055551</v>
      </c>
      <c r="E1064" s="2">
        <f t="shared" si="27"/>
        <v>46211</v>
      </c>
      <c r="F1064" t="s">
        <v>1744</v>
      </c>
      <c r="G1064">
        <f>_xlfn.XLOOKUP(A1064,FTD!A:A,FTD!C:C)</f>
        <v>1000</v>
      </c>
      <c r="H1064" cm="1">
        <f t="array" ref="H1064">_xlfn.LET(
  _xlpm.s, TRIM(F1064),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4" t="str">
        <f>_xlfn.XLOOKUP(E1064,Calendar!C:C,Calendar!B:B)</f>
        <v>Working Day</v>
      </c>
    </row>
    <row r="1065" spans="1:9" x14ac:dyDescent="0.25">
      <c r="A1065" t="s">
        <v>1065</v>
      </c>
      <c r="B1065" t="s">
        <v>1387</v>
      </c>
      <c r="C1065" t="s">
        <v>1401</v>
      </c>
      <c r="D1065" s="2">
        <v>46209.688761574071</v>
      </c>
      <c r="E1065" s="2">
        <f t="shared" si="27"/>
        <v>46209</v>
      </c>
      <c r="F1065" t="s">
        <v>1739</v>
      </c>
      <c r="G1065">
        <f>_xlfn.XLOOKUP(A1065,FTD!A:A,FTD!C:C)</f>
        <v>5000</v>
      </c>
      <c r="H1065" cm="1">
        <f t="array" ref="H1065">_xlfn.LET(
  _xlpm.s, TRIM(F1065),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65" t="str">
        <f>_xlfn.XLOOKUP(E1065,Calendar!C:C,Calendar!B:B)</f>
        <v>Working Day</v>
      </c>
    </row>
    <row r="1066" spans="1:9" x14ac:dyDescent="0.25">
      <c r="A1066" t="s">
        <v>1066</v>
      </c>
      <c r="B1066" t="s">
        <v>1387</v>
      </c>
      <c r="C1066" t="s">
        <v>1398</v>
      </c>
      <c r="D1066" s="2">
        <v>46224.882071759261</v>
      </c>
      <c r="E1066" s="2">
        <f t="shared" si="27"/>
        <v>46224</v>
      </c>
      <c r="F1066" t="s">
        <v>1741</v>
      </c>
      <c r="G1066">
        <f>_xlfn.XLOOKUP(A1066,FTD!A:A,FTD!C:C)</f>
        <v>2000</v>
      </c>
      <c r="H1066" cm="1">
        <f t="array" ref="H1066">_xlfn.LET(
  _xlpm.s, TRIM(F1066),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6" t="str">
        <f>_xlfn.XLOOKUP(E1066,Calendar!C:C,Calendar!B:B)</f>
        <v>Working Day</v>
      </c>
    </row>
    <row r="1067" spans="1:9" x14ac:dyDescent="0.25">
      <c r="A1067" t="s">
        <v>1067</v>
      </c>
      <c r="B1067" t="s">
        <v>1387</v>
      </c>
      <c r="C1067" t="s">
        <v>1421</v>
      </c>
      <c r="D1067" s="2">
        <v>46217.612164351849</v>
      </c>
      <c r="E1067" s="2">
        <f t="shared" si="27"/>
        <v>46217</v>
      </c>
      <c r="F1067" t="s">
        <v>1743</v>
      </c>
      <c r="G1067">
        <f>_xlfn.XLOOKUP(A1067,FTD!A:A,FTD!C:C)</f>
        <v>1000</v>
      </c>
      <c r="H1067" cm="1">
        <f t="array" ref="H1067">_xlfn.LET(
  _xlpm.s, TRIM(F1067),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7" t="str">
        <f>_xlfn.XLOOKUP(E1067,Calendar!C:C,Calendar!B:B)</f>
        <v>Working Day</v>
      </c>
    </row>
    <row r="1068" spans="1:9" x14ac:dyDescent="0.25">
      <c r="A1068" t="s">
        <v>1068</v>
      </c>
      <c r="B1068" t="s">
        <v>1387</v>
      </c>
      <c r="C1068" t="s">
        <v>1433</v>
      </c>
      <c r="D1068" s="2">
        <v>46231.450578703705</v>
      </c>
      <c r="E1068" s="2">
        <f t="shared" si="27"/>
        <v>46231</v>
      </c>
      <c r="F1068" t="s">
        <v>1738</v>
      </c>
      <c r="G1068">
        <f>_xlfn.XLOOKUP(A1068,FTD!A:A,FTD!C:C)</f>
        <v>31000</v>
      </c>
      <c r="H1068" cm="1">
        <f t="array" ref="H1068">_xlfn.LET(
  _xlpm.s, TRIM(F1068),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8" t="str">
        <f>_xlfn.XLOOKUP(E1068,Calendar!C:C,Calendar!B:B)</f>
        <v>Working Day</v>
      </c>
    </row>
    <row r="1069" spans="1:9" x14ac:dyDescent="0.25">
      <c r="A1069" t="s">
        <v>1069</v>
      </c>
      <c r="B1069" t="s">
        <v>1387</v>
      </c>
      <c r="C1069" t="s">
        <v>1400</v>
      </c>
      <c r="D1069" s="2">
        <v>46230.554421296292</v>
      </c>
      <c r="E1069" s="2">
        <f t="shared" si="27"/>
        <v>46230</v>
      </c>
      <c r="F1069" t="s">
        <v>1743</v>
      </c>
      <c r="G1069">
        <f>_xlfn.XLOOKUP(A1069,FTD!A:A,FTD!C:C)</f>
        <v>1000</v>
      </c>
      <c r="H1069" cm="1">
        <f t="array" ref="H1069">_xlfn.LET(
  _xlpm.s, TRIM(F1069),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69" t="str">
        <f>_xlfn.XLOOKUP(E1069,Calendar!C:C,Calendar!B:B)</f>
        <v>Working Day</v>
      </c>
    </row>
    <row r="1070" spans="1:9" x14ac:dyDescent="0.25">
      <c r="A1070" t="s">
        <v>1070</v>
      </c>
      <c r="B1070" t="s">
        <v>1387</v>
      </c>
      <c r="C1070" t="s">
        <v>1412</v>
      </c>
      <c r="D1070" s="2">
        <v>46213.469537037032</v>
      </c>
      <c r="E1070" s="2">
        <f t="shared" si="27"/>
        <v>46213</v>
      </c>
      <c r="F1070" t="s">
        <v>1738</v>
      </c>
      <c r="G1070">
        <f>_xlfn.XLOOKUP(A1070,FTD!A:A,FTD!C:C)</f>
        <v>2000</v>
      </c>
      <c r="H1070" cm="1">
        <f t="array" ref="H1070">_xlfn.LET(
  _xlpm.s, TRIM(F1070),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70" t="str">
        <f>_xlfn.XLOOKUP(E1070,Calendar!C:C,Calendar!B:B)</f>
        <v>Working Day</v>
      </c>
    </row>
    <row r="1071" spans="1:9" x14ac:dyDescent="0.25">
      <c r="A1071" t="s">
        <v>1071</v>
      </c>
      <c r="B1071" t="s">
        <v>1387</v>
      </c>
      <c r="C1071" t="s">
        <v>1406</v>
      </c>
      <c r="D1071" s="2">
        <v>46211.640381944446</v>
      </c>
      <c r="E1071" s="2">
        <f t="shared" si="27"/>
        <v>46211</v>
      </c>
      <c r="F1071" t="s">
        <v>1740</v>
      </c>
      <c r="G1071">
        <f>_xlfn.XLOOKUP(A1071,FTD!A:A,FTD!C:C)</f>
        <v>1000</v>
      </c>
      <c r="H1071" cm="1">
        <f t="array" ref="H1071">_xlfn.LET(
  _xlpm.s, TRIM(F1071),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71" t="str">
        <f>_xlfn.XLOOKUP(E1071,Calendar!C:C,Calendar!B:B)</f>
        <v>Working Day</v>
      </c>
    </row>
    <row r="1072" spans="1:9" x14ac:dyDescent="0.25">
      <c r="A1072" t="s">
        <v>1072</v>
      </c>
      <c r="B1072" t="s">
        <v>1387</v>
      </c>
      <c r="C1072" t="s">
        <v>1400</v>
      </c>
      <c r="D1072" s="2">
        <v>46232.563530092593</v>
      </c>
      <c r="E1072" s="2">
        <f t="shared" si="27"/>
        <v>46232</v>
      </c>
      <c r="F1072" t="s">
        <v>1739</v>
      </c>
      <c r="G1072">
        <f>_xlfn.XLOOKUP(A1072,FTD!A:A,FTD!C:C)</f>
        <v>5000</v>
      </c>
      <c r="H1072" cm="1">
        <f t="array" ref="H1072">_xlfn.LET(
  _xlpm.s, TRIM(F1072),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72" t="str">
        <f>_xlfn.XLOOKUP(E1072,Calendar!C:C,Calendar!B:B)</f>
        <v>Working Day</v>
      </c>
    </row>
    <row r="1073" spans="1:9" x14ac:dyDescent="0.25">
      <c r="A1073" t="s">
        <v>1073</v>
      </c>
      <c r="B1073" t="s">
        <v>1387</v>
      </c>
      <c r="C1073" t="s">
        <v>1399</v>
      </c>
      <c r="D1073" s="2">
        <v>46225.624780092592</v>
      </c>
      <c r="E1073" s="2">
        <f t="shared" si="27"/>
        <v>46225</v>
      </c>
      <c r="F1073" t="s">
        <v>1738</v>
      </c>
      <c r="G1073">
        <f>_xlfn.XLOOKUP(A1073,FTD!A:A,FTD!C:C)</f>
        <v>1000</v>
      </c>
      <c r="H1073" cm="1">
        <f t="array" ref="H1073">_xlfn.LET(
  _xlpm.s, TRIM(F1073),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73" t="str">
        <f>_xlfn.XLOOKUP(E1073,Calendar!C:C,Calendar!B:B)</f>
        <v>Working Day</v>
      </c>
    </row>
    <row r="1074" spans="1:9" x14ac:dyDescent="0.25">
      <c r="A1074" t="s">
        <v>1074</v>
      </c>
      <c r="B1074" t="s">
        <v>1387</v>
      </c>
      <c r="C1074" t="s">
        <v>1417</v>
      </c>
      <c r="D1074" s="2">
        <v>46231.625937500001</v>
      </c>
      <c r="E1074" s="2">
        <f t="shared" si="27"/>
        <v>46231</v>
      </c>
      <c r="F1074" t="s">
        <v>1739</v>
      </c>
      <c r="G1074">
        <f>_xlfn.XLOOKUP(A1074,FTD!A:A,FTD!C:C)</f>
        <v>2000</v>
      </c>
      <c r="H1074" cm="1">
        <f t="array" ref="H1074">_xlfn.LET(
  _xlpm.s, TRIM(F1074),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74" t="str">
        <f>_xlfn.XLOOKUP(E1074,Calendar!C:C,Calendar!B:B)</f>
        <v>Working Day</v>
      </c>
    </row>
    <row r="1075" spans="1:9" x14ac:dyDescent="0.25">
      <c r="A1075" t="s">
        <v>1075</v>
      </c>
      <c r="B1075" t="s">
        <v>1387</v>
      </c>
      <c r="C1075" t="s">
        <v>1399</v>
      </c>
      <c r="D1075" s="2">
        <v>46232.438032407408</v>
      </c>
      <c r="E1075" s="2">
        <f t="shared" si="27"/>
        <v>46232</v>
      </c>
      <c r="F1075" t="s">
        <v>1738</v>
      </c>
      <c r="G1075">
        <f>_xlfn.XLOOKUP(A1075,FTD!A:A,FTD!C:C)</f>
        <v>1000</v>
      </c>
      <c r="H1075" cm="1">
        <f t="array" ref="H1075">_xlfn.LET(
  _xlpm.s, TRIM(F1075),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75" t="str">
        <f>_xlfn.XLOOKUP(E1075,Calendar!C:C,Calendar!B:B)</f>
        <v>Working Day</v>
      </c>
    </row>
    <row r="1076" spans="1:9" x14ac:dyDescent="0.25">
      <c r="A1076" t="s">
        <v>1076</v>
      </c>
      <c r="B1076" t="s">
        <v>1387</v>
      </c>
      <c r="C1076" t="s">
        <v>1396</v>
      </c>
      <c r="D1076" s="2">
        <v>46213.617384259254</v>
      </c>
      <c r="E1076" s="2">
        <f t="shared" si="27"/>
        <v>46213</v>
      </c>
      <c r="F1076" t="s">
        <v>1743</v>
      </c>
      <c r="G1076">
        <f>_xlfn.XLOOKUP(A1076,FTD!A:A,FTD!C:C)</f>
        <v>6000</v>
      </c>
      <c r="H1076" cm="1">
        <f t="array" ref="H1076">_xlfn.LET(
  _xlpm.s, TRIM(F1076),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76" t="str">
        <f>_xlfn.XLOOKUP(E1076,Calendar!C:C,Calendar!B:B)</f>
        <v>Working Day</v>
      </c>
    </row>
    <row r="1077" spans="1:9" x14ac:dyDescent="0.25">
      <c r="A1077" t="s">
        <v>1077</v>
      </c>
      <c r="B1077" t="s">
        <v>1387</v>
      </c>
      <c r="C1077" t="s">
        <v>1408</v>
      </c>
      <c r="D1077" s="2">
        <v>46219.551180555551</v>
      </c>
      <c r="E1077" s="2">
        <f t="shared" si="27"/>
        <v>46219</v>
      </c>
      <c r="F1077" t="s">
        <v>1738</v>
      </c>
      <c r="G1077">
        <f>_xlfn.XLOOKUP(A1077,FTD!A:A,FTD!C:C)</f>
        <v>4700</v>
      </c>
      <c r="H1077" cm="1">
        <f t="array" ref="H1077">_xlfn.LET(
  _xlpm.s, TRIM(F1077),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77" t="str">
        <f>_xlfn.XLOOKUP(E1077,Calendar!C:C,Calendar!B:B)</f>
        <v>Working Day</v>
      </c>
    </row>
    <row r="1078" spans="1:9" x14ac:dyDescent="0.25">
      <c r="A1078" t="s">
        <v>1078</v>
      </c>
      <c r="B1078" t="s">
        <v>1387</v>
      </c>
      <c r="C1078" t="s">
        <v>1409</v>
      </c>
      <c r="D1078" s="2">
        <v>46224.567002314812</v>
      </c>
      <c r="E1078" s="2">
        <f t="shared" si="27"/>
        <v>46224</v>
      </c>
      <c r="F1078" t="s">
        <v>1706</v>
      </c>
      <c r="G1078">
        <f>_xlfn.XLOOKUP(A1078,FTD!A:A,FTD!C:C)</f>
        <v>1000</v>
      </c>
      <c r="H1078" cm="1">
        <f t="array" ref="H1078">_xlfn.LET(
  _xlpm.s, TRIM(F1078),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78" t="str">
        <f>_xlfn.XLOOKUP(E1078,Calendar!C:C,Calendar!B:B)</f>
        <v>Working Day</v>
      </c>
    </row>
    <row r="1079" spans="1:9" x14ac:dyDescent="0.25">
      <c r="A1079" t="s">
        <v>1079</v>
      </c>
      <c r="B1079" t="s">
        <v>1387</v>
      </c>
      <c r="C1079" t="s">
        <v>1404</v>
      </c>
      <c r="D1079" s="2">
        <v>46218.766504629624</v>
      </c>
      <c r="E1079" s="2">
        <f t="shared" si="27"/>
        <v>46218</v>
      </c>
      <c r="F1079" t="s">
        <v>1739</v>
      </c>
      <c r="G1079">
        <f>_xlfn.XLOOKUP(A1079,FTD!A:A,FTD!C:C)</f>
        <v>2000</v>
      </c>
      <c r="H1079" cm="1">
        <f t="array" ref="H1079">_xlfn.LET(
  _xlpm.s, TRIM(F1079),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79" t="str">
        <f>_xlfn.XLOOKUP(E1079,Calendar!C:C,Calendar!B:B)</f>
        <v>Working Day</v>
      </c>
    </row>
    <row r="1080" spans="1:9" x14ac:dyDescent="0.25">
      <c r="A1080" t="s">
        <v>1080</v>
      </c>
      <c r="B1080" t="s">
        <v>1387</v>
      </c>
      <c r="C1080" t="s">
        <v>1406</v>
      </c>
      <c r="D1080" s="2">
        <v>46213.533263888887</v>
      </c>
      <c r="E1080" s="2">
        <f t="shared" si="27"/>
        <v>46213</v>
      </c>
      <c r="F1080" t="s">
        <v>1738</v>
      </c>
      <c r="G1080">
        <f>_xlfn.XLOOKUP(A1080,FTD!A:A,FTD!C:C)</f>
        <v>10000</v>
      </c>
      <c r="H1080" cm="1">
        <f t="array" ref="H1080">_xlfn.LET(
  _xlpm.s, TRIM(F1080),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0" t="str">
        <f>_xlfn.XLOOKUP(E1080,Calendar!C:C,Calendar!B:B)</f>
        <v>Working Day</v>
      </c>
    </row>
    <row r="1081" spans="1:9" x14ac:dyDescent="0.25">
      <c r="A1081" t="s">
        <v>1081</v>
      </c>
      <c r="B1081" t="s">
        <v>1387</v>
      </c>
      <c r="C1081" t="s">
        <v>1393</v>
      </c>
      <c r="D1081" s="2">
        <v>46209.453576388885</v>
      </c>
      <c r="E1081" s="2">
        <f t="shared" si="27"/>
        <v>46209</v>
      </c>
      <c r="F1081" t="s">
        <v>1739</v>
      </c>
      <c r="G1081">
        <f>_xlfn.XLOOKUP(A1081,FTD!A:A,FTD!C:C)</f>
        <v>1250</v>
      </c>
      <c r="H1081" cm="1">
        <f t="array" ref="H1081">_xlfn.LET(
  _xlpm.s, TRIM(F1081),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81" t="str">
        <f>_xlfn.XLOOKUP(E1081,Calendar!C:C,Calendar!B:B)</f>
        <v>Working Day</v>
      </c>
    </row>
    <row r="1082" spans="1:9" x14ac:dyDescent="0.25">
      <c r="A1082" t="s">
        <v>1082</v>
      </c>
      <c r="B1082" t="s">
        <v>1387</v>
      </c>
      <c r="C1082" t="s">
        <v>1408</v>
      </c>
      <c r="D1082" s="2">
        <v>46219.722581018519</v>
      </c>
      <c r="E1082" s="2">
        <f t="shared" si="27"/>
        <v>46219</v>
      </c>
      <c r="F1082" t="s">
        <v>1738</v>
      </c>
      <c r="G1082">
        <f>_xlfn.XLOOKUP(A1082,FTD!A:A,FTD!C:C)</f>
        <v>5000</v>
      </c>
      <c r="H1082" cm="1">
        <f t="array" ref="H1082">_xlfn.LET(
  _xlpm.s, TRIM(F1082),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2" t="str">
        <f>_xlfn.XLOOKUP(E1082,Calendar!C:C,Calendar!B:B)</f>
        <v>Working Day</v>
      </c>
    </row>
    <row r="1083" spans="1:9" x14ac:dyDescent="0.25">
      <c r="A1083" t="s">
        <v>1083</v>
      </c>
      <c r="B1083" t="s">
        <v>1387</v>
      </c>
      <c r="C1083" t="s">
        <v>1406</v>
      </c>
      <c r="D1083" s="2">
        <v>46234.466770833329</v>
      </c>
      <c r="E1083" s="2">
        <f t="shared" si="27"/>
        <v>46234</v>
      </c>
      <c r="F1083" t="s">
        <v>1754</v>
      </c>
      <c r="G1083">
        <f>_xlfn.XLOOKUP(A1083,FTD!A:A,FTD!C:C)</f>
        <v>1000</v>
      </c>
      <c r="H1083" cm="1">
        <f t="array" ref="H1083">_xlfn.LET(
  _xlpm.s, TRIM(F1083),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83" t="str">
        <f>_xlfn.XLOOKUP(E1083,Calendar!C:C,Calendar!B:B)</f>
        <v>Working Day</v>
      </c>
    </row>
    <row r="1084" spans="1:9" x14ac:dyDescent="0.25">
      <c r="A1084" t="s">
        <v>1084</v>
      </c>
      <c r="B1084" t="s">
        <v>1387</v>
      </c>
      <c r="C1084" t="s">
        <v>1406</v>
      </c>
      <c r="D1084" s="2">
        <v>46233.475451388884</v>
      </c>
      <c r="E1084" s="2">
        <f t="shared" si="27"/>
        <v>46233</v>
      </c>
      <c r="F1084" t="s">
        <v>1738</v>
      </c>
      <c r="G1084">
        <f>_xlfn.XLOOKUP(A1084,FTD!A:A,FTD!C:C)</f>
        <v>60000</v>
      </c>
      <c r="H1084" cm="1">
        <f t="array" ref="H1084">_xlfn.LET(
  _xlpm.s, TRIM(F1084),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4" t="str">
        <f>_xlfn.XLOOKUP(E1084,Calendar!C:C,Calendar!B:B)</f>
        <v>Working Day</v>
      </c>
    </row>
    <row r="1085" spans="1:9" x14ac:dyDescent="0.25">
      <c r="A1085" t="s">
        <v>1085</v>
      </c>
      <c r="B1085" t="s">
        <v>1387</v>
      </c>
      <c r="C1085" t="s">
        <v>1406</v>
      </c>
      <c r="D1085" s="2">
        <v>46220.465127314812</v>
      </c>
      <c r="E1085" s="2">
        <f t="shared" si="27"/>
        <v>46220</v>
      </c>
      <c r="F1085" t="s">
        <v>1738</v>
      </c>
      <c r="G1085">
        <f>_xlfn.XLOOKUP(A1085,FTD!A:A,FTD!C:C)</f>
        <v>2000</v>
      </c>
      <c r="H1085" cm="1">
        <f t="array" ref="H1085">_xlfn.LET(
  _xlpm.s, TRIM(F1085),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5" t="str">
        <f>_xlfn.XLOOKUP(E1085,Calendar!C:C,Calendar!B:B)</f>
        <v>Working Day</v>
      </c>
    </row>
    <row r="1086" spans="1:9" x14ac:dyDescent="0.25">
      <c r="A1086" t="s">
        <v>1086</v>
      </c>
      <c r="B1086" t="s">
        <v>1387</v>
      </c>
      <c r="C1086" t="s">
        <v>1424</v>
      </c>
      <c r="D1086" s="2">
        <v>46220.577152777776</v>
      </c>
      <c r="E1086" s="2">
        <f t="shared" si="27"/>
        <v>46220</v>
      </c>
      <c r="F1086" t="s">
        <v>1741</v>
      </c>
      <c r="G1086">
        <f>_xlfn.XLOOKUP(A1086,FTD!A:A,FTD!C:C)</f>
        <v>100048</v>
      </c>
      <c r="H1086" cm="1">
        <f t="array" ref="H1086">_xlfn.LET(
  _xlpm.s, TRIM(F1086),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6" t="str">
        <f>_xlfn.XLOOKUP(E1086,Calendar!C:C,Calendar!B:B)</f>
        <v>Working Day</v>
      </c>
    </row>
    <row r="1087" spans="1:9" x14ac:dyDescent="0.25">
      <c r="A1087" t="s">
        <v>1087</v>
      </c>
      <c r="B1087" t="s">
        <v>1387</v>
      </c>
      <c r="C1087" t="s">
        <v>1412</v>
      </c>
      <c r="D1087" s="2">
        <v>46209.551863425921</v>
      </c>
      <c r="E1087" s="2">
        <f t="shared" si="27"/>
        <v>46209</v>
      </c>
      <c r="F1087" t="s">
        <v>1738</v>
      </c>
      <c r="G1087">
        <f>_xlfn.XLOOKUP(A1087,FTD!A:A,FTD!C:C)</f>
        <v>1000</v>
      </c>
      <c r="H1087" cm="1">
        <f t="array" ref="H1087">_xlfn.LET(
  _xlpm.s, TRIM(F1087),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7" t="str">
        <f>_xlfn.XLOOKUP(E1087,Calendar!C:C,Calendar!B:B)</f>
        <v>Working Day</v>
      </c>
    </row>
    <row r="1088" spans="1:9" x14ac:dyDescent="0.25">
      <c r="A1088" t="s">
        <v>1088</v>
      </c>
      <c r="B1088" t="s">
        <v>1387</v>
      </c>
      <c r="C1088" t="s">
        <v>1413</v>
      </c>
      <c r="D1088" s="2">
        <v>46232.416041666664</v>
      </c>
      <c r="E1088" s="2">
        <f t="shared" si="27"/>
        <v>46232</v>
      </c>
      <c r="F1088" t="s">
        <v>1759</v>
      </c>
      <c r="G1088">
        <f>_xlfn.XLOOKUP(A1088,FTD!A:A,FTD!C:C)</f>
        <v>1000</v>
      </c>
      <c r="H1088" cm="1">
        <f t="array" ref="H1088">_xlfn.LET(
  _xlpm.s, TRIM(F1088),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88" t="str">
        <f>_xlfn.XLOOKUP(E1088,Calendar!C:C,Calendar!B:B)</f>
        <v>Working Day</v>
      </c>
    </row>
    <row r="1089" spans="1:9" x14ac:dyDescent="0.25">
      <c r="A1089" t="s">
        <v>1089</v>
      </c>
      <c r="B1089" t="s">
        <v>1387</v>
      </c>
      <c r="C1089" t="s">
        <v>1391</v>
      </c>
      <c r="D1089" s="2">
        <v>46227.43577546296</v>
      </c>
      <c r="E1089" s="2">
        <f t="shared" si="27"/>
        <v>46227</v>
      </c>
      <c r="F1089" t="s">
        <v>1743</v>
      </c>
      <c r="G1089">
        <f>_xlfn.XLOOKUP(A1089,FTD!A:A,FTD!C:C)</f>
        <v>1000</v>
      </c>
      <c r="H1089" cm="1">
        <f t="array" ref="H1089">_xlfn.LET(
  _xlpm.s, TRIM(F1089),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89" t="str">
        <f>_xlfn.XLOOKUP(E1089,Calendar!C:C,Calendar!B:B)</f>
        <v>Working Day</v>
      </c>
    </row>
    <row r="1090" spans="1:9" x14ac:dyDescent="0.25">
      <c r="A1090" t="s">
        <v>1090</v>
      </c>
      <c r="B1090" t="s">
        <v>1387</v>
      </c>
      <c r="C1090" t="s">
        <v>1409</v>
      </c>
      <c r="D1090" s="2">
        <v>46213.779432870368</v>
      </c>
      <c r="E1090" s="2">
        <f t="shared" si="27"/>
        <v>46213</v>
      </c>
      <c r="F1090" t="s">
        <v>1744</v>
      </c>
      <c r="G1090">
        <f>_xlfn.XLOOKUP(A1090,FTD!A:A,FTD!C:C)</f>
        <v>1000</v>
      </c>
      <c r="H1090" cm="1">
        <f t="array" ref="H1090">_xlfn.LET(
  _xlpm.s, TRIM(F1090),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0" t="str">
        <f>_xlfn.XLOOKUP(E1090,Calendar!C:C,Calendar!B:B)</f>
        <v>Working Day</v>
      </c>
    </row>
    <row r="1091" spans="1:9" x14ac:dyDescent="0.25">
      <c r="A1091" t="s">
        <v>1091</v>
      </c>
      <c r="B1091" t="s">
        <v>1387</v>
      </c>
      <c r="C1091" t="s">
        <v>1434</v>
      </c>
      <c r="D1091" s="2">
        <v>46209.390300925923</v>
      </c>
      <c r="E1091" s="2">
        <f t="shared" ref="E1091:E1154" si="28">INT(D1091)</f>
        <v>46209</v>
      </c>
      <c r="F1091" t="s">
        <v>1738</v>
      </c>
      <c r="G1091">
        <f>_xlfn.XLOOKUP(A1091,FTD!A:A,FTD!C:C)</f>
        <v>3000</v>
      </c>
      <c r="H1091" cm="1">
        <f t="array" ref="H1091">_xlfn.LET(
  _xlpm.s, TRIM(F1091),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1" t="str">
        <f>_xlfn.XLOOKUP(E1091,Calendar!C:C,Calendar!B:B)</f>
        <v>Working Day</v>
      </c>
    </row>
    <row r="1092" spans="1:9" x14ac:dyDescent="0.25">
      <c r="A1092" t="s">
        <v>1092</v>
      </c>
      <c r="B1092" t="s">
        <v>1387</v>
      </c>
      <c r="C1092" t="s">
        <v>1398</v>
      </c>
      <c r="D1092" s="2">
        <v>46208.178020833329</v>
      </c>
      <c r="E1092" s="2">
        <f t="shared" si="28"/>
        <v>46208</v>
      </c>
      <c r="F1092" t="s">
        <v>1738</v>
      </c>
      <c r="G1092">
        <f>_xlfn.XLOOKUP(A1092,FTD!A:A,FTD!C:C)</f>
        <v>2000</v>
      </c>
      <c r="H1092" cm="1">
        <f t="array" ref="H1092">_xlfn.LET(
  _xlpm.s, TRIM(F1092),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2" t="str">
        <f>_xlfn.XLOOKUP(E1092,Calendar!C:C,Calendar!B:B)</f>
        <v>Sunday</v>
      </c>
    </row>
    <row r="1093" spans="1:9" x14ac:dyDescent="0.25">
      <c r="A1093" t="s">
        <v>1093</v>
      </c>
      <c r="B1093" t="s">
        <v>1387</v>
      </c>
      <c r="C1093" t="s">
        <v>1399</v>
      </c>
      <c r="D1093" s="2">
        <v>46206.453483796293</v>
      </c>
      <c r="E1093" s="2">
        <f t="shared" si="28"/>
        <v>46206</v>
      </c>
      <c r="F1093" t="s">
        <v>1738</v>
      </c>
      <c r="G1093">
        <f>_xlfn.XLOOKUP(A1093,FTD!A:A,FTD!C:C)</f>
        <v>2000</v>
      </c>
      <c r="H1093" cm="1">
        <f t="array" ref="H1093">_xlfn.LET(
  _xlpm.s, TRIM(F1093),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3" t="str">
        <f>_xlfn.XLOOKUP(E1093,Calendar!C:C,Calendar!B:B)</f>
        <v>Working Day</v>
      </c>
    </row>
    <row r="1094" spans="1:9" x14ac:dyDescent="0.25">
      <c r="A1094" t="s">
        <v>1094</v>
      </c>
      <c r="B1094" t="s">
        <v>1387</v>
      </c>
      <c r="C1094" t="s">
        <v>1392</v>
      </c>
      <c r="D1094" s="2">
        <v>46204.422685185185</v>
      </c>
      <c r="E1094" s="2">
        <f t="shared" si="28"/>
        <v>46204</v>
      </c>
      <c r="F1094" t="s">
        <v>1746</v>
      </c>
      <c r="G1094">
        <f>_xlfn.XLOOKUP(A1094,FTD!A:A,FTD!C:C)</f>
        <v>5000</v>
      </c>
      <c r="H1094" cm="1">
        <f t="array" ref="H1094">_xlfn.LET(
  _xlpm.s, TRIM(F1094),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094" t="str">
        <f>_xlfn.XLOOKUP(E1094,Calendar!C:C,Calendar!B:B)</f>
        <v>Working Day</v>
      </c>
    </row>
    <row r="1095" spans="1:9" x14ac:dyDescent="0.25">
      <c r="A1095" t="s">
        <v>1095</v>
      </c>
      <c r="B1095" t="s">
        <v>1387</v>
      </c>
      <c r="C1095" t="s">
        <v>1389</v>
      </c>
      <c r="D1095" s="2">
        <v>46231.645196759258</v>
      </c>
      <c r="E1095" s="2">
        <f t="shared" si="28"/>
        <v>46231</v>
      </c>
      <c r="F1095" t="s">
        <v>1744</v>
      </c>
      <c r="G1095">
        <f>_xlfn.XLOOKUP(A1095,FTD!A:A,FTD!C:C)</f>
        <v>2000</v>
      </c>
      <c r="H1095" cm="1">
        <f t="array" ref="H1095">_xlfn.LET(
  _xlpm.s, TRIM(F1095),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5" t="str">
        <f>_xlfn.XLOOKUP(E1095,Calendar!C:C,Calendar!B:B)</f>
        <v>Working Day</v>
      </c>
    </row>
    <row r="1096" spans="1:9" x14ac:dyDescent="0.25">
      <c r="A1096" t="s">
        <v>1096</v>
      </c>
      <c r="B1096" t="s">
        <v>1387</v>
      </c>
      <c r="C1096" t="s">
        <v>1408</v>
      </c>
      <c r="D1096" s="2">
        <v>46224.969409722224</v>
      </c>
      <c r="E1096" s="2">
        <f t="shared" si="28"/>
        <v>46224</v>
      </c>
      <c r="F1096" t="s">
        <v>1738</v>
      </c>
      <c r="G1096">
        <f>_xlfn.XLOOKUP(A1096,FTD!A:A,FTD!C:C)</f>
        <v>6000</v>
      </c>
      <c r="H1096" cm="1">
        <f t="array" ref="H1096">_xlfn.LET(
  _xlpm.s, TRIM(F1096),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096" t="str">
        <f>_xlfn.XLOOKUP(E1096,Calendar!C:C,Calendar!B:B)</f>
        <v>Working Day</v>
      </c>
    </row>
    <row r="1097" spans="1:9" x14ac:dyDescent="0.25">
      <c r="A1097" t="s">
        <v>1097</v>
      </c>
      <c r="B1097" t="s">
        <v>1387</v>
      </c>
      <c r="C1097" t="s">
        <v>1392</v>
      </c>
      <c r="D1097" s="2">
        <v>46233.565972222219</v>
      </c>
      <c r="E1097" s="2">
        <f t="shared" si="28"/>
        <v>46233</v>
      </c>
      <c r="F1097" t="s">
        <v>1745</v>
      </c>
      <c r="G1097">
        <f>_xlfn.XLOOKUP(A1097,FTD!A:A,FTD!C:C)</f>
        <v>1001</v>
      </c>
      <c r="H1097" cm="1">
        <f t="array" ref="H1097">_xlfn.LET(
  _xlpm.s, TRIM(F1097),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97" t="str">
        <f>_xlfn.XLOOKUP(E1097,Calendar!C:C,Calendar!B:B)</f>
        <v>Working Day</v>
      </c>
    </row>
    <row r="1098" spans="1:9" x14ac:dyDescent="0.25">
      <c r="A1098" t="s">
        <v>1098</v>
      </c>
      <c r="B1098" t="s">
        <v>1387</v>
      </c>
      <c r="C1098" t="s">
        <v>1400</v>
      </c>
      <c r="D1098" s="2">
        <v>46223.585150462961</v>
      </c>
      <c r="E1098" s="2">
        <f t="shared" si="28"/>
        <v>46223</v>
      </c>
      <c r="F1098" t="s">
        <v>1745</v>
      </c>
      <c r="G1098">
        <f>_xlfn.XLOOKUP(A1098,FTD!A:A,FTD!C:C)</f>
        <v>1000</v>
      </c>
      <c r="H1098" cm="1">
        <f t="array" ref="H1098">_xlfn.LET(
  _xlpm.s, TRIM(F1098),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98" t="str">
        <f>_xlfn.XLOOKUP(E1098,Calendar!C:C,Calendar!B:B)</f>
        <v>Working Day</v>
      </c>
    </row>
    <row r="1099" spans="1:9" x14ac:dyDescent="0.25">
      <c r="A1099" t="s">
        <v>1099</v>
      </c>
      <c r="B1099" t="s">
        <v>1387</v>
      </c>
      <c r="C1099" t="s">
        <v>1417</v>
      </c>
      <c r="D1099" s="2">
        <v>46213.821064814816</v>
      </c>
      <c r="E1099" s="2">
        <f t="shared" si="28"/>
        <v>46213</v>
      </c>
      <c r="F1099" t="s">
        <v>1745</v>
      </c>
      <c r="G1099">
        <f>_xlfn.XLOOKUP(A1099,FTD!A:A,FTD!C:C)</f>
        <v>1000</v>
      </c>
      <c r="H1099" cm="1">
        <f t="array" ref="H1099">_xlfn.LET(
  _xlpm.s, TRIM(F1099),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099" t="str">
        <f>_xlfn.XLOOKUP(E1099,Calendar!C:C,Calendar!B:B)</f>
        <v>Working Day</v>
      </c>
    </row>
    <row r="1100" spans="1:9" x14ac:dyDescent="0.25">
      <c r="A1100" t="s">
        <v>1100</v>
      </c>
      <c r="B1100" t="s">
        <v>1387</v>
      </c>
      <c r="C1100" t="s">
        <v>1412</v>
      </c>
      <c r="D1100" s="2">
        <v>46209.389108796291</v>
      </c>
      <c r="E1100" s="2">
        <f t="shared" si="28"/>
        <v>46209</v>
      </c>
      <c r="F1100" t="s">
        <v>1738</v>
      </c>
      <c r="G1100">
        <f>_xlfn.XLOOKUP(A1100,FTD!A:A,FTD!C:C)</f>
        <v>3500</v>
      </c>
      <c r="H1100" cm="1">
        <f t="array" ref="H1100">_xlfn.LET(
  _xlpm.s, TRIM(F1100),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0" t="str">
        <f>_xlfn.XLOOKUP(E1100,Calendar!C:C,Calendar!B:B)</f>
        <v>Working Day</v>
      </c>
    </row>
    <row r="1101" spans="1:9" x14ac:dyDescent="0.25">
      <c r="A1101" t="s">
        <v>1101</v>
      </c>
      <c r="B1101" t="s">
        <v>1387</v>
      </c>
      <c r="C1101" t="s">
        <v>1436</v>
      </c>
      <c r="D1101" s="2">
        <v>46212.711400462962</v>
      </c>
      <c r="E1101" s="2">
        <f t="shared" si="28"/>
        <v>46212</v>
      </c>
      <c r="F1101" t="s">
        <v>1739</v>
      </c>
      <c r="G1101">
        <f>_xlfn.XLOOKUP(A1101,FTD!A:A,FTD!C:C)</f>
        <v>1000</v>
      </c>
      <c r="H1101" cm="1">
        <f t="array" ref="H1101">_xlfn.LET(
  _xlpm.s, TRIM(F1101),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01" t="str">
        <f>_xlfn.XLOOKUP(E1101,Calendar!C:C,Calendar!B:B)</f>
        <v>Working Day</v>
      </c>
    </row>
    <row r="1102" spans="1:9" x14ac:dyDescent="0.25">
      <c r="A1102" t="s">
        <v>399</v>
      </c>
      <c r="B1102" t="s">
        <v>1387</v>
      </c>
      <c r="C1102" t="s">
        <v>1396</v>
      </c>
      <c r="D1102" s="2">
        <v>46226.495775462958</v>
      </c>
      <c r="E1102" s="2">
        <f t="shared" si="28"/>
        <v>46226</v>
      </c>
      <c r="F1102" t="s">
        <v>1743</v>
      </c>
      <c r="G1102">
        <f>_xlfn.XLOOKUP(A1102,FTD!A:A,FTD!C:C)</f>
        <v>1000</v>
      </c>
      <c r="H1102" cm="1">
        <f t="array" ref="H1102">_xlfn.LET(
  _xlpm.s, TRIM(F1102),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2" t="str">
        <f>_xlfn.XLOOKUP(E1102,Calendar!C:C,Calendar!B:B)</f>
        <v>Working Day</v>
      </c>
    </row>
    <row r="1103" spans="1:9" x14ac:dyDescent="0.25">
      <c r="A1103" t="s">
        <v>1102</v>
      </c>
      <c r="B1103" t="s">
        <v>1384</v>
      </c>
      <c r="C1103" t="s">
        <v>1397</v>
      </c>
      <c r="D1103" s="2">
        <v>46210.385624999995</v>
      </c>
      <c r="E1103" s="2">
        <f t="shared" si="28"/>
        <v>46210</v>
      </c>
      <c r="F1103" t="s">
        <v>1740</v>
      </c>
      <c r="G1103">
        <f>_xlfn.XLOOKUP(A1103,FTD!A:A,FTD!C:C)</f>
        <v>1</v>
      </c>
      <c r="H1103" cm="1">
        <f t="array" ref="H1103">_xlfn.LET(
  _xlpm.s, TRIM(F1103),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03" t="str">
        <f>_xlfn.XLOOKUP(E1103,Calendar!C:C,Calendar!B:B)</f>
        <v>Working Day</v>
      </c>
    </row>
    <row r="1104" spans="1:9" x14ac:dyDescent="0.25">
      <c r="A1104" t="s">
        <v>1103</v>
      </c>
      <c r="B1104" t="s">
        <v>1384</v>
      </c>
      <c r="C1104" t="s">
        <v>1391</v>
      </c>
      <c r="D1104" s="2">
        <v>46219.68886574074</v>
      </c>
      <c r="E1104" s="2">
        <f t="shared" si="28"/>
        <v>46219</v>
      </c>
      <c r="F1104" t="s">
        <v>1738</v>
      </c>
      <c r="G1104">
        <f>_xlfn.XLOOKUP(A1104,FTD!A:A,FTD!C:C)</f>
        <v>1572</v>
      </c>
      <c r="H1104" cm="1">
        <f t="array" ref="H1104">_xlfn.LET(
  _xlpm.s, TRIM(F1104),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4" t="str">
        <f>_xlfn.XLOOKUP(E1104,Calendar!C:C,Calendar!B:B)</f>
        <v>Working Day</v>
      </c>
    </row>
    <row r="1105" spans="1:9" x14ac:dyDescent="0.25">
      <c r="A1105" t="s">
        <v>1104</v>
      </c>
      <c r="B1105" t="s">
        <v>1384</v>
      </c>
      <c r="C1105" t="s">
        <v>1412</v>
      </c>
      <c r="D1105" s="2">
        <v>46233.917384259257</v>
      </c>
      <c r="E1105" s="2">
        <f t="shared" si="28"/>
        <v>46233</v>
      </c>
      <c r="F1105" t="s">
        <v>1741</v>
      </c>
      <c r="G1105">
        <f>_xlfn.XLOOKUP(A1105,FTD!A:A,FTD!C:C)</f>
        <v>5000</v>
      </c>
      <c r="H1105" cm="1">
        <f t="array" ref="H1105">_xlfn.LET(
  _xlpm.s, TRIM(F1105),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5" t="str">
        <f>_xlfn.XLOOKUP(E1105,Calendar!C:C,Calendar!B:B)</f>
        <v>Working Day</v>
      </c>
    </row>
    <row r="1106" spans="1:9" x14ac:dyDescent="0.25">
      <c r="A1106" t="s">
        <v>1105</v>
      </c>
      <c r="B1106" t="s">
        <v>1384</v>
      </c>
      <c r="C1106" t="s">
        <v>1396</v>
      </c>
      <c r="D1106" s="2">
        <v>46211.919432870367</v>
      </c>
      <c r="E1106" s="2">
        <f t="shared" si="28"/>
        <v>46211</v>
      </c>
      <c r="F1106" t="s">
        <v>1767</v>
      </c>
      <c r="G1106">
        <f>_xlfn.XLOOKUP(A1106,FTD!A:A,FTD!C:C)</f>
        <v>5000</v>
      </c>
      <c r="H1106" cm="1">
        <f t="array" ref="H1106">_xlfn.LET(
  _xlpm.s, TRIM(F1106),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06" t="str">
        <f>_xlfn.XLOOKUP(E1106,Calendar!C:C,Calendar!B:B)</f>
        <v>Working Day</v>
      </c>
    </row>
    <row r="1107" spans="1:9" x14ac:dyDescent="0.25">
      <c r="A1107" t="s">
        <v>1106</v>
      </c>
      <c r="B1107" t="s">
        <v>1384</v>
      </c>
      <c r="C1107" t="s">
        <v>1421</v>
      </c>
      <c r="D1107" s="2">
        <v>46231.628842592589</v>
      </c>
      <c r="E1107" s="2">
        <f t="shared" si="28"/>
        <v>46231</v>
      </c>
      <c r="F1107" t="s">
        <v>1758</v>
      </c>
      <c r="G1107">
        <f>_xlfn.XLOOKUP(A1107,FTD!A:A,FTD!C:C)</f>
        <v>1000</v>
      </c>
      <c r="H1107" cm="1">
        <f t="array" ref="H1107">_xlfn.LET(
  _xlpm.s, TRIM(F1107),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7" t="str">
        <f>_xlfn.XLOOKUP(E1107,Calendar!C:C,Calendar!B:B)</f>
        <v>Working Day</v>
      </c>
    </row>
    <row r="1108" spans="1:9" x14ac:dyDescent="0.25">
      <c r="A1108" t="s">
        <v>1107</v>
      </c>
      <c r="B1108" t="s">
        <v>1387</v>
      </c>
      <c r="C1108" t="s">
        <v>1433</v>
      </c>
      <c r="D1108" s="2">
        <v>46213.388067129628</v>
      </c>
      <c r="E1108" s="2">
        <f t="shared" si="28"/>
        <v>46213</v>
      </c>
      <c r="F1108" t="s">
        <v>1745</v>
      </c>
      <c r="G1108">
        <f>_xlfn.XLOOKUP(A1108,FTD!A:A,FTD!C:C)</f>
        <v>5000</v>
      </c>
      <c r="H1108" cm="1">
        <f t="array" ref="H1108">_xlfn.LET(
  _xlpm.s, TRIM(F1108),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08" t="str">
        <f>_xlfn.XLOOKUP(E1108,Calendar!C:C,Calendar!B:B)</f>
        <v>Working Day</v>
      </c>
    </row>
    <row r="1109" spans="1:9" x14ac:dyDescent="0.25">
      <c r="A1109" t="s">
        <v>1108</v>
      </c>
      <c r="B1109" t="s">
        <v>1387</v>
      </c>
      <c r="C1109" t="s">
        <v>1428</v>
      </c>
      <c r="D1109" s="2">
        <v>46208.497581018513</v>
      </c>
      <c r="E1109" s="2">
        <f t="shared" si="28"/>
        <v>46208</v>
      </c>
      <c r="F1109" t="s">
        <v>1738</v>
      </c>
      <c r="G1109">
        <f>_xlfn.XLOOKUP(A1109,FTD!A:A,FTD!C:C)</f>
        <v>2000</v>
      </c>
      <c r="H1109" cm="1">
        <f t="array" ref="H1109">_xlfn.LET(
  _xlpm.s, TRIM(F1109),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09" t="str">
        <f>_xlfn.XLOOKUP(E1109,Calendar!C:C,Calendar!B:B)</f>
        <v>Sunday</v>
      </c>
    </row>
    <row r="1110" spans="1:9" x14ac:dyDescent="0.25">
      <c r="A1110" t="s">
        <v>1109</v>
      </c>
      <c r="B1110" t="s">
        <v>1387</v>
      </c>
      <c r="C1110" t="s">
        <v>1408</v>
      </c>
      <c r="D1110" s="2">
        <v>46209.409537037034</v>
      </c>
      <c r="E1110" s="2">
        <f t="shared" si="28"/>
        <v>46209</v>
      </c>
      <c r="F1110" t="s">
        <v>1738</v>
      </c>
      <c r="G1110">
        <f>_xlfn.XLOOKUP(A1110,FTD!A:A,FTD!C:C)</f>
        <v>1000</v>
      </c>
      <c r="H1110" cm="1">
        <f t="array" ref="H1110">_xlfn.LET(
  _xlpm.s, TRIM(F1110),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0" t="str">
        <f>_xlfn.XLOOKUP(E1110,Calendar!C:C,Calendar!B:B)</f>
        <v>Working Day</v>
      </c>
    </row>
    <row r="1111" spans="1:9" x14ac:dyDescent="0.25">
      <c r="A1111" t="s">
        <v>1110</v>
      </c>
      <c r="B1111" t="s">
        <v>1387</v>
      </c>
      <c r="C1111" t="s">
        <v>1396</v>
      </c>
      <c r="D1111" s="2">
        <v>46206.607789351852</v>
      </c>
      <c r="E1111" s="2">
        <f t="shared" si="28"/>
        <v>46206</v>
      </c>
      <c r="F1111" t="s">
        <v>1743</v>
      </c>
      <c r="G1111">
        <f>_xlfn.XLOOKUP(A1111,FTD!A:A,FTD!C:C)</f>
        <v>1000</v>
      </c>
      <c r="H1111" cm="1">
        <f t="array" ref="H1111">_xlfn.LET(
  _xlpm.s, TRIM(F1111),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1" t="str">
        <f>_xlfn.XLOOKUP(E1111,Calendar!C:C,Calendar!B:B)</f>
        <v>Working Day</v>
      </c>
    </row>
    <row r="1112" spans="1:9" x14ac:dyDescent="0.25">
      <c r="A1112" t="s">
        <v>1111</v>
      </c>
      <c r="B1112" t="s">
        <v>1387</v>
      </c>
      <c r="C1112" t="s">
        <v>1399</v>
      </c>
      <c r="D1112" s="2">
        <v>46210.501712962963</v>
      </c>
      <c r="E1112" s="2">
        <f t="shared" si="28"/>
        <v>46210</v>
      </c>
      <c r="F1112" t="s">
        <v>1738</v>
      </c>
      <c r="G1112">
        <f>_xlfn.XLOOKUP(A1112,FTD!A:A,FTD!C:C)</f>
        <v>2500</v>
      </c>
      <c r="H1112" cm="1">
        <f t="array" ref="H1112">_xlfn.LET(
  _xlpm.s, TRIM(F1112),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2" t="str">
        <f>_xlfn.XLOOKUP(E1112,Calendar!C:C,Calendar!B:B)</f>
        <v>Working Day</v>
      </c>
    </row>
    <row r="1113" spans="1:9" x14ac:dyDescent="0.25">
      <c r="A1113" t="s">
        <v>1112</v>
      </c>
      <c r="B1113" t="s">
        <v>1387</v>
      </c>
      <c r="C1113" t="s">
        <v>1408</v>
      </c>
      <c r="D1113" s="2">
        <v>46221.454004629624</v>
      </c>
      <c r="E1113" s="2">
        <f t="shared" si="28"/>
        <v>46221</v>
      </c>
      <c r="F1113" t="s">
        <v>1738</v>
      </c>
      <c r="G1113">
        <f>_xlfn.XLOOKUP(A1113,FTD!A:A,FTD!C:C)</f>
        <v>1000</v>
      </c>
      <c r="H1113" cm="1">
        <f t="array" ref="H1113">_xlfn.LET(
  _xlpm.s, TRIM(F1113),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3" t="str">
        <f>_xlfn.XLOOKUP(E1113,Calendar!C:C,Calendar!B:B)</f>
        <v>Saturday</v>
      </c>
    </row>
    <row r="1114" spans="1:9" x14ac:dyDescent="0.25">
      <c r="A1114" t="s">
        <v>1113</v>
      </c>
      <c r="B1114" t="s">
        <v>1387</v>
      </c>
      <c r="C1114" t="s">
        <v>1437</v>
      </c>
      <c r="D1114" s="2">
        <v>46225.996689814812</v>
      </c>
      <c r="E1114" s="2">
        <f t="shared" si="28"/>
        <v>46225</v>
      </c>
      <c r="F1114" t="s">
        <v>1738</v>
      </c>
      <c r="G1114">
        <f>_xlfn.XLOOKUP(A1114,FTD!A:A,FTD!C:C)</f>
        <v>1000</v>
      </c>
      <c r="H1114" cm="1">
        <f t="array" ref="H1114">_xlfn.LET(
  _xlpm.s, TRIM(F1114),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4" t="str">
        <f>_xlfn.XLOOKUP(E1114,Calendar!C:C,Calendar!B:B)</f>
        <v>Working Day</v>
      </c>
    </row>
    <row r="1115" spans="1:9" x14ac:dyDescent="0.25">
      <c r="A1115" t="s">
        <v>1114</v>
      </c>
      <c r="B1115" t="s">
        <v>1384</v>
      </c>
      <c r="C1115" t="s">
        <v>1401</v>
      </c>
      <c r="D1115" s="2">
        <v>46210.537106481483</v>
      </c>
      <c r="E1115" s="2">
        <f t="shared" si="28"/>
        <v>46210</v>
      </c>
      <c r="F1115" t="s">
        <v>1740</v>
      </c>
      <c r="G1115">
        <f>_xlfn.XLOOKUP(A1115,FTD!A:A,FTD!C:C)</f>
        <v>228</v>
      </c>
      <c r="H1115" cm="1">
        <f t="array" ref="H1115">_xlfn.LET(
  _xlpm.s, TRIM(F1115),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15" t="str">
        <f>_xlfn.XLOOKUP(E1115,Calendar!C:C,Calendar!B:B)</f>
        <v>Working Day</v>
      </c>
    </row>
    <row r="1116" spans="1:9" x14ac:dyDescent="0.25">
      <c r="A1116" t="s">
        <v>1115</v>
      </c>
      <c r="B1116" t="s">
        <v>1384</v>
      </c>
      <c r="C1116" t="s">
        <v>1428</v>
      </c>
      <c r="D1116" s="2">
        <v>46225.515682870369</v>
      </c>
      <c r="E1116" s="2">
        <f t="shared" si="28"/>
        <v>46225</v>
      </c>
      <c r="F1116" t="s">
        <v>1738</v>
      </c>
      <c r="G1116">
        <f>_xlfn.XLOOKUP(A1116,FTD!A:A,FTD!C:C)</f>
        <v>500</v>
      </c>
      <c r="H1116" cm="1">
        <f t="array" ref="H1116">_xlfn.LET(
  _xlpm.s, TRIM(F1116),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6" t="str">
        <f>_xlfn.XLOOKUP(E1116,Calendar!C:C,Calendar!B:B)</f>
        <v>Working Day</v>
      </c>
    </row>
    <row r="1117" spans="1:9" x14ac:dyDescent="0.25">
      <c r="A1117" t="s">
        <v>1116</v>
      </c>
      <c r="B1117" t="s">
        <v>1387</v>
      </c>
      <c r="C1117" t="s">
        <v>1398</v>
      </c>
      <c r="D1117" s="2">
        <v>46222.578888888886</v>
      </c>
      <c r="E1117" s="2">
        <f t="shared" si="28"/>
        <v>46222</v>
      </c>
      <c r="F1117" t="s">
        <v>1738</v>
      </c>
      <c r="G1117">
        <f>_xlfn.XLOOKUP(A1117,FTD!A:A,FTD!C:C)</f>
        <v>1000</v>
      </c>
      <c r="H1117" cm="1">
        <f t="array" ref="H1117">_xlfn.LET(
  _xlpm.s, TRIM(F1117),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17" t="str">
        <f>_xlfn.XLOOKUP(E1117,Calendar!C:C,Calendar!B:B)</f>
        <v>Sunday</v>
      </c>
    </row>
    <row r="1118" spans="1:9" x14ac:dyDescent="0.25">
      <c r="A1118" t="s">
        <v>1117</v>
      </c>
      <c r="B1118" t="s">
        <v>1387</v>
      </c>
      <c r="C1118" t="s">
        <v>1389</v>
      </c>
      <c r="D1118" s="2">
        <v>46220.573368055557</v>
      </c>
      <c r="E1118" s="2">
        <f t="shared" si="28"/>
        <v>46220</v>
      </c>
      <c r="F1118" t="s">
        <v>1752</v>
      </c>
      <c r="G1118">
        <f>_xlfn.XLOOKUP(A1118,FTD!A:A,FTD!C:C)</f>
        <v>1000</v>
      </c>
      <c r="H1118" cm="1">
        <f t="array" ref="H1118">_xlfn.LET(
  _xlpm.s, TRIM(F1118),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18" t="str">
        <f>_xlfn.XLOOKUP(E1118,Calendar!C:C,Calendar!B:B)</f>
        <v>Working Day</v>
      </c>
    </row>
    <row r="1119" spans="1:9" x14ac:dyDescent="0.25">
      <c r="A1119" t="s">
        <v>1118</v>
      </c>
      <c r="B1119" t="s">
        <v>1387</v>
      </c>
      <c r="C1119" t="s">
        <v>1436</v>
      </c>
      <c r="D1119" s="2">
        <v>46220.792638888888</v>
      </c>
      <c r="E1119" s="2">
        <f t="shared" si="28"/>
        <v>46220</v>
      </c>
      <c r="F1119" t="s">
        <v>1739</v>
      </c>
      <c r="G1119">
        <f>_xlfn.XLOOKUP(A1119,FTD!A:A,FTD!C:C)</f>
        <v>1000</v>
      </c>
      <c r="H1119" cm="1">
        <f t="array" ref="H1119">_xlfn.LET(
  _xlpm.s, TRIM(F1119),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19" t="str">
        <f>_xlfn.XLOOKUP(E1119,Calendar!C:C,Calendar!B:B)</f>
        <v>Working Day</v>
      </c>
    </row>
    <row r="1120" spans="1:9" x14ac:dyDescent="0.25">
      <c r="A1120" t="s">
        <v>1119</v>
      </c>
      <c r="B1120" t="s">
        <v>1387</v>
      </c>
      <c r="C1120" t="s">
        <v>1432</v>
      </c>
      <c r="D1120" s="2">
        <v>46219.572442129625</v>
      </c>
      <c r="E1120" s="2">
        <f t="shared" si="28"/>
        <v>46219</v>
      </c>
      <c r="F1120" t="s">
        <v>1738</v>
      </c>
      <c r="G1120">
        <f>_xlfn.XLOOKUP(A1120,FTD!A:A,FTD!C:C)</f>
        <v>1000</v>
      </c>
      <c r="H1120" cm="1">
        <f t="array" ref="H1120">_xlfn.LET(
  _xlpm.s, TRIM(F1120),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20" t="str">
        <f>_xlfn.XLOOKUP(E1120,Calendar!C:C,Calendar!B:B)</f>
        <v>Working Day</v>
      </c>
    </row>
    <row r="1121" spans="1:9" x14ac:dyDescent="0.25">
      <c r="A1121" t="s">
        <v>1120</v>
      </c>
      <c r="B1121" t="s">
        <v>1384</v>
      </c>
      <c r="C1121" t="s">
        <v>1406</v>
      </c>
      <c r="D1121" s="2">
        <v>46223.636180555557</v>
      </c>
      <c r="E1121" s="2">
        <f t="shared" si="28"/>
        <v>46223</v>
      </c>
      <c r="F1121" t="s">
        <v>1739</v>
      </c>
      <c r="G1121">
        <f>_xlfn.XLOOKUP(A1121,FTD!A:A,FTD!C:C)</f>
        <v>800</v>
      </c>
      <c r="H1121" cm="1">
        <f t="array" ref="H1121">_xlfn.LET(
  _xlpm.s, TRIM(F1121),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21" t="str">
        <f>_xlfn.XLOOKUP(E1121,Calendar!C:C,Calendar!B:B)</f>
        <v>Working Day</v>
      </c>
    </row>
    <row r="1122" spans="1:9" x14ac:dyDescent="0.25">
      <c r="A1122" t="s">
        <v>1121</v>
      </c>
      <c r="B1122" t="s">
        <v>1384</v>
      </c>
      <c r="C1122" t="s">
        <v>1436</v>
      </c>
      <c r="D1122" s="2">
        <v>46234.416886574072</v>
      </c>
      <c r="E1122" s="2">
        <f t="shared" si="28"/>
        <v>46234</v>
      </c>
      <c r="F1122" t="s">
        <v>1741</v>
      </c>
      <c r="G1122">
        <f>_xlfn.XLOOKUP(A1122,FTD!A:A,FTD!C:C)</f>
        <v>791</v>
      </c>
      <c r="H1122" cm="1">
        <f t="array" ref="H1122">_xlfn.LET(
  _xlpm.s, TRIM(F1122),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22" t="str">
        <f>_xlfn.XLOOKUP(E1122,Calendar!C:C,Calendar!B:B)</f>
        <v>Working Day</v>
      </c>
    </row>
    <row r="1123" spans="1:9" x14ac:dyDescent="0.25">
      <c r="A1123" t="s">
        <v>1122</v>
      </c>
      <c r="B1123" t="s">
        <v>1384</v>
      </c>
      <c r="C1123" t="s">
        <v>1410</v>
      </c>
      <c r="D1123" s="2">
        <v>46220.744444444441</v>
      </c>
      <c r="E1123" s="2">
        <f t="shared" si="28"/>
        <v>46220</v>
      </c>
      <c r="F1123" t="s">
        <v>1706</v>
      </c>
      <c r="G1123">
        <f>_xlfn.XLOOKUP(A1123,FTD!A:A,FTD!C:C)</f>
        <v>622</v>
      </c>
      <c r="H1123" cm="1">
        <f t="array" ref="H1123">_xlfn.LET(
  _xlpm.s, TRIM(F1123),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23" t="str">
        <f>_xlfn.XLOOKUP(E1123,Calendar!C:C,Calendar!B:B)</f>
        <v>Working Day</v>
      </c>
    </row>
    <row r="1124" spans="1:9" x14ac:dyDescent="0.25">
      <c r="A1124" t="s">
        <v>1123</v>
      </c>
      <c r="B1124" t="s">
        <v>1387</v>
      </c>
      <c r="C1124" t="s">
        <v>1397</v>
      </c>
      <c r="D1124" s="2">
        <v>46230.584629629629</v>
      </c>
      <c r="E1124" s="2">
        <f t="shared" si="28"/>
        <v>46230</v>
      </c>
      <c r="F1124" t="s">
        <v>1739</v>
      </c>
      <c r="G1124">
        <f>_xlfn.XLOOKUP(A1124,FTD!A:A,FTD!C:C)</f>
        <v>12000</v>
      </c>
      <c r="H1124" cm="1">
        <f t="array" ref="H1124">_xlfn.LET(
  _xlpm.s, TRIM(F1124),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24" t="str">
        <f>_xlfn.XLOOKUP(E1124,Calendar!C:C,Calendar!B:B)</f>
        <v>Working Day</v>
      </c>
    </row>
    <row r="1125" spans="1:9" x14ac:dyDescent="0.25">
      <c r="A1125" t="s">
        <v>1124</v>
      </c>
      <c r="B1125" t="s">
        <v>1387</v>
      </c>
      <c r="C1125" t="s">
        <v>1401</v>
      </c>
      <c r="D1125" s="2">
        <v>46210.39393518518</v>
      </c>
      <c r="E1125" s="2">
        <f t="shared" si="28"/>
        <v>46210</v>
      </c>
      <c r="F1125" t="s">
        <v>1739</v>
      </c>
      <c r="G1125">
        <f>_xlfn.XLOOKUP(A1125,FTD!A:A,FTD!C:C)</f>
        <v>8000</v>
      </c>
      <c r="H1125" cm="1">
        <f t="array" ref="H1125">_xlfn.LET(
  _xlpm.s, TRIM(F1125),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25" t="str">
        <f>_xlfn.XLOOKUP(E1125,Calendar!C:C,Calendar!B:B)</f>
        <v>Working Day</v>
      </c>
    </row>
    <row r="1126" spans="1:9" x14ac:dyDescent="0.25">
      <c r="A1126" t="s">
        <v>1125</v>
      </c>
      <c r="B1126" t="s">
        <v>1387</v>
      </c>
      <c r="C1126" t="s">
        <v>1412</v>
      </c>
      <c r="D1126" s="2">
        <v>46224.536898148144</v>
      </c>
      <c r="E1126" s="2">
        <f t="shared" si="28"/>
        <v>46224</v>
      </c>
      <c r="F1126" t="s">
        <v>1745</v>
      </c>
      <c r="G1126">
        <f>_xlfn.XLOOKUP(A1126,FTD!A:A,FTD!C:C)</f>
        <v>7000</v>
      </c>
      <c r="H1126" cm="1">
        <f t="array" ref="H1126">_xlfn.LET(
  _xlpm.s, TRIM(F1126),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26" t="str">
        <f>_xlfn.XLOOKUP(E1126,Calendar!C:C,Calendar!B:B)</f>
        <v>Working Day</v>
      </c>
    </row>
    <row r="1127" spans="1:9" x14ac:dyDescent="0.25">
      <c r="A1127" t="s">
        <v>1126</v>
      </c>
      <c r="B1127" t="s">
        <v>1387</v>
      </c>
      <c r="C1127" t="s">
        <v>1412</v>
      </c>
      <c r="D1127" s="2">
        <v>46205.74591435185</v>
      </c>
      <c r="E1127" s="2">
        <f t="shared" si="28"/>
        <v>46205</v>
      </c>
      <c r="F1127" t="s">
        <v>1738</v>
      </c>
      <c r="G1127">
        <f>_xlfn.XLOOKUP(A1127,FTD!A:A,FTD!C:C)</f>
        <v>5000</v>
      </c>
      <c r="H1127" cm="1">
        <f t="array" ref="H1127">_xlfn.LET(
  _xlpm.s, TRIM(F1127),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27" t="str">
        <f>_xlfn.XLOOKUP(E1127,Calendar!C:C,Calendar!B:B)</f>
        <v>Working Day</v>
      </c>
    </row>
    <row r="1128" spans="1:9" x14ac:dyDescent="0.25">
      <c r="A1128" t="s">
        <v>1127</v>
      </c>
      <c r="B1128" t="s">
        <v>1387</v>
      </c>
      <c r="C1128" t="s">
        <v>1395</v>
      </c>
      <c r="D1128" s="2">
        <v>46231.565277777772</v>
      </c>
      <c r="E1128" s="2">
        <f t="shared" si="28"/>
        <v>46231</v>
      </c>
      <c r="F1128" t="s">
        <v>1738</v>
      </c>
      <c r="G1128">
        <f>_xlfn.XLOOKUP(A1128,FTD!A:A,FTD!C:C)</f>
        <v>3000</v>
      </c>
      <c r="H1128" cm="1">
        <f t="array" ref="H1128">_xlfn.LET(
  _xlpm.s, TRIM(F1128),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28" t="str">
        <f>_xlfn.XLOOKUP(E1128,Calendar!C:C,Calendar!B:B)</f>
        <v>Working Day</v>
      </c>
    </row>
    <row r="1129" spans="1:9" x14ac:dyDescent="0.25">
      <c r="A1129" t="s">
        <v>1128</v>
      </c>
      <c r="B1129" t="s">
        <v>1387</v>
      </c>
      <c r="C1129" t="s">
        <v>1433</v>
      </c>
      <c r="D1129" s="2">
        <v>46226.844664351847</v>
      </c>
      <c r="E1129" s="2">
        <f t="shared" si="28"/>
        <v>46226</v>
      </c>
      <c r="F1129" t="s">
        <v>1738</v>
      </c>
      <c r="G1129">
        <f>_xlfn.XLOOKUP(A1129,FTD!A:A,FTD!C:C)</f>
        <v>2500</v>
      </c>
      <c r="H1129" cm="1">
        <f t="array" ref="H1129">_xlfn.LET(
  _xlpm.s, TRIM(F1129),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29" t="str">
        <f>_xlfn.XLOOKUP(E1129,Calendar!C:C,Calendar!B:B)</f>
        <v>Working Day</v>
      </c>
    </row>
    <row r="1130" spans="1:9" x14ac:dyDescent="0.25">
      <c r="A1130" t="s">
        <v>1129</v>
      </c>
      <c r="B1130" t="s">
        <v>1387</v>
      </c>
      <c r="C1130" t="s">
        <v>1390</v>
      </c>
      <c r="D1130" s="2">
        <v>46231.514293981483</v>
      </c>
      <c r="E1130" s="2">
        <f t="shared" si="28"/>
        <v>46231</v>
      </c>
      <c r="F1130" t="s">
        <v>1745</v>
      </c>
      <c r="G1130">
        <f>_xlfn.XLOOKUP(A1130,FTD!A:A,FTD!C:C)</f>
        <v>1000</v>
      </c>
      <c r="H1130" cm="1">
        <f t="array" ref="H1130">_xlfn.LET(
  _xlpm.s, TRIM(F1130),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30" t="str">
        <f>_xlfn.XLOOKUP(E1130,Calendar!C:C,Calendar!B:B)</f>
        <v>Working Day</v>
      </c>
    </row>
    <row r="1131" spans="1:9" x14ac:dyDescent="0.25">
      <c r="A1131" t="s">
        <v>1130</v>
      </c>
      <c r="B1131" t="s">
        <v>1387</v>
      </c>
      <c r="C1131" t="s">
        <v>1418</v>
      </c>
      <c r="D1131" s="2">
        <v>46226.530590277776</v>
      </c>
      <c r="E1131" s="2">
        <f t="shared" si="28"/>
        <v>46226</v>
      </c>
      <c r="F1131" t="s">
        <v>1738</v>
      </c>
      <c r="G1131">
        <f>_xlfn.XLOOKUP(A1131,FTD!A:A,FTD!C:C)</f>
        <v>4000</v>
      </c>
      <c r="H1131" cm="1">
        <f t="array" ref="H1131">_xlfn.LET(
  _xlpm.s, TRIM(F1131),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1" t="str">
        <f>_xlfn.XLOOKUP(E1131,Calendar!C:C,Calendar!B:B)</f>
        <v>Working Day</v>
      </c>
    </row>
    <row r="1132" spans="1:9" x14ac:dyDescent="0.25">
      <c r="A1132" t="s">
        <v>1131</v>
      </c>
      <c r="B1132" t="s">
        <v>1387</v>
      </c>
      <c r="C1132" t="s">
        <v>1388</v>
      </c>
      <c r="D1132" s="2">
        <v>46217.423356481479</v>
      </c>
      <c r="E1132" s="2">
        <f t="shared" si="28"/>
        <v>46217</v>
      </c>
      <c r="F1132" t="s">
        <v>1744</v>
      </c>
      <c r="G1132">
        <f>_xlfn.XLOOKUP(A1132,FTD!A:A,FTD!C:C)</f>
        <v>1000</v>
      </c>
      <c r="H1132" cm="1">
        <f t="array" ref="H1132">_xlfn.LET(
  _xlpm.s, TRIM(F1132),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2" t="str">
        <f>_xlfn.XLOOKUP(E1132,Calendar!C:C,Calendar!B:B)</f>
        <v>Working Day</v>
      </c>
    </row>
    <row r="1133" spans="1:9" x14ac:dyDescent="0.25">
      <c r="A1133" t="s">
        <v>1132</v>
      </c>
      <c r="B1133" t="s">
        <v>1387</v>
      </c>
      <c r="C1133" t="s">
        <v>1402</v>
      </c>
      <c r="D1133" s="2">
        <v>46231.404687499999</v>
      </c>
      <c r="E1133" s="2">
        <f t="shared" si="28"/>
        <v>46231</v>
      </c>
      <c r="F1133" t="s">
        <v>1739</v>
      </c>
      <c r="G1133">
        <f>_xlfn.XLOOKUP(A1133,FTD!A:A,FTD!C:C)</f>
        <v>2000</v>
      </c>
      <c r="H1133" cm="1">
        <f t="array" ref="H1133">_xlfn.LET(
  _xlpm.s, TRIM(F1133),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33" t="str">
        <f>_xlfn.XLOOKUP(E1133,Calendar!C:C,Calendar!B:B)</f>
        <v>Working Day</v>
      </c>
    </row>
    <row r="1134" spans="1:9" x14ac:dyDescent="0.25">
      <c r="A1134" t="s">
        <v>1133</v>
      </c>
      <c r="B1134" t="s">
        <v>1387</v>
      </c>
      <c r="C1134" t="s">
        <v>1398</v>
      </c>
      <c r="D1134" s="2">
        <v>46224.644756944443</v>
      </c>
      <c r="E1134" s="2">
        <f t="shared" si="28"/>
        <v>46224</v>
      </c>
      <c r="F1134" t="s">
        <v>1738</v>
      </c>
      <c r="G1134">
        <f>_xlfn.XLOOKUP(A1134,FTD!A:A,FTD!C:C)</f>
        <v>18000</v>
      </c>
      <c r="H1134" cm="1">
        <f t="array" ref="H1134">_xlfn.LET(
  _xlpm.s, TRIM(F1134),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4" t="str">
        <f>_xlfn.XLOOKUP(E1134,Calendar!C:C,Calendar!B:B)</f>
        <v>Working Day</v>
      </c>
    </row>
    <row r="1135" spans="1:9" x14ac:dyDescent="0.25">
      <c r="A1135" t="s">
        <v>1134</v>
      </c>
      <c r="B1135" t="s">
        <v>1387</v>
      </c>
      <c r="C1135" t="s">
        <v>1398</v>
      </c>
      <c r="D1135" s="2">
        <v>46220.59412037037</v>
      </c>
      <c r="E1135" s="2">
        <f t="shared" si="28"/>
        <v>46220</v>
      </c>
      <c r="F1135" t="s">
        <v>1738</v>
      </c>
      <c r="G1135">
        <f>_xlfn.XLOOKUP(A1135,FTD!A:A,FTD!C:C)</f>
        <v>1000</v>
      </c>
      <c r="H1135" cm="1">
        <f t="array" ref="H1135">_xlfn.LET(
  _xlpm.s, TRIM(F1135),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5" t="str">
        <f>_xlfn.XLOOKUP(E1135,Calendar!C:C,Calendar!B:B)</f>
        <v>Working Day</v>
      </c>
    </row>
    <row r="1136" spans="1:9" x14ac:dyDescent="0.25">
      <c r="A1136" t="s">
        <v>1135</v>
      </c>
      <c r="B1136" t="s">
        <v>1387</v>
      </c>
      <c r="C1136" t="s">
        <v>1398</v>
      </c>
      <c r="D1136" s="2">
        <v>46218.728449074071</v>
      </c>
      <c r="E1136" s="2">
        <f t="shared" si="28"/>
        <v>46218</v>
      </c>
      <c r="F1136" t="s">
        <v>1738</v>
      </c>
      <c r="G1136">
        <f>_xlfn.XLOOKUP(A1136,FTD!A:A,FTD!C:C)</f>
        <v>2000</v>
      </c>
      <c r="H1136" cm="1">
        <f t="array" ref="H1136">_xlfn.LET(
  _xlpm.s, TRIM(F1136),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6" t="str">
        <f>_xlfn.XLOOKUP(E1136,Calendar!C:C,Calendar!B:B)</f>
        <v>Working Day</v>
      </c>
    </row>
    <row r="1137" spans="1:9" x14ac:dyDescent="0.25">
      <c r="A1137" t="s">
        <v>1136</v>
      </c>
      <c r="B1137" t="s">
        <v>1387</v>
      </c>
      <c r="C1137" t="s">
        <v>1408</v>
      </c>
      <c r="D1137" s="2">
        <v>46223.486273148148</v>
      </c>
      <c r="E1137" s="2">
        <f t="shared" si="28"/>
        <v>46223</v>
      </c>
      <c r="F1137" t="s">
        <v>1738</v>
      </c>
      <c r="G1137">
        <f>_xlfn.XLOOKUP(A1137,FTD!A:A,FTD!C:C)</f>
        <v>3000</v>
      </c>
      <c r="H1137" cm="1">
        <f t="array" ref="H1137">_xlfn.LET(
  _xlpm.s, TRIM(F1137),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7" t="str">
        <f>_xlfn.XLOOKUP(E1137,Calendar!C:C,Calendar!B:B)</f>
        <v>Working Day</v>
      </c>
    </row>
    <row r="1138" spans="1:9" x14ac:dyDescent="0.25">
      <c r="A1138" t="s">
        <v>1137</v>
      </c>
      <c r="B1138" t="s">
        <v>1387</v>
      </c>
      <c r="C1138" t="s">
        <v>1407</v>
      </c>
      <c r="D1138" s="2">
        <v>46204.440023148149</v>
      </c>
      <c r="E1138" s="2">
        <f t="shared" si="28"/>
        <v>46204</v>
      </c>
      <c r="F1138" t="s">
        <v>1743</v>
      </c>
      <c r="G1138">
        <f>_xlfn.XLOOKUP(A1138,FTD!A:A,FTD!C:C)</f>
        <v>3000</v>
      </c>
      <c r="H1138" cm="1">
        <f t="array" ref="H1138">_xlfn.LET(
  _xlpm.s, TRIM(F1138),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38" t="str">
        <f>_xlfn.XLOOKUP(E1138,Calendar!C:C,Calendar!B:B)</f>
        <v>Working Day</v>
      </c>
    </row>
    <row r="1139" spans="1:9" x14ac:dyDescent="0.25">
      <c r="A1139" t="s">
        <v>1138</v>
      </c>
      <c r="B1139" t="s">
        <v>1387</v>
      </c>
      <c r="C1139" t="s">
        <v>1408</v>
      </c>
      <c r="D1139" s="2">
        <v>46232.595358796294</v>
      </c>
      <c r="E1139" s="2">
        <f t="shared" si="28"/>
        <v>46232</v>
      </c>
      <c r="F1139" t="s">
        <v>1739</v>
      </c>
      <c r="G1139">
        <f>_xlfn.XLOOKUP(A1139,FTD!A:A,FTD!C:C)</f>
        <v>3000</v>
      </c>
      <c r="H1139" cm="1">
        <f t="array" ref="H1139">_xlfn.LET(
  _xlpm.s, TRIM(F1139),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39" t="str">
        <f>_xlfn.XLOOKUP(E1139,Calendar!C:C,Calendar!B:B)</f>
        <v>Working Day</v>
      </c>
    </row>
    <row r="1140" spans="1:9" x14ac:dyDescent="0.25">
      <c r="A1140" t="s">
        <v>1139</v>
      </c>
      <c r="B1140" t="s">
        <v>1387</v>
      </c>
      <c r="C1140" t="s">
        <v>1420</v>
      </c>
      <c r="D1140" s="2">
        <v>46232.621307870366</v>
      </c>
      <c r="E1140" s="2">
        <f t="shared" si="28"/>
        <v>46232</v>
      </c>
      <c r="F1140" t="s">
        <v>1739</v>
      </c>
      <c r="G1140">
        <f>_xlfn.XLOOKUP(A1140,FTD!A:A,FTD!C:C)</f>
        <v>35000</v>
      </c>
      <c r="H1140" cm="1">
        <f t="array" ref="H1140">_xlfn.LET(
  _xlpm.s, TRIM(F1140),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40" t="str">
        <f>_xlfn.XLOOKUP(E1140,Calendar!C:C,Calendar!B:B)</f>
        <v>Working Day</v>
      </c>
    </row>
    <row r="1141" spans="1:9" x14ac:dyDescent="0.25">
      <c r="A1141" t="s">
        <v>1140</v>
      </c>
      <c r="B1141" t="s">
        <v>1387</v>
      </c>
      <c r="C1141" t="s">
        <v>1390</v>
      </c>
      <c r="D1141" s="2">
        <v>46231.604571759257</v>
      </c>
      <c r="E1141" s="2">
        <f t="shared" si="28"/>
        <v>46231</v>
      </c>
      <c r="F1141" t="s">
        <v>1738</v>
      </c>
      <c r="G1141">
        <f>_xlfn.XLOOKUP(A1141,FTD!A:A,FTD!C:C)</f>
        <v>6900</v>
      </c>
      <c r="H1141" cm="1">
        <f t="array" ref="H1141">_xlfn.LET(
  _xlpm.s, TRIM(F1141),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41" t="str">
        <f>_xlfn.XLOOKUP(E1141,Calendar!C:C,Calendar!B:B)</f>
        <v>Working Day</v>
      </c>
    </row>
    <row r="1142" spans="1:9" x14ac:dyDescent="0.25">
      <c r="A1142" t="s">
        <v>1141</v>
      </c>
      <c r="B1142" t="s">
        <v>1387</v>
      </c>
      <c r="C1142" t="s">
        <v>1433</v>
      </c>
      <c r="D1142" s="2">
        <v>46211.446238425924</v>
      </c>
      <c r="E1142" s="2">
        <f t="shared" si="28"/>
        <v>46211</v>
      </c>
      <c r="F1142" t="s">
        <v>1743</v>
      </c>
      <c r="G1142">
        <f>_xlfn.XLOOKUP(A1142,FTD!A:A,FTD!C:C)</f>
        <v>20000</v>
      </c>
      <c r="H1142" cm="1">
        <f t="array" ref="H1142">_xlfn.LET(
  _xlpm.s, TRIM(F1142),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42" t="str">
        <f>_xlfn.XLOOKUP(E1142,Calendar!C:C,Calendar!B:B)</f>
        <v>Working Day</v>
      </c>
    </row>
    <row r="1143" spans="1:9" x14ac:dyDescent="0.25">
      <c r="A1143" t="s">
        <v>1142</v>
      </c>
      <c r="B1143" t="s">
        <v>1387</v>
      </c>
      <c r="C1143" t="s">
        <v>1402</v>
      </c>
      <c r="D1143" s="2">
        <v>46227.455405092587</v>
      </c>
      <c r="E1143" s="2">
        <f t="shared" si="28"/>
        <v>46227</v>
      </c>
      <c r="F1143" t="s">
        <v>1739</v>
      </c>
      <c r="G1143">
        <f>_xlfn.XLOOKUP(A1143,FTD!A:A,FTD!C:C)</f>
        <v>1000</v>
      </c>
      <c r="H1143" cm="1">
        <f t="array" ref="H1143">_xlfn.LET(
  _xlpm.s, TRIM(F1143),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43" t="str">
        <f>_xlfn.XLOOKUP(E1143,Calendar!C:C,Calendar!B:B)</f>
        <v>Working Day</v>
      </c>
    </row>
    <row r="1144" spans="1:9" x14ac:dyDescent="0.25">
      <c r="A1144" t="s">
        <v>1143</v>
      </c>
      <c r="B1144" t="s">
        <v>1387</v>
      </c>
      <c r="C1144" t="s">
        <v>1396</v>
      </c>
      <c r="D1144" s="2">
        <v>46226.62018518518</v>
      </c>
      <c r="E1144" s="2">
        <f t="shared" si="28"/>
        <v>46226</v>
      </c>
      <c r="F1144" t="s">
        <v>1743</v>
      </c>
      <c r="G1144">
        <f>_xlfn.XLOOKUP(A1144,FTD!A:A,FTD!C:C)</f>
        <v>2000</v>
      </c>
      <c r="H1144" cm="1">
        <f t="array" ref="H1144">_xlfn.LET(
  _xlpm.s, TRIM(F1144),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44" t="str">
        <f>_xlfn.XLOOKUP(E1144,Calendar!C:C,Calendar!B:B)</f>
        <v>Working Day</v>
      </c>
    </row>
    <row r="1145" spans="1:9" x14ac:dyDescent="0.25">
      <c r="A1145" t="s">
        <v>1144</v>
      </c>
      <c r="B1145" t="s">
        <v>1387</v>
      </c>
      <c r="C1145" t="s">
        <v>1408</v>
      </c>
      <c r="D1145" s="2">
        <v>46225.573703703703</v>
      </c>
      <c r="E1145" s="2">
        <f t="shared" si="28"/>
        <v>46225</v>
      </c>
      <c r="F1145" t="s">
        <v>1738</v>
      </c>
      <c r="G1145">
        <f>_xlfn.XLOOKUP(A1145,FTD!A:A,FTD!C:C)</f>
        <v>40000</v>
      </c>
      <c r="H1145" cm="1">
        <f t="array" ref="H1145">_xlfn.LET(
  _xlpm.s, TRIM(F1145),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45" t="str">
        <f>_xlfn.XLOOKUP(E1145,Calendar!C:C,Calendar!B:B)</f>
        <v>Working Day</v>
      </c>
    </row>
    <row r="1146" spans="1:9" x14ac:dyDescent="0.25">
      <c r="A1146" t="s">
        <v>1145</v>
      </c>
      <c r="B1146" t="s">
        <v>1387</v>
      </c>
      <c r="C1146" t="s">
        <v>1398</v>
      </c>
      <c r="D1146" s="2">
        <v>46218.772546296292</v>
      </c>
      <c r="E1146" s="2">
        <f t="shared" si="28"/>
        <v>46218</v>
      </c>
      <c r="F1146" t="s">
        <v>1738</v>
      </c>
      <c r="G1146">
        <f>_xlfn.XLOOKUP(A1146,FTD!A:A,FTD!C:C)</f>
        <v>1000</v>
      </c>
      <c r="H1146" cm="1">
        <f t="array" ref="H1146">_xlfn.LET(
  _xlpm.s, TRIM(F1146),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46" t="str">
        <f>_xlfn.XLOOKUP(E1146,Calendar!C:C,Calendar!B:B)</f>
        <v>Working Day</v>
      </c>
    </row>
    <row r="1147" spans="1:9" x14ac:dyDescent="0.25">
      <c r="A1147" t="s">
        <v>1146</v>
      </c>
      <c r="B1147" t="s">
        <v>1387</v>
      </c>
      <c r="C1147" t="s">
        <v>1408</v>
      </c>
      <c r="D1147" s="2">
        <v>46212.423472222217</v>
      </c>
      <c r="E1147" s="2">
        <f t="shared" si="28"/>
        <v>46212</v>
      </c>
      <c r="F1147" t="s">
        <v>1739</v>
      </c>
      <c r="G1147">
        <f>_xlfn.XLOOKUP(A1147,FTD!A:A,FTD!C:C)</f>
        <v>2000</v>
      </c>
      <c r="H1147" cm="1">
        <f t="array" ref="H1147">_xlfn.LET(
  _xlpm.s, TRIM(F1147),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47" t="str">
        <f>_xlfn.XLOOKUP(E1147,Calendar!C:C,Calendar!B:B)</f>
        <v>Working Day</v>
      </c>
    </row>
    <row r="1148" spans="1:9" x14ac:dyDescent="0.25">
      <c r="A1148" t="s">
        <v>1147</v>
      </c>
      <c r="B1148" t="s">
        <v>1387</v>
      </c>
      <c r="C1148" t="s">
        <v>1391</v>
      </c>
      <c r="D1148" s="2">
        <v>46219.35560185185</v>
      </c>
      <c r="E1148" s="2">
        <f t="shared" si="28"/>
        <v>46219</v>
      </c>
      <c r="F1148" t="s">
        <v>1739</v>
      </c>
      <c r="G1148">
        <f>_xlfn.XLOOKUP(A1148,FTD!A:A,FTD!C:C)</f>
        <v>1000</v>
      </c>
      <c r="H1148" cm="1">
        <f t="array" ref="H1148">_xlfn.LET(
  _xlpm.s, TRIM(F1148),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48" t="str">
        <f>_xlfn.XLOOKUP(E1148,Calendar!C:C,Calendar!B:B)</f>
        <v>Working Day</v>
      </c>
    </row>
    <row r="1149" spans="1:9" x14ac:dyDescent="0.25">
      <c r="A1149" t="s">
        <v>1148</v>
      </c>
      <c r="B1149" t="s">
        <v>1387</v>
      </c>
      <c r="C1149" t="s">
        <v>1407</v>
      </c>
      <c r="D1149" s="2">
        <v>46212.976111111107</v>
      </c>
      <c r="E1149" s="2">
        <f t="shared" si="28"/>
        <v>46212</v>
      </c>
      <c r="F1149" t="s">
        <v>1751</v>
      </c>
      <c r="G1149">
        <f>_xlfn.XLOOKUP(A1149,FTD!A:A,FTD!C:C)</f>
        <v>1000</v>
      </c>
      <c r="H1149" cm="1">
        <f t="array" ref="H1149">_xlfn.LET(
  _xlpm.s, TRIM(F1149),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49" t="str">
        <f>_xlfn.XLOOKUP(E1149,Calendar!C:C,Calendar!B:B)</f>
        <v>Working Day</v>
      </c>
    </row>
    <row r="1150" spans="1:9" x14ac:dyDescent="0.25">
      <c r="A1150" t="s">
        <v>1149</v>
      </c>
      <c r="B1150" t="s">
        <v>1387</v>
      </c>
      <c r="C1150" t="s">
        <v>1400</v>
      </c>
      <c r="D1150" s="2">
        <v>46217.437361111108</v>
      </c>
      <c r="E1150" s="2">
        <f t="shared" si="28"/>
        <v>46217</v>
      </c>
      <c r="F1150" t="s">
        <v>81</v>
      </c>
      <c r="G1150">
        <f>_xlfn.XLOOKUP(A1150,FTD!A:A,FTD!C:C)</f>
        <v>1000</v>
      </c>
      <c r="H1150" cm="1">
        <f t="array" ref="H1150">_xlfn.LET(
  _xlpm.s, TRIM(F1150),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50" t="str">
        <f>_xlfn.XLOOKUP(E1150,Calendar!C:C,Calendar!B:B)</f>
        <v>Working Day</v>
      </c>
    </row>
    <row r="1151" spans="1:9" x14ac:dyDescent="0.25">
      <c r="A1151" t="s">
        <v>1150</v>
      </c>
      <c r="B1151" t="s">
        <v>1387</v>
      </c>
      <c r="C1151" t="s">
        <v>1407</v>
      </c>
      <c r="D1151" s="2">
        <v>46216.513819444444</v>
      </c>
      <c r="E1151" s="2">
        <f t="shared" si="28"/>
        <v>46216</v>
      </c>
      <c r="F1151" t="s">
        <v>1743</v>
      </c>
      <c r="G1151">
        <f>_xlfn.XLOOKUP(A1151,FTD!A:A,FTD!C:C)</f>
        <v>1000</v>
      </c>
      <c r="H1151" cm="1">
        <f t="array" ref="H1151">_xlfn.LET(
  _xlpm.s, TRIM(F1151),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1" t="str">
        <f>_xlfn.XLOOKUP(E1151,Calendar!C:C,Calendar!B:B)</f>
        <v>Working Day</v>
      </c>
    </row>
    <row r="1152" spans="1:9" x14ac:dyDescent="0.25">
      <c r="A1152" t="s">
        <v>1151</v>
      </c>
      <c r="B1152" t="s">
        <v>1387</v>
      </c>
      <c r="C1152" t="s">
        <v>1406</v>
      </c>
      <c r="D1152" s="2">
        <v>46213.805555555555</v>
      </c>
      <c r="E1152" s="2">
        <f t="shared" si="28"/>
        <v>46213</v>
      </c>
      <c r="F1152" t="s">
        <v>1739</v>
      </c>
      <c r="G1152">
        <f>_xlfn.XLOOKUP(A1152,FTD!A:A,FTD!C:C)</f>
        <v>2000</v>
      </c>
      <c r="H1152" cm="1">
        <f t="array" ref="H1152">_xlfn.LET(
  _xlpm.s, TRIM(F1152),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52" t="str">
        <f>_xlfn.XLOOKUP(E1152,Calendar!C:C,Calendar!B:B)</f>
        <v>Working Day</v>
      </c>
    </row>
    <row r="1153" spans="1:9" x14ac:dyDescent="0.25">
      <c r="A1153" t="s">
        <v>1152</v>
      </c>
      <c r="B1153" t="s">
        <v>1387</v>
      </c>
      <c r="C1153" t="s">
        <v>1426</v>
      </c>
      <c r="D1153" s="2">
        <v>46219.619930555556</v>
      </c>
      <c r="E1153" s="2">
        <f t="shared" si="28"/>
        <v>46219</v>
      </c>
      <c r="F1153" t="s">
        <v>1743</v>
      </c>
      <c r="G1153">
        <f>_xlfn.XLOOKUP(A1153,FTD!A:A,FTD!C:C)</f>
        <v>1000</v>
      </c>
      <c r="H1153" cm="1">
        <f t="array" ref="H1153">_xlfn.LET(
  _xlpm.s, TRIM(F1153),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3" t="str">
        <f>_xlfn.XLOOKUP(E1153,Calendar!C:C,Calendar!B:B)</f>
        <v>Working Day</v>
      </c>
    </row>
    <row r="1154" spans="1:9" x14ac:dyDescent="0.25">
      <c r="A1154" t="s">
        <v>1153</v>
      </c>
      <c r="B1154" t="s">
        <v>1387</v>
      </c>
      <c r="C1154" t="s">
        <v>1425</v>
      </c>
      <c r="D1154" s="2">
        <v>46218.446134259255</v>
      </c>
      <c r="E1154" s="2">
        <f t="shared" si="28"/>
        <v>46218</v>
      </c>
      <c r="F1154" t="s">
        <v>1744</v>
      </c>
      <c r="G1154">
        <f>_xlfn.XLOOKUP(A1154,FTD!A:A,FTD!C:C)</f>
        <v>10000</v>
      </c>
      <c r="H1154" cm="1">
        <f t="array" ref="H1154">_xlfn.LET(
  _xlpm.s, TRIM(F1154),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4" t="str">
        <f>_xlfn.XLOOKUP(E1154,Calendar!C:C,Calendar!B:B)</f>
        <v>Working Day</v>
      </c>
    </row>
    <row r="1155" spans="1:9" x14ac:dyDescent="0.25">
      <c r="A1155" t="s">
        <v>1154</v>
      </c>
      <c r="B1155" t="s">
        <v>1387</v>
      </c>
      <c r="C1155" t="s">
        <v>1408</v>
      </c>
      <c r="D1155" s="2">
        <v>46233.754247685181</v>
      </c>
      <c r="E1155" s="2">
        <f t="shared" ref="E1155:E1218" si="29">INT(D1155)</f>
        <v>46233</v>
      </c>
      <c r="F1155" t="s">
        <v>1738</v>
      </c>
      <c r="G1155">
        <f>_xlfn.XLOOKUP(A1155,FTD!A:A,FTD!C:C)</f>
        <v>15000</v>
      </c>
      <c r="H1155" cm="1">
        <f t="array" ref="H1155">_xlfn.LET(
  _xlpm.s, TRIM(F1155),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5" t="str">
        <f>_xlfn.XLOOKUP(E1155,Calendar!C:C,Calendar!B:B)</f>
        <v>Working Day</v>
      </c>
    </row>
    <row r="1156" spans="1:9" x14ac:dyDescent="0.25">
      <c r="A1156" t="s">
        <v>1155</v>
      </c>
      <c r="B1156" t="s">
        <v>1387</v>
      </c>
      <c r="C1156" t="s">
        <v>1402</v>
      </c>
      <c r="D1156" s="2">
        <v>46233.639236111107</v>
      </c>
      <c r="E1156" s="2">
        <f t="shared" si="29"/>
        <v>46233</v>
      </c>
      <c r="F1156" t="s">
        <v>1738</v>
      </c>
      <c r="G1156">
        <f>_xlfn.XLOOKUP(A1156,FTD!A:A,FTD!C:C)</f>
        <v>15000</v>
      </c>
      <c r="H1156" cm="1">
        <f t="array" ref="H1156">_xlfn.LET(
  _xlpm.s, TRIM(F1156),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6" t="str">
        <f>_xlfn.XLOOKUP(E1156,Calendar!C:C,Calendar!B:B)</f>
        <v>Working Day</v>
      </c>
    </row>
    <row r="1157" spans="1:9" x14ac:dyDescent="0.25">
      <c r="A1157" t="s">
        <v>1156</v>
      </c>
      <c r="B1157" t="s">
        <v>1387</v>
      </c>
      <c r="C1157" t="s">
        <v>1420</v>
      </c>
      <c r="D1157" s="2">
        <v>46223.742442129631</v>
      </c>
      <c r="E1157" s="2">
        <f t="shared" si="29"/>
        <v>46223</v>
      </c>
      <c r="F1157" t="s">
        <v>1706</v>
      </c>
      <c r="G1157">
        <f>_xlfn.XLOOKUP(A1157,FTD!A:A,FTD!C:C)</f>
        <v>1000</v>
      </c>
      <c r="H1157" cm="1">
        <f t="array" ref="H1157">_xlfn.LET(
  _xlpm.s, TRIM(F1157),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57" t="str">
        <f>_xlfn.XLOOKUP(E1157,Calendar!C:C,Calendar!B:B)</f>
        <v>Working Day</v>
      </c>
    </row>
    <row r="1158" spans="1:9" x14ac:dyDescent="0.25">
      <c r="A1158" t="s">
        <v>1157</v>
      </c>
      <c r="B1158" t="s">
        <v>1387</v>
      </c>
      <c r="C1158" t="s">
        <v>1389</v>
      </c>
      <c r="D1158" s="2">
        <v>46204.932546296295</v>
      </c>
      <c r="E1158" s="2">
        <f t="shared" si="29"/>
        <v>46204</v>
      </c>
      <c r="F1158" t="s">
        <v>1739</v>
      </c>
      <c r="G1158">
        <f>_xlfn.XLOOKUP(A1158,FTD!A:A,FTD!C:C)</f>
        <v>1200</v>
      </c>
      <c r="H1158" cm="1">
        <f t="array" ref="H1158">_xlfn.LET(
  _xlpm.s, TRIM(F1158),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58" t="str">
        <f>_xlfn.XLOOKUP(E1158,Calendar!C:C,Calendar!B:B)</f>
        <v>Working Day</v>
      </c>
    </row>
    <row r="1159" spans="1:9" x14ac:dyDescent="0.25">
      <c r="A1159" t="s">
        <v>1158</v>
      </c>
      <c r="B1159" t="s">
        <v>1387</v>
      </c>
      <c r="C1159" t="s">
        <v>1402</v>
      </c>
      <c r="D1159" s="2">
        <v>46216.445879629631</v>
      </c>
      <c r="E1159" s="2">
        <f t="shared" si="29"/>
        <v>46216</v>
      </c>
      <c r="F1159" t="s">
        <v>1738</v>
      </c>
      <c r="G1159">
        <f>_xlfn.XLOOKUP(A1159,FTD!A:A,FTD!C:C)</f>
        <v>40000</v>
      </c>
      <c r="H1159" cm="1">
        <f t="array" ref="H1159">_xlfn.LET(
  _xlpm.s, TRIM(F1159),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59" t="str">
        <f>_xlfn.XLOOKUP(E1159,Calendar!C:C,Calendar!B:B)</f>
        <v>Working Day</v>
      </c>
    </row>
    <row r="1160" spans="1:9" x14ac:dyDescent="0.25">
      <c r="A1160" t="s">
        <v>1159</v>
      </c>
      <c r="B1160" t="s">
        <v>1387</v>
      </c>
      <c r="C1160" t="s">
        <v>1418</v>
      </c>
      <c r="D1160" s="2">
        <v>46230.66233796296</v>
      </c>
      <c r="E1160" s="2">
        <f t="shared" si="29"/>
        <v>46230</v>
      </c>
      <c r="F1160" t="s">
        <v>1739</v>
      </c>
      <c r="G1160">
        <f>_xlfn.XLOOKUP(A1160,FTD!A:A,FTD!C:C)</f>
        <v>1011</v>
      </c>
      <c r="H1160" cm="1">
        <f t="array" ref="H1160">_xlfn.LET(
  _xlpm.s, TRIM(F1160),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60" t="str">
        <f>_xlfn.XLOOKUP(E1160,Calendar!C:C,Calendar!B:B)</f>
        <v>Working Day</v>
      </c>
    </row>
    <row r="1161" spans="1:9" x14ac:dyDescent="0.25">
      <c r="A1161" t="s">
        <v>1160</v>
      </c>
      <c r="B1161" t="s">
        <v>1384</v>
      </c>
      <c r="C1161" t="s">
        <v>1438</v>
      </c>
      <c r="D1161" s="2">
        <v>46233.532951388886</v>
      </c>
      <c r="E1161" s="2">
        <f t="shared" si="29"/>
        <v>46233</v>
      </c>
      <c r="F1161" t="s">
        <v>1738</v>
      </c>
      <c r="G1161">
        <f>_xlfn.XLOOKUP(A1161,FTD!A:A,FTD!C:C)</f>
        <v>1000</v>
      </c>
      <c r="H1161" cm="1">
        <f t="array" ref="H1161">_xlfn.LET(
  _xlpm.s, TRIM(F1161),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1" t="str">
        <f>_xlfn.XLOOKUP(E1161,Calendar!C:C,Calendar!B:B)</f>
        <v>Working Day</v>
      </c>
    </row>
    <row r="1162" spans="1:9" x14ac:dyDescent="0.25">
      <c r="A1162" t="s">
        <v>1161</v>
      </c>
      <c r="B1162" t="s">
        <v>1384</v>
      </c>
      <c r="C1162" t="s">
        <v>1436</v>
      </c>
      <c r="D1162" s="2">
        <v>46226.842997685184</v>
      </c>
      <c r="E1162" s="2">
        <f t="shared" si="29"/>
        <v>46226</v>
      </c>
      <c r="F1162" t="s">
        <v>1738</v>
      </c>
      <c r="G1162">
        <f>_xlfn.XLOOKUP(A1162,FTD!A:A,FTD!C:C)</f>
        <v>5000</v>
      </c>
      <c r="H1162" cm="1">
        <f t="array" ref="H1162">_xlfn.LET(
  _xlpm.s, TRIM(F1162),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2" t="str">
        <f>_xlfn.XLOOKUP(E1162,Calendar!C:C,Calendar!B:B)</f>
        <v>Working Day</v>
      </c>
    </row>
    <row r="1163" spans="1:9" x14ac:dyDescent="0.25">
      <c r="A1163" t="s">
        <v>1162</v>
      </c>
      <c r="B1163" t="s">
        <v>1384</v>
      </c>
      <c r="C1163" t="s">
        <v>1394</v>
      </c>
      <c r="D1163" s="2">
        <v>46231.569768518515</v>
      </c>
      <c r="E1163" s="2">
        <f t="shared" si="29"/>
        <v>46231</v>
      </c>
      <c r="F1163" t="s">
        <v>1706</v>
      </c>
      <c r="G1163">
        <f>_xlfn.XLOOKUP(A1163,FTD!A:A,FTD!C:C)</f>
        <v>961</v>
      </c>
      <c r="H1163" cm="1">
        <f t="array" ref="H1163">_xlfn.LET(
  _xlpm.s, TRIM(F1163),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63" t="str">
        <f>_xlfn.XLOOKUP(E1163,Calendar!C:C,Calendar!B:B)</f>
        <v>Working Day</v>
      </c>
    </row>
    <row r="1164" spans="1:9" x14ac:dyDescent="0.25">
      <c r="A1164" t="s">
        <v>1163</v>
      </c>
      <c r="B1164" t="s">
        <v>1384</v>
      </c>
      <c r="C1164" t="s">
        <v>1404</v>
      </c>
      <c r="D1164" s="2">
        <v>46226.502060185187</v>
      </c>
      <c r="E1164" s="2">
        <f t="shared" si="29"/>
        <v>46226</v>
      </c>
      <c r="F1164" t="s">
        <v>1738</v>
      </c>
      <c r="G1164">
        <f>_xlfn.XLOOKUP(A1164,FTD!A:A,FTD!C:C)</f>
        <v>1000</v>
      </c>
      <c r="H1164" cm="1">
        <f t="array" ref="H1164">_xlfn.LET(
  _xlpm.s, TRIM(F1164),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4" t="str">
        <f>_xlfn.XLOOKUP(E1164,Calendar!C:C,Calendar!B:B)</f>
        <v>Working Day</v>
      </c>
    </row>
    <row r="1165" spans="1:9" x14ac:dyDescent="0.25">
      <c r="A1165" t="s">
        <v>1164</v>
      </c>
      <c r="B1165" t="s">
        <v>1384</v>
      </c>
      <c r="C1165" t="s">
        <v>1396</v>
      </c>
      <c r="D1165" s="2">
        <v>46212.882881944446</v>
      </c>
      <c r="E1165" s="2">
        <f t="shared" si="29"/>
        <v>46212</v>
      </c>
      <c r="F1165" t="s">
        <v>1764</v>
      </c>
      <c r="G1165">
        <f>_xlfn.XLOOKUP(A1165,FTD!A:A,FTD!C:C)</f>
        <v>1000</v>
      </c>
      <c r="H1165" cm="1">
        <f t="array" ref="H1165">_xlfn.LET(
  _xlpm.s, TRIM(F1165),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5" t="str">
        <f>_xlfn.XLOOKUP(E1165,Calendar!C:C,Calendar!B:B)</f>
        <v>Working Day</v>
      </c>
    </row>
    <row r="1166" spans="1:9" x14ac:dyDescent="0.25">
      <c r="A1166" t="s">
        <v>1165</v>
      </c>
      <c r="B1166" t="s">
        <v>1385</v>
      </c>
      <c r="C1166" t="s">
        <v>1409</v>
      </c>
      <c r="D1166" s="2">
        <v>46231.007708333331</v>
      </c>
      <c r="E1166" s="2">
        <f t="shared" si="29"/>
        <v>46231</v>
      </c>
      <c r="F1166" t="s">
        <v>1738</v>
      </c>
      <c r="G1166">
        <f>_xlfn.XLOOKUP(A1166,FTD!A:A,FTD!C:C)</f>
        <v>500</v>
      </c>
      <c r="H1166" cm="1">
        <f t="array" ref="H1166">_xlfn.LET(
  _xlpm.s, TRIM(F1166),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6" t="str">
        <f>_xlfn.XLOOKUP(E1166,Calendar!C:C,Calendar!B:B)</f>
        <v>Working Day</v>
      </c>
    </row>
    <row r="1167" spans="1:9" x14ac:dyDescent="0.25">
      <c r="A1167" t="s">
        <v>1166</v>
      </c>
      <c r="B1167" t="s">
        <v>1384</v>
      </c>
      <c r="C1167" t="s">
        <v>1415</v>
      </c>
      <c r="D1167" s="2">
        <v>46205.744976851849</v>
      </c>
      <c r="E1167" s="2">
        <f t="shared" si="29"/>
        <v>46205</v>
      </c>
      <c r="F1167" t="s">
        <v>1738</v>
      </c>
      <c r="G1167">
        <f>_xlfn.XLOOKUP(A1167,FTD!A:A,FTD!C:C)</f>
        <v>1000</v>
      </c>
      <c r="H1167" cm="1">
        <f t="array" ref="H1167">_xlfn.LET(
  _xlpm.s, TRIM(F1167),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67" t="str">
        <f>_xlfn.XLOOKUP(E1167,Calendar!C:C,Calendar!B:B)</f>
        <v>Working Day</v>
      </c>
    </row>
    <row r="1168" spans="1:9" x14ac:dyDescent="0.25">
      <c r="A1168" t="s">
        <v>1167</v>
      </c>
      <c r="B1168" t="s">
        <v>1384</v>
      </c>
      <c r="C1168" t="s">
        <v>1417</v>
      </c>
      <c r="D1168" s="2">
        <v>46231.698981481481</v>
      </c>
      <c r="E1168" s="2">
        <f t="shared" si="29"/>
        <v>46231</v>
      </c>
      <c r="F1168" t="s">
        <v>1706</v>
      </c>
      <c r="G1168">
        <f>_xlfn.XLOOKUP(A1168,FTD!A:A,FTD!C:C)</f>
        <v>1000</v>
      </c>
      <c r="H1168" cm="1">
        <f t="array" ref="H1168">_xlfn.LET(
  _xlpm.s, TRIM(F1168),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68" t="str">
        <f>_xlfn.XLOOKUP(E1168,Calendar!C:C,Calendar!B:B)</f>
        <v>Working Day</v>
      </c>
    </row>
    <row r="1169" spans="1:9" x14ac:dyDescent="0.25">
      <c r="A1169" t="s">
        <v>1168</v>
      </c>
      <c r="B1169" t="s">
        <v>1384</v>
      </c>
      <c r="C1169" t="s">
        <v>1390</v>
      </c>
      <c r="D1169" s="2">
        <v>46225.586701388886</v>
      </c>
      <c r="E1169" s="2">
        <f t="shared" si="29"/>
        <v>46225</v>
      </c>
      <c r="F1169" t="s">
        <v>1750</v>
      </c>
      <c r="G1169">
        <f>_xlfn.XLOOKUP(A1169,FTD!A:A,FTD!C:C)</f>
        <v>1000</v>
      </c>
      <c r="H1169" cm="1">
        <f t="array" ref="H1169">_xlfn.LET(
  _xlpm.s, TRIM(F1169),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69" t="str">
        <f>_xlfn.XLOOKUP(E1169,Calendar!C:C,Calendar!B:B)</f>
        <v>Working Day</v>
      </c>
    </row>
    <row r="1170" spans="1:9" x14ac:dyDescent="0.25">
      <c r="A1170" t="s">
        <v>1169</v>
      </c>
      <c r="B1170" t="s">
        <v>1384</v>
      </c>
      <c r="C1170" t="s">
        <v>1424</v>
      </c>
      <c r="D1170" s="2">
        <v>46218.783067129625</v>
      </c>
      <c r="E1170" s="2">
        <f t="shared" si="29"/>
        <v>46218</v>
      </c>
      <c r="F1170" t="s">
        <v>1740</v>
      </c>
      <c r="G1170">
        <f>_xlfn.XLOOKUP(A1170,FTD!A:A,FTD!C:C)</f>
        <v>1000</v>
      </c>
      <c r="H1170" cm="1">
        <f t="array" ref="H1170">_xlfn.LET(
  _xlpm.s, TRIM(F1170),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70" t="str">
        <f>_xlfn.XLOOKUP(E1170,Calendar!C:C,Calendar!B:B)</f>
        <v>Working Day</v>
      </c>
    </row>
    <row r="1171" spans="1:9" x14ac:dyDescent="0.25">
      <c r="A1171" t="s">
        <v>1170</v>
      </c>
      <c r="B1171" t="s">
        <v>1384</v>
      </c>
      <c r="C1171" t="s">
        <v>1424</v>
      </c>
      <c r="D1171" s="2">
        <v>46234.490925925922</v>
      </c>
      <c r="E1171" s="2">
        <f t="shared" si="29"/>
        <v>46234</v>
      </c>
      <c r="F1171" t="s">
        <v>1738</v>
      </c>
      <c r="G1171">
        <f>_xlfn.XLOOKUP(A1171,FTD!A:A,FTD!C:C)</f>
        <v>2000</v>
      </c>
      <c r="H1171" cm="1">
        <f t="array" ref="H1171">_xlfn.LET(
  _xlpm.s, TRIM(F1171),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1" t="str">
        <f>_xlfn.XLOOKUP(E1171,Calendar!C:C,Calendar!B:B)</f>
        <v>Working Day</v>
      </c>
    </row>
    <row r="1172" spans="1:9" x14ac:dyDescent="0.25">
      <c r="A1172" t="s">
        <v>1171</v>
      </c>
      <c r="B1172" t="s">
        <v>1384</v>
      </c>
      <c r="C1172" t="s">
        <v>1424</v>
      </c>
      <c r="D1172" s="2">
        <v>46219.586956018517</v>
      </c>
      <c r="E1172" s="2">
        <f t="shared" si="29"/>
        <v>46219</v>
      </c>
      <c r="F1172" t="s">
        <v>1738</v>
      </c>
      <c r="G1172">
        <f>_xlfn.XLOOKUP(A1172,FTD!A:A,FTD!C:C)</f>
        <v>2000</v>
      </c>
      <c r="H1172" cm="1">
        <f t="array" ref="H1172">_xlfn.LET(
  _xlpm.s, TRIM(F1172),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2" t="str">
        <f>_xlfn.XLOOKUP(E1172,Calendar!C:C,Calendar!B:B)</f>
        <v>Working Day</v>
      </c>
    </row>
    <row r="1173" spans="1:9" x14ac:dyDescent="0.25">
      <c r="A1173" t="s">
        <v>1172</v>
      </c>
      <c r="B1173" t="s">
        <v>1384</v>
      </c>
      <c r="C1173" t="s">
        <v>1405</v>
      </c>
      <c r="D1173" s="2">
        <v>46226.69118055555</v>
      </c>
      <c r="E1173" s="2">
        <f t="shared" si="29"/>
        <v>46226</v>
      </c>
      <c r="F1173" t="s">
        <v>1740</v>
      </c>
      <c r="G1173">
        <f>_xlfn.XLOOKUP(A1173,FTD!A:A,FTD!C:C)</f>
        <v>1000</v>
      </c>
      <c r="H1173" cm="1">
        <f t="array" ref="H1173">_xlfn.LET(
  _xlpm.s, TRIM(F1173),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73" t="str">
        <f>_xlfn.XLOOKUP(E1173,Calendar!C:C,Calendar!B:B)</f>
        <v>Working Day</v>
      </c>
    </row>
    <row r="1174" spans="1:9" x14ac:dyDescent="0.25">
      <c r="A1174" t="s">
        <v>1173</v>
      </c>
      <c r="B1174" t="s">
        <v>1384</v>
      </c>
      <c r="C1174" t="s">
        <v>1400</v>
      </c>
      <c r="D1174" s="2">
        <v>46211.623124999998</v>
      </c>
      <c r="E1174" s="2">
        <f t="shared" si="29"/>
        <v>46211</v>
      </c>
      <c r="F1174" t="s">
        <v>1738</v>
      </c>
      <c r="G1174">
        <f>_xlfn.XLOOKUP(A1174,FTD!A:A,FTD!C:C)</f>
        <v>2000</v>
      </c>
      <c r="H1174" cm="1">
        <f t="array" ref="H1174">_xlfn.LET(
  _xlpm.s, TRIM(F1174),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4" t="str">
        <f>_xlfn.XLOOKUP(E1174,Calendar!C:C,Calendar!B:B)</f>
        <v>Working Day</v>
      </c>
    </row>
    <row r="1175" spans="1:9" x14ac:dyDescent="0.25">
      <c r="A1175" t="s">
        <v>1174</v>
      </c>
      <c r="B1175" t="s">
        <v>1387</v>
      </c>
      <c r="C1175" t="s">
        <v>1417</v>
      </c>
      <c r="D1175" s="2">
        <v>46214.837916666664</v>
      </c>
      <c r="E1175" s="2">
        <f t="shared" si="29"/>
        <v>46214</v>
      </c>
      <c r="F1175" t="s">
        <v>1738</v>
      </c>
      <c r="G1175">
        <f>_xlfn.XLOOKUP(A1175,FTD!A:A,FTD!C:C)</f>
        <v>10000</v>
      </c>
      <c r="H1175" cm="1">
        <f t="array" ref="H1175">_xlfn.LET(
  _xlpm.s, TRIM(F1175),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5" t="str">
        <f>_xlfn.XLOOKUP(E1175,Calendar!C:C,Calendar!B:B)</f>
        <v>Saturday</v>
      </c>
    </row>
    <row r="1176" spans="1:9" x14ac:dyDescent="0.25">
      <c r="A1176" t="s">
        <v>1175</v>
      </c>
      <c r="B1176" t="s">
        <v>1387</v>
      </c>
      <c r="C1176" t="s">
        <v>1418</v>
      </c>
      <c r="D1176" s="2">
        <v>46230.790671296294</v>
      </c>
      <c r="E1176" s="2">
        <f t="shared" si="29"/>
        <v>46230</v>
      </c>
      <c r="F1176" t="s">
        <v>1738</v>
      </c>
      <c r="G1176">
        <f>_xlfn.XLOOKUP(A1176,FTD!A:A,FTD!C:C)</f>
        <v>1500</v>
      </c>
      <c r="H1176" cm="1">
        <f t="array" ref="H1176">_xlfn.LET(
  _xlpm.s, TRIM(F1176),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6" t="str">
        <f>_xlfn.XLOOKUP(E1176,Calendar!C:C,Calendar!B:B)</f>
        <v>Working Day</v>
      </c>
    </row>
    <row r="1177" spans="1:9" x14ac:dyDescent="0.25">
      <c r="A1177" t="s">
        <v>1176</v>
      </c>
      <c r="B1177" t="s">
        <v>1387</v>
      </c>
      <c r="C1177" t="s">
        <v>1390</v>
      </c>
      <c r="D1177" s="2">
        <v>46206.405162037037</v>
      </c>
      <c r="E1177" s="2">
        <f t="shared" si="29"/>
        <v>46206</v>
      </c>
      <c r="F1177" t="s">
        <v>1743</v>
      </c>
      <c r="G1177">
        <f>_xlfn.XLOOKUP(A1177,FTD!A:A,FTD!C:C)</f>
        <v>1000</v>
      </c>
      <c r="H1177" cm="1">
        <f t="array" ref="H1177">_xlfn.LET(
  _xlpm.s, TRIM(F1177),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7" t="str">
        <f>_xlfn.XLOOKUP(E1177,Calendar!C:C,Calendar!B:B)</f>
        <v>Working Day</v>
      </c>
    </row>
    <row r="1178" spans="1:9" x14ac:dyDescent="0.25">
      <c r="A1178" t="s">
        <v>1177</v>
      </c>
      <c r="B1178" t="s">
        <v>1387</v>
      </c>
      <c r="C1178" t="s">
        <v>1399</v>
      </c>
      <c r="D1178" s="2">
        <v>46204.38958333333</v>
      </c>
      <c r="E1178" s="2">
        <f t="shared" si="29"/>
        <v>46204</v>
      </c>
      <c r="F1178" t="s">
        <v>1738</v>
      </c>
      <c r="G1178">
        <f>_xlfn.XLOOKUP(A1178,FTD!A:A,FTD!C:C)</f>
        <v>50000</v>
      </c>
      <c r="H1178" cm="1">
        <f t="array" ref="H1178">_xlfn.LET(
  _xlpm.s, TRIM(F1178),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8" t="str">
        <f>_xlfn.XLOOKUP(E1178,Calendar!C:C,Calendar!B:B)</f>
        <v>Working Day</v>
      </c>
    </row>
    <row r="1179" spans="1:9" x14ac:dyDescent="0.25">
      <c r="A1179" t="s">
        <v>1178</v>
      </c>
      <c r="B1179" t="s">
        <v>1387</v>
      </c>
      <c r="C1179" t="s">
        <v>1399</v>
      </c>
      <c r="D1179" s="2">
        <v>46204.609733796293</v>
      </c>
      <c r="E1179" s="2">
        <f t="shared" si="29"/>
        <v>46204</v>
      </c>
      <c r="F1179" t="s">
        <v>1738</v>
      </c>
      <c r="G1179">
        <f>_xlfn.XLOOKUP(A1179,FTD!A:A,FTD!C:C)</f>
        <v>3000</v>
      </c>
      <c r="H1179" cm="1">
        <f t="array" ref="H1179">_xlfn.LET(
  _xlpm.s, TRIM(F1179),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79" t="str">
        <f>_xlfn.XLOOKUP(E1179,Calendar!C:C,Calendar!B:B)</f>
        <v>Working Day</v>
      </c>
    </row>
    <row r="1180" spans="1:9" x14ac:dyDescent="0.25">
      <c r="A1180" t="s">
        <v>1179</v>
      </c>
      <c r="B1180" t="s">
        <v>1387</v>
      </c>
      <c r="C1180" t="s">
        <v>1407</v>
      </c>
      <c r="D1180" s="2">
        <v>46206.630925925921</v>
      </c>
      <c r="E1180" s="2">
        <f t="shared" si="29"/>
        <v>46206</v>
      </c>
      <c r="F1180" t="s">
        <v>1745</v>
      </c>
      <c r="G1180">
        <f>_xlfn.XLOOKUP(A1180,FTD!A:A,FTD!C:C)</f>
        <v>1000</v>
      </c>
      <c r="H1180" cm="1">
        <f t="array" ref="H1180">_xlfn.LET(
  _xlpm.s, TRIM(F1180),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80" t="str">
        <f>_xlfn.XLOOKUP(E1180,Calendar!C:C,Calendar!B:B)</f>
        <v>Working Day</v>
      </c>
    </row>
    <row r="1181" spans="1:9" x14ac:dyDescent="0.25">
      <c r="A1181" t="s">
        <v>1180</v>
      </c>
      <c r="B1181" t="s">
        <v>1387</v>
      </c>
      <c r="C1181" t="s">
        <v>1406</v>
      </c>
      <c r="D1181" s="2">
        <v>46204.445810185185</v>
      </c>
      <c r="E1181" s="2">
        <f t="shared" si="29"/>
        <v>46204</v>
      </c>
      <c r="F1181" t="s">
        <v>1746</v>
      </c>
      <c r="G1181">
        <f>_xlfn.XLOOKUP(A1181,FTD!A:A,FTD!C:C)</f>
        <v>4000</v>
      </c>
      <c r="H1181" cm="1">
        <f t="array" ref="H1181">_xlfn.LET(
  _xlpm.s, TRIM(F1181),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81" t="str">
        <f>_xlfn.XLOOKUP(E1181,Calendar!C:C,Calendar!B:B)</f>
        <v>Working Day</v>
      </c>
    </row>
    <row r="1182" spans="1:9" x14ac:dyDescent="0.25">
      <c r="A1182" t="s">
        <v>1181</v>
      </c>
      <c r="B1182" t="s">
        <v>1387</v>
      </c>
      <c r="C1182" t="s">
        <v>1402</v>
      </c>
      <c r="D1182" s="2">
        <v>46213.402650462958</v>
      </c>
      <c r="E1182" s="2">
        <f t="shared" si="29"/>
        <v>46213</v>
      </c>
      <c r="F1182" t="s">
        <v>1743</v>
      </c>
      <c r="G1182">
        <f>_xlfn.XLOOKUP(A1182,FTD!A:A,FTD!C:C)</f>
        <v>1000</v>
      </c>
      <c r="H1182" cm="1">
        <f t="array" ref="H1182">_xlfn.LET(
  _xlpm.s, TRIM(F1182),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82" t="str">
        <f>_xlfn.XLOOKUP(E1182,Calendar!C:C,Calendar!B:B)</f>
        <v>Working Day</v>
      </c>
    </row>
    <row r="1183" spans="1:9" x14ac:dyDescent="0.25">
      <c r="A1183" t="s">
        <v>1182</v>
      </c>
      <c r="B1183" t="s">
        <v>1387</v>
      </c>
      <c r="C1183" t="s">
        <v>1395</v>
      </c>
      <c r="D1183" s="2">
        <v>46213.414282407408</v>
      </c>
      <c r="E1183" s="2">
        <f t="shared" si="29"/>
        <v>46213</v>
      </c>
      <c r="F1183" t="s">
        <v>1742</v>
      </c>
      <c r="G1183">
        <f>_xlfn.XLOOKUP(A1183,FTD!A:A,FTD!C:C)</f>
        <v>1000</v>
      </c>
      <c r="H1183" cm="1">
        <f t="array" ref="H1183">_xlfn.LET(
  _xlpm.s, TRIM(F1183),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83" t="str">
        <f>_xlfn.XLOOKUP(E1183,Calendar!C:C,Calendar!B:B)</f>
        <v>Working Day</v>
      </c>
    </row>
    <row r="1184" spans="1:9" x14ac:dyDescent="0.25">
      <c r="A1184" t="s">
        <v>1183</v>
      </c>
      <c r="B1184" t="s">
        <v>1387</v>
      </c>
      <c r="C1184" t="s">
        <v>1415</v>
      </c>
      <c r="D1184" s="2">
        <v>46217.429085648146</v>
      </c>
      <c r="E1184" s="2">
        <f t="shared" si="29"/>
        <v>46217</v>
      </c>
      <c r="F1184" t="s">
        <v>1738</v>
      </c>
      <c r="G1184">
        <f>_xlfn.XLOOKUP(A1184,FTD!A:A,FTD!C:C)</f>
        <v>1000</v>
      </c>
      <c r="H1184" cm="1">
        <f t="array" ref="H1184">_xlfn.LET(
  _xlpm.s, TRIM(F1184),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84" t="str">
        <f>_xlfn.XLOOKUP(E1184,Calendar!C:C,Calendar!B:B)</f>
        <v>Working Day</v>
      </c>
    </row>
    <row r="1185" spans="1:9" x14ac:dyDescent="0.25">
      <c r="A1185" t="s">
        <v>1184</v>
      </c>
      <c r="B1185" t="s">
        <v>1387</v>
      </c>
      <c r="C1185" t="s">
        <v>1418</v>
      </c>
      <c r="D1185" s="2">
        <v>46223.778414351851</v>
      </c>
      <c r="E1185" s="2">
        <f t="shared" si="29"/>
        <v>46223</v>
      </c>
      <c r="F1185" t="s">
        <v>1754</v>
      </c>
      <c r="G1185">
        <f>_xlfn.XLOOKUP(A1185,FTD!A:A,FTD!C:C)</f>
        <v>1000</v>
      </c>
      <c r="H1185" cm="1">
        <f t="array" ref="H1185">_xlfn.LET(
  _xlpm.s, TRIM(F1185),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85" t="str">
        <f>_xlfn.XLOOKUP(E1185,Calendar!C:C,Calendar!B:B)</f>
        <v>Working Day</v>
      </c>
    </row>
    <row r="1186" spans="1:9" x14ac:dyDescent="0.25">
      <c r="A1186" t="s">
        <v>1185</v>
      </c>
      <c r="B1186" t="s">
        <v>1387</v>
      </c>
      <c r="C1186" t="s">
        <v>1407</v>
      </c>
      <c r="D1186" s="2">
        <v>46223.819409722222</v>
      </c>
      <c r="E1186" s="2">
        <f t="shared" si="29"/>
        <v>46223</v>
      </c>
      <c r="F1186" t="s">
        <v>1745</v>
      </c>
      <c r="G1186">
        <f>_xlfn.XLOOKUP(A1186,FTD!A:A,FTD!C:C)</f>
        <v>1000</v>
      </c>
      <c r="H1186" cm="1">
        <f t="array" ref="H1186">_xlfn.LET(
  _xlpm.s, TRIM(F1186),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186" t="str">
        <f>_xlfn.XLOOKUP(E1186,Calendar!C:C,Calendar!B:B)</f>
        <v>Working Day</v>
      </c>
    </row>
    <row r="1187" spans="1:9" x14ac:dyDescent="0.25">
      <c r="A1187" t="s">
        <v>1186</v>
      </c>
      <c r="B1187" t="s">
        <v>1387</v>
      </c>
      <c r="C1187" t="s">
        <v>1409</v>
      </c>
      <c r="D1187" s="2">
        <v>46210.808113425926</v>
      </c>
      <c r="E1187" s="2">
        <f t="shared" si="29"/>
        <v>46210</v>
      </c>
      <c r="F1187" t="s">
        <v>1744</v>
      </c>
      <c r="G1187">
        <f>_xlfn.XLOOKUP(A1187,FTD!A:A,FTD!C:C)</f>
        <v>1000</v>
      </c>
      <c r="H1187" cm="1">
        <f t="array" ref="H1187">_xlfn.LET(
  _xlpm.s, TRIM(F1187),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87" t="str">
        <f>_xlfn.XLOOKUP(E1187,Calendar!C:C,Calendar!B:B)</f>
        <v>Working Day</v>
      </c>
    </row>
    <row r="1188" spans="1:9" x14ac:dyDescent="0.25">
      <c r="A1188" t="s">
        <v>1187</v>
      </c>
      <c r="B1188" t="s">
        <v>1387</v>
      </c>
      <c r="C1188" t="s">
        <v>1399</v>
      </c>
      <c r="D1188" s="2">
        <v>46212.611863425926</v>
      </c>
      <c r="E1188" s="2">
        <f t="shared" si="29"/>
        <v>46212</v>
      </c>
      <c r="F1188" t="s">
        <v>1739</v>
      </c>
      <c r="G1188">
        <f>_xlfn.XLOOKUP(A1188,FTD!A:A,FTD!C:C)</f>
        <v>4000</v>
      </c>
      <c r="H1188" cm="1">
        <f t="array" ref="H1188">_xlfn.LET(
  _xlpm.s, TRIM(F1188),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88" t="str">
        <f>_xlfn.XLOOKUP(E1188,Calendar!C:C,Calendar!B:B)</f>
        <v>Working Day</v>
      </c>
    </row>
    <row r="1189" spans="1:9" x14ac:dyDescent="0.25">
      <c r="A1189" t="s">
        <v>1188</v>
      </c>
      <c r="B1189" t="s">
        <v>1387</v>
      </c>
      <c r="C1189" t="s">
        <v>1399</v>
      </c>
      <c r="D1189" s="2">
        <v>46213.751527777778</v>
      </c>
      <c r="E1189" s="2">
        <f t="shared" si="29"/>
        <v>46213</v>
      </c>
      <c r="F1189" t="s">
        <v>1738</v>
      </c>
      <c r="G1189">
        <f>_xlfn.XLOOKUP(A1189,FTD!A:A,FTD!C:C)</f>
        <v>5000</v>
      </c>
      <c r="H1189" cm="1">
        <f t="array" ref="H1189">_xlfn.LET(
  _xlpm.s, TRIM(F1189),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89" t="str">
        <f>_xlfn.XLOOKUP(E1189,Calendar!C:C,Calendar!B:B)</f>
        <v>Working Day</v>
      </c>
    </row>
    <row r="1190" spans="1:9" x14ac:dyDescent="0.25">
      <c r="A1190" t="s">
        <v>1189</v>
      </c>
      <c r="B1190" t="s">
        <v>1387</v>
      </c>
      <c r="C1190" t="s">
        <v>1399</v>
      </c>
      <c r="D1190" s="2">
        <v>46212.521423611106</v>
      </c>
      <c r="E1190" s="2">
        <f t="shared" si="29"/>
        <v>46212</v>
      </c>
      <c r="F1190" t="s">
        <v>1738</v>
      </c>
      <c r="G1190">
        <f>_xlfn.XLOOKUP(A1190,FTD!A:A,FTD!C:C)</f>
        <v>11000</v>
      </c>
      <c r="H1190" cm="1">
        <f t="array" ref="H1190">_xlfn.LET(
  _xlpm.s, TRIM(F1190),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0" t="str">
        <f>_xlfn.XLOOKUP(E1190,Calendar!C:C,Calendar!B:B)</f>
        <v>Working Day</v>
      </c>
    </row>
    <row r="1191" spans="1:9" x14ac:dyDescent="0.25">
      <c r="A1191" t="s">
        <v>1190</v>
      </c>
      <c r="B1191" t="s">
        <v>1387</v>
      </c>
      <c r="C1191" t="s">
        <v>1408</v>
      </c>
      <c r="D1191" s="2">
        <v>46209.414942129624</v>
      </c>
      <c r="E1191" s="2">
        <f t="shared" si="29"/>
        <v>46209</v>
      </c>
      <c r="F1191" t="s">
        <v>1738</v>
      </c>
      <c r="G1191">
        <f>_xlfn.XLOOKUP(A1191,FTD!A:A,FTD!C:C)</f>
        <v>5000</v>
      </c>
      <c r="H1191" cm="1">
        <f t="array" ref="H1191">_xlfn.LET(
  _xlpm.s, TRIM(F1191),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1" t="str">
        <f>_xlfn.XLOOKUP(E1191,Calendar!C:C,Calendar!B:B)</f>
        <v>Working Day</v>
      </c>
    </row>
    <row r="1192" spans="1:9" x14ac:dyDescent="0.25">
      <c r="A1192" t="s">
        <v>1191</v>
      </c>
      <c r="B1192" t="s">
        <v>1387</v>
      </c>
      <c r="C1192" t="s">
        <v>1392</v>
      </c>
      <c r="D1192" s="2">
        <v>46207.44594907407</v>
      </c>
      <c r="E1192" s="2">
        <f t="shared" si="29"/>
        <v>46207</v>
      </c>
      <c r="F1192" t="s">
        <v>1743</v>
      </c>
      <c r="G1192">
        <f>_xlfn.XLOOKUP(A1192,FTD!A:A,FTD!C:C)</f>
        <v>1000</v>
      </c>
      <c r="H1192" cm="1">
        <f t="array" ref="H1192">_xlfn.LET(
  _xlpm.s, TRIM(F1192),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2" t="str">
        <f>_xlfn.XLOOKUP(E1192,Calendar!C:C,Calendar!B:B)</f>
        <v>Saturday</v>
      </c>
    </row>
    <row r="1193" spans="1:9" x14ac:dyDescent="0.25">
      <c r="A1193" t="s">
        <v>1192</v>
      </c>
      <c r="B1193" t="s">
        <v>1387</v>
      </c>
      <c r="C1193" t="s">
        <v>1408</v>
      </c>
      <c r="D1193" s="2">
        <v>46210.494999999995</v>
      </c>
      <c r="E1193" s="2">
        <f t="shared" si="29"/>
        <v>46210</v>
      </c>
      <c r="F1193" t="s">
        <v>1738</v>
      </c>
      <c r="G1193">
        <f>_xlfn.XLOOKUP(A1193,FTD!A:A,FTD!C:C)</f>
        <v>1000</v>
      </c>
      <c r="H1193" cm="1">
        <f t="array" ref="H1193">_xlfn.LET(
  _xlpm.s, TRIM(F1193),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3" t="str">
        <f>_xlfn.XLOOKUP(E1193,Calendar!C:C,Calendar!B:B)</f>
        <v>Working Day</v>
      </c>
    </row>
    <row r="1194" spans="1:9" x14ac:dyDescent="0.25">
      <c r="A1194" t="s">
        <v>1193</v>
      </c>
      <c r="B1194" t="s">
        <v>1387</v>
      </c>
      <c r="C1194" t="s">
        <v>1408</v>
      </c>
      <c r="D1194" s="2">
        <v>46232.820706018516</v>
      </c>
      <c r="E1194" s="2">
        <f t="shared" si="29"/>
        <v>46232</v>
      </c>
      <c r="F1194" t="s">
        <v>1738</v>
      </c>
      <c r="G1194">
        <f>_xlfn.XLOOKUP(A1194,FTD!A:A,FTD!C:C)</f>
        <v>1000</v>
      </c>
      <c r="H1194" cm="1">
        <f t="array" ref="H1194">_xlfn.LET(
  _xlpm.s, TRIM(F1194),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4" t="str">
        <f>_xlfn.XLOOKUP(E1194,Calendar!C:C,Calendar!B:B)</f>
        <v>Working Day</v>
      </c>
    </row>
    <row r="1195" spans="1:9" x14ac:dyDescent="0.25">
      <c r="A1195" t="s">
        <v>1194</v>
      </c>
      <c r="B1195" t="s">
        <v>1387</v>
      </c>
      <c r="C1195" t="s">
        <v>1412</v>
      </c>
      <c r="D1195" s="2">
        <v>46230.436527777776</v>
      </c>
      <c r="E1195" s="2">
        <f t="shared" si="29"/>
        <v>46230</v>
      </c>
      <c r="F1195" t="s">
        <v>1739</v>
      </c>
      <c r="G1195">
        <f>_xlfn.XLOOKUP(A1195,FTD!A:A,FTD!C:C)</f>
        <v>3000</v>
      </c>
      <c r="H1195" cm="1">
        <f t="array" ref="H1195">_xlfn.LET(
  _xlpm.s, TRIM(F1195),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95" t="str">
        <f>_xlfn.XLOOKUP(E1195,Calendar!C:C,Calendar!B:B)</f>
        <v>Working Day</v>
      </c>
    </row>
    <row r="1196" spans="1:9" x14ac:dyDescent="0.25">
      <c r="A1196" t="s">
        <v>1195</v>
      </c>
      <c r="B1196" t="s">
        <v>1387</v>
      </c>
      <c r="C1196" t="s">
        <v>1406</v>
      </c>
      <c r="D1196" s="2">
        <v>46225.390613425923</v>
      </c>
      <c r="E1196" s="2">
        <f t="shared" si="29"/>
        <v>46225</v>
      </c>
      <c r="F1196" t="s">
        <v>1738</v>
      </c>
      <c r="G1196">
        <f>_xlfn.XLOOKUP(A1196,FTD!A:A,FTD!C:C)</f>
        <v>10000</v>
      </c>
      <c r="H1196" cm="1">
        <f t="array" ref="H1196">_xlfn.LET(
  _xlpm.s, TRIM(F1196),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6" t="str">
        <f>_xlfn.XLOOKUP(E1196,Calendar!C:C,Calendar!B:B)</f>
        <v>Working Day</v>
      </c>
    </row>
    <row r="1197" spans="1:9" x14ac:dyDescent="0.25">
      <c r="A1197" t="s">
        <v>1196</v>
      </c>
      <c r="B1197" t="s">
        <v>1387</v>
      </c>
      <c r="C1197" t="s">
        <v>1408</v>
      </c>
      <c r="D1197" s="2">
        <v>46217.710995370369</v>
      </c>
      <c r="E1197" s="2">
        <f t="shared" si="29"/>
        <v>46217</v>
      </c>
      <c r="F1197" t="s">
        <v>1739</v>
      </c>
      <c r="G1197">
        <f>_xlfn.XLOOKUP(A1197,FTD!A:A,FTD!C:C)</f>
        <v>3000</v>
      </c>
      <c r="H1197" cm="1">
        <f t="array" ref="H1197">_xlfn.LET(
  _xlpm.s, TRIM(F1197),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97" t="str">
        <f>_xlfn.XLOOKUP(E1197,Calendar!C:C,Calendar!B:B)</f>
        <v>Working Day</v>
      </c>
    </row>
    <row r="1198" spans="1:9" x14ac:dyDescent="0.25">
      <c r="A1198" t="s">
        <v>1197</v>
      </c>
      <c r="B1198" t="s">
        <v>1384</v>
      </c>
      <c r="C1198" t="s">
        <v>1419</v>
      </c>
      <c r="D1198" s="2">
        <v>46206.510081018518</v>
      </c>
      <c r="E1198" s="2">
        <f t="shared" si="29"/>
        <v>46206</v>
      </c>
      <c r="F1198" t="s">
        <v>1746</v>
      </c>
      <c r="G1198">
        <f>_xlfn.XLOOKUP(A1198,FTD!A:A,FTD!C:C)</f>
        <v>1000</v>
      </c>
      <c r="H1198" cm="1">
        <f t="array" ref="H1198">_xlfn.LET(
  _xlpm.s, TRIM(F1198),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198" t="str">
        <f>_xlfn.XLOOKUP(E1198,Calendar!C:C,Calendar!B:B)</f>
        <v>Working Day</v>
      </c>
    </row>
    <row r="1199" spans="1:9" x14ac:dyDescent="0.25">
      <c r="A1199" t="s">
        <v>1198</v>
      </c>
      <c r="B1199" t="s">
        <v>1384</v>
      </c>
      <c r="C1199" t="s">
        <v>1418</v>
      </c>
      <c r="D1199" s="2">
        <v>46231.797372685185</v>
      </c>
      <c r="E1199" s="2">
        <f t="shared" si="29"/>
        <v>46231</v>
      </c>
      <c r="F1199" t="s">
        <v>1738</v>
      </c>
      <c r="G1199">
        <f>_xlfn.XLOOKUP(A1199,FTD!A:A,FTD!C:C)</f>
        <v>1001</v>
      </c>
      <c r="H1199" cm="1">
        <f t="array" ref="H1199">_xlfn.LET(
  _xlpm.s, TRIM(F1199),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199" t="str">
        <f>_xlfn.XLOOKUP(E1199,Calendar!C:C,Calendar!B:B)</f>
        <v>Working Day</v>
      </c>
    </row>
    <row r="1200" spans="1:9" x14ac:dyDescent="0.25">
      <c r="A1200" t="s">
        <v>1199</v>
      </c>
      <c r="B1200" t="s">
        <v>1384</v>
      </c>
      <c r="C1200" t="s">
        <v>1391</v>
      </c>
      <c r="D1200" s="2">
        <v>46234.671747685185</v>
      </c>
      <c r="E1200" s="2">
        <f t="shared" si="29"/>
        <v>46234</v>
      </c>
      <c r="F1200" t="s">
        <v>1759</v>
      </c>
      <c r="G1200">
        <f>_xlfn.XLOOKUP(A1200,FTD!A:A,FTD!C:C)</f>
        <v>500</v>
      </c>
      <c r="H1200" cm="1">
        <f t="array" ref="H1200">_xlfn.LET(
  _xlpm.s, TRIM(F1200),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00" t="str">
        <f>_xlfn.XLOOKUP(E1200,Calendar!C:C,Calendar!B:B)</f>
        <v>Working Day</v>
      </c>
    </row>
    <row r="1201" spans="1:9" x14ac:dyDescent="0.25">
      <c r="A1201" t="s">
        <v>1200</v>
      </c>
      <c r="B1201" t="s">
        <v>1387</v>
      </c>
      <c r="C1201" t="s">
        <v>1413</v>
      </c>
      <c r="D1201" s="2">
        <v>46206.458622685182</v>
      </c>
      <c r="E1201" s="2">
        <f t="shared" si="29"/>
        <v>46206</v>
      </c>
      <c r="F1201" t="s">
        <v>1738</v>
      </c>
      <c r="G1201">
        <f>_xlfn.XLOOKUP(A1201,FTD!A:A,FTD!C:C)</f>
        <v>4000</v>
      </c>
      <c r="H1201" cm="1">
        <f t="array" ref="H1201">_xlfn.LET(
  _xlpm.s, TRIM(F1201),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1" t="str">
        <f>_xlfn.XLOOKUP(E1201,Calendar!C:C,Calendar!B:B)</f>
        <v>Working Day</v>
      </c>
    </row>
    <row r="1202" spans="1:9" x14ac:dyDescent="0.25">
      <c r="A1202" t="s">
        <v>1201</v>
      </c>
      <c r="B1202" t="s">
        <v>1387</v>
      </c>
      <c r="C1202" t="s">
        <v>1393</v>
      </c>
      <c r="D1202" s="2">
        <v>46208.63181712963</v>
      </c>
      <c r="E1202" s="2">
        <f t="shared" si="29"/>
        <v>46208</v>
      </c>
      <c r="F1202" t="s">
        <v>1744</v>
      </c>
      <c r="G1202">
        <f>_xlfn.XLOOKUP(A1202,FTD!A:A,FTD!C:C)</f>
        <v>4000</v>
      </c>
      <c r="H1202" cm="1">
        <f t="array" ref="H1202">_xlfn.LET(
  _xlpm.s, TRIM(F1202),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2" t="str">
        <f>_xlfn.XLOOKUP(E1202,Calendar!C:C,Calendar!B:B)</f>
        <v>Sunday</v>
      </c>
    </row>
    <row r="1203" spans="1:9" x14ac:dyDescent="0.25">
      <c r="A1203" t="s">
        <v>1202</v>
      </c>
      <c r="B1203" t="s">
        <v>1387</v>
      </c>
      <c r="C1203" t="s">
        <v>1426</v>
      </c>
      <c r="D1203" s="2">
        <v>46224.635567129626</v>
      </c>
      <c r="E1203" s="2">
        <f t="shared" si="29"/>
        <v>46224</v>
      </c>
      <c r="F1203" t="s">
        <v>1738</v>
      </c>
      <c r="G1203">
        <f>_xlfn.XLOOKUP(A1203,FTD!A:A,FTD!C:C)</f>
        <v>2000</v>
      </c>
      <c r="H1203" cm="1">
        <f t="array" ref="H1203">_xlfn.LET(
  _xlpm.s, TRIM(F1203),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3" t="str">
        <f>_xlfn.XLOOKUP(E1203,Calendar!C:C,Calendar!B:B)</f>
        <v>Working Day</v>
      </c>
    </row>
    <row r="1204" spans="1:9" x14ac:dyDescent="0.25">
      <c r="A1204" t="s">
        <v>1203</v>
      </c>
      <c r="B1204" t="s">
        <v>1387</v>
      </c>
      <c r="C1204" t="s">
        <v>1399</v>
      </c>
      <c r="D1204" s="2">
        <v>46211.553379629629</v>
      </c>
      <c r="E1204" s="2">
        <f t="shared" si="29"/>
        <v>46211</v>
      </c>
      <c r="F1204" t="s">
        <v>1738</v>
      </c>
      <c r="G1204">
        <f>_xlfn.XLOOKUP(A1204,FTD!A:A,FTD!C:C)</f>
        <v>1200</v>
      </c>
      <c r="H1204" cm="1">
        <f t="array" ref="H1204">_xlfn.LET(
  _xlpm.s, TRIM(F1204),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4" t="str">
        <f>_xlfn.XLOOKUP(E1204,Calendar!C:C,Calendar!B:B)</f>
        <v>Working Day</v>
      </c>
    </row>
    <row r="1205" spans="1:9" x14ac:dyDescent="0.25">
      <c r="A1205" t="s">
        <v>1204</v>
      </c>
      <c r="B1205" t="s">
        <v>1387</v>
      </c>
      <c r="C1205" t="s">
        <v>1394</v>
      </c>
      <c r="D1205" s="2">
        <v>46212.442175925928</v>
      </c>
      <c r="E1205" s="2">
        <f t="shared" si="29"/>
        <v>46212</v>
      </c>
      <c r="F1205" t="s">
        <v>1739</v>
      </c>
      <c r="G1205">
        <f>_xlfn.XLOOKUP(A1205,FTD!A:A,FTD!C:C)</f>
        <v>1000</v>
      </c>
      <c r="H1205" cm="1">
        <f t="array" ref="H1205">_xlfn.LET(
  _xlpm.s, TRIM(F1205),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05" t="str">
        <f>_xlfn.XLOOKUP(E1205,Calendar!C:C,Calendar!B:B)</f>
        <v>Working Day</v>
      </c>
    </row>
    <row r="1206" spans="1:9" x14ac:dyDescent="0.25">
      <c r="A1206" t="s">
        <v>1205</v>
      </c>
      <c r="B1206" t="s">
        <v>1387</v>
      </c>
      <c r="C1206" t="s">
        <v>1430</v>
      </c>
      <c r="D1206" s="2">
        <v>46211.896805555552</v>
      </c>
      <c r="E1206" s="2">
        <f t="shared" si="29"/>
        <v>46211</v>
      </c>
      <c r="F1206" t="s">
        <v>1744</v>
      </c>
      <c r="G1206">
        <f>_xlfn.XLOOKUP(A1206,FTD!A:A,FTD!C:C)</f>
        <v>1000</v>
      </c>
      <c r="H1206" cm="1">
        <f t="array" ref="H1206">_xlfn.LET(
  _xlpm.s, TRIM(F1206),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6" t="str">
        <f>_xlfn.XLOOKUP(E1206,Calendar!C:C,Calendar!B:B)</f>
        <v>Working Day</v>
      </c>
    </row>
    <row r="1207" spans="1:9" x14ac:dyDescent="0.25">
      <c r="A1207" t="s">
        <v>1206</v>
      </c>
      <c r="B1207" t="s">
        <v>1387</v>
      </c>
      <c r="C1207" t="s">
        <v>1412</v>
      </c>
      <c r="D1207" s="2">
        <v>46209.436307870368</v>
      </c>
      <c r="E1207" s="2">
        <f t="shared" si="29"/>
        <v>46209</v>
      </c>
      <c r="F1207" t="s">
        <v>1738</v>
      </c>
      <c r="G1207">
        <f>_xlfn.XLOOKUP(A1207,FTD!A:A,FTD!C:C)</f>
        <v>1000</v>
      </c>
      <c r="H1207" cm="1">
        <f t="array" ref="H1207">_xlfn.LET(
  _xlpm.s, TRIM(F1207),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7" t="str">
        <f>_xlfn.XLOOKUP(E1207,Calendar!C:C,Calendar!B:B)</f>
        <v>Working Day</v>
      </c>
    </row>
    <row r="1208" spans="1:9" x14ac:dyDescent="0.25">
      <c r="A1208" t="s">
        <v>1207</v>
      </c>
      <c r="B1208" t="s">
        <v>1387</v>
      </c>
      <c r="C1208" t="s">
        <v>1402</v>
      </c>
      <c r="D1208" s="2">
        <v>46212.548437500001</v>
      </c>
      <c r="E1208" s="2">
        <f t="shared" si="29"/>
        <v>46212</v>
      </c>
      <c r="F1208" t="s">
        <v>1738</v>
      </c>
      <c r="G1208">
        <f>_xlfn.XLOOKUP(A1208,FTD!A:A,FTD!C:C)</f>
        <v>4100</v>
      </c>
      <c r="H1208" cm="1">
        <f t="array" ref="H1208">_xlfn.LET(
  _xlpm.s, TRIM(F1208),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8" t="str">
        <f>_xlfn.XLOOKUP(E1208,Calendar!C:C,Calendar!B:B)</f>
        <v>Working Day</v>
      </c>
    </row>
    <row r="1209" spans="1:9" x14ac:dyDescent="0.25">
      <c r="A1209" t="s">
        <v>1208</v>
      </c>
      <c r="B1209" t="s">
        <v>1387</v>
      </c>
      <c r="C1209" t="s">
        <v>1398</v>
      </c>
      <c r="D1209" s="2">
        <v>46225.432858796295</v>
      </c>
      <c r="E1209" s="2">
        <f t="shared" si="29"/>
        <v>46225</v>
      </c>
      <c r="F1209" t="s">
        <v>1738</v>
      </c>
      <c r="G1209">
        <f>_xlfn.XLOOKUP(A1209,FTD!A:A,FTD!C:C)</f>
        <v>10000</v>
      </c>
      <c r="H1209" cm="1">
        <f t="array" ref="H1209">_xlfn.LET(
  _xlpm.s, TRIM(F1209),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09" t="str">
        <f>_xlfn.XLOOKUP(E1209,Calendar!C:C,Calendar!B:B)</f>
        <v>Working Day</v>
      </c>
    </row>
    <row r="1210" spans="1:9" x14ac:dyDescent="0.25">
      <c r="A1210" t="s">
        <v>1209</v>
      </c>
      <c r="B1210" t="s">
        <v>1385</v>
      </c>
      <c r="C1210" t="s">
        <v>1405</v>
      </c>
      <c r="D1210" s="2">
        <v>46226.550624999996</v>
      </c>
      <c r="E1210" s="2">
        <f t="shared" si="29"/>
        <v>46226</v>
      </c>
      <c r="F1210" t="s">
        <v>1738</v>
      </c>
      <c r="G1210" t="e">
        <f>_xlfn.XLOOKUP(A1210,FTD!A:A,FTD!C:C)</f>
        <v>#N/A</v>
      </c>
      <c r="H1210" cm="1">
        <f t="array" ref="H1210">_xlfn.LET(
  _xlpm.s, TRIM(F1210),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10" t="str">
        <f>_xlfn.XLOOKUP(E1210,Calendar!C:C,Calendar!B:B)</f>
        <v>Working Day</v>
      </c>
    </row>
    <row r="1211" spans="1:9" x14ac:dyDescent="0.25">
      <c r="A1211" t="s">
        <v>1210</v>
      </c>
      <c r="B1211" t="s">
        <v>1384</v>
      </c>
      <c r="C1211" t="s">
        <v>1424</v>
      </c>
      <c r="D1211" s="2">
        <v>46207.454722222217</v>
      </c>
      <c r="E1211" s="2">
        <f t="shared" si="29"/>
        <v>46207</v>
      </c>
      <c r="F1211" t="s">
        <v>1740</v>
      </c>
      <c r="G1211">
        <f>_xlfn.XLOOKUP(A1211,FTD!A:A,FTD!C:C)</f>
        <v>375</v>
      </c>
      <c r="H1211" cm="1">
        <f t="array" ref="H1211">_xlfn.LET(
  _xlpm.s, TRIM(F1211),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11" t="str">
        <f>_xlfn.XLOOKUP(E1211,Calendar!C:C,Calendar!B:B)</f>
        <v>Saturday</v>
      </c>
    </row>
    <row r="1212" spans="1:9" x14ac:dyDescent="0.25">
      <c r="A1212" t="s">
        <v>1211</v>
      </c>
      <c r="B1212" t="s">
        <v>1387</v>
      </c>
      <c r="C1212" t="s">
        <v>1404</v>
      </c>
      <c r="D1212" s="2">
        <v>46204.511817129627</v>
      </c>
      <c r="E1212" s="2">
        <f t="shared" si="29"/>
        <v>46204</v>
      </c>
      <c r="F1212" t="s">
        <v>1706</v>
      </c>
      <c r="G1212">
        <f>_xlfn.XLOOKUP(A1212,FTD!A:A,FTD!C:C)</f>
        <v>1000</v>
      </c>
      <c r="H1212" cm="1">
        <f t="array" ref="H1212">_xlfn.LET(
  _xlpm.s, TRIM(F1212),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12" t="str">
        <f>_xlfn.XLOOKUP(E1212,Calendar!C:C,Calendar!B:B)</f>
        <v>Working Day</v>
      </c>
    </row>
    <row r="1213" spans="1:9" x14ac:dyDescent="0.25">
      <c r="A1213" t="s">
        <v>1212</v>
      </c>
      <c r="B1213" t="s">
        <v>1387</v>
      </c>
      <c r="C1213" t="s">
        <v>1398</v>
      </c>
      <c r="D1213" s="2">
        <v>46222.019895833335</v>
      </c>
      <c r="E1213" s="2">
        <f t="shared" si="29"/>
        <v>46222</v>
      </c>
      <c r="F1213" t="s">
        <v>1738</v>
      </c>
      <c r="G1213">
        <f>_xlfn.XLOOKUP(A1213,FTD!A:A,FTD!C:C)</f>
        <v>1000</v>
      </c>
      <c r="H1213" cm="1">
        <f t="array" ref="H1213">_xlfn.LET(
  _xlpm.s, TRIM(F1213),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13" t="str">
        <f>_xlfn.XLOOKUP(E1213,Calendar!C:C,Calendar!B:B)</f>
        <v>Sunday</v>
      </c>
    </row>
    <row r="1214" spans="1:9" x14ac:dyDescent="0.25">
      <c r="A1214" t="s">
        <v>1213</v>
      </c>
      <c r="B1214" t="s">
        <v>1384</v>
      </c>
      <c r="C1214" t="s">
        <v>1392</v>
      </c>
      <c r="D1214" s="2">
        <v>46221.008692129624</v>
      </c>
      <c r="E1214" s="2">
        <f t="shared" si="29"/>
        <v>46221</v>
      </c>
      <c r="F1214" t="s">
        <v>1706</v>
      </c>
      <c r="G1214">
        <f>_xlfn.XLOOKUP(A1214,FTD!A:A,FTD!C:C)</f>
        <v>885</v>
      </c>
      <c r="H1214" cm="1">
        <f t="array" ref="H1214">_xlfn.LET(
  _xlpm.s, TRIM(F1214),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14" t="str">
        <f>_xlfn.XLOOKUP(E1214,Calendar!C:C,Calendar!B:B)</f>
        <v>Saturday</v>
      </c>
    </row>
    <row r="1215" spans="1:9" x14ac:dyDescent="0.25">
      <c r="A1215" t="s">
        <v>1214</v>
      </c>
      <c r="B1215" t="s">
        <v>1384</v>
      </c>
      <c r="C1215" t="s">
        <v>1390</v>
      </c>
      <c r="D1215" s="2">
        <v>46233.480462962958</v>
      </c>
      <c r="E1215" s="2">
        <f t="shared" si="29"/>
        <v>46233</v>
      </c>
      <c r="F1215" t="s">
        <v>1739</v>
      </c>
      <c r="G1215">
        <f>_xlfn.XLOOKUP(A1215,FTD!A:A,FTD!C:C)</f>
        <v>8000</v>
      </c>
      <c r="H1215" cm="1">
        <f t="array" ref="H1215">_xlfn.LET(
  _xlpm.s, TRIM(F1215),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15" t="str">
        <f>_xlfn.XLOOKUP(E1215,Calendar!C:C,Calendar!B:B)</f>
        <v>Working Day</v>
      </c>
    </row>
    <row r="1216" spans="1:9" x14ac:dyDescent="0.25">
      <c r="A1216" t="s">
        <v>1215</v>
      </c>
      <c r="B1216" t="s">
        <v>1384</v>
      </c>
      <c r="C1216" t="s">
        <v>1395</v>
      </c>
      <c r="D1216" s="2">
        <v>46226.660486111112</v>
      </c>
      <c r="E1216" s="2">
        <f t="shared" si="29"/>
        <v>46226</v>
      </c>
      <c r="F1216" t="s">
        <v>1740</v>
      </c>
      <c r="G1216">
        <f>_xlfn.XLOOKUP(A1216,FTD!A:A,FTD!C:C)</f>
        <v>477</v>
      </c>
      <c r="H1216" cm="1">
        <f t="array" ref="H1216">_xlfn.LET(
  _xlpm.s, TRIM(F1216),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16" t="str">
        <f>_xlfn.XLOOKUP(E1216,Calendar!C:C,Calendar!B:B)</f>
        <v>Working Day</v>
      </c>
    </row>
    <row r="1217" spans="1:9" x14ac:dyDescent="0.25">
      <c r="A1217" t="s">
        <v>1216</v>
      </c>
      <c r="B1217" t="s">
        <v>1387</v>
      </c>
      <c r="C1217" t="s">
        <v>1424</v>
      </c>
      <c r="D1217" s="2">
        <v>46220.393275462964</v>
      </c>
      <c r="E1217" s="2">
        <f t="shared" si="29"/>
        <v>46220</v>
      </c>
      <c r="F1217" t="s">
        <v>1738</v>
      </c>
      <c r="G1217">
        <f>_xlfn.XLOOKUP(A1217,FTD!A:A,FTD!C:C)</f>
        <v>1000</v>
      </c>
      <c r="H1217" cm="1">
        <f t="array" ref="H1217">_xlfn.LET(
  _xlpm.s, TRIM(F1217),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17" t="str">
        <f>_xlfn.XLOOKUP(E1217,Calendar!C:C,Calendar!B:B)</f>
        <v>Working Day</v>
      </c>
    </row>
    <row r="1218" spans="1:9" x14ac:dyDescent="0.25">
      <c r="A1218" t="s">
        <v>1217</v>
      </c>
      <c r="B1218" t="s">
        <v>1387</v>
      </c>
      <c r="C1218" t="s">
        <v>1402</v>
      </c>
      <c r="D1218" s="2">
        <v>46220.58662037037</v>
      </c>
      <c r="E1218" s="2">
        <f t="shared" si="29"/>
        <v>46220</v>
      </c>
      <c r="F1218" t="s">
        <v>1738</v>
      </c>
      <c r="G1218">
        <f>_xlfn.XLOOKUP(A1218,FTD!A:A,FTD!C:C)</f>
        <v>1000</v>
      </c>
      <c r="H1218" cm="1">
        <f t="array" ref="H1218">_xlfn.LET(
  _xlpm.s, TRIM(F1218),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18" t="str">
        <f>_xlfn.XLOOKUP(E1218,Calendar!C:C,Calendar!B:B)</f>
        <v>Working Day</v>
      </c>
    </row>
    <row r="1219" spans="1:9" x14ac:dyDescent="0.25">
      <c r="A1219" t="s">
        <v>1218</v>
      </c>
      <c r="B1219" t="s">
        <v>1384</v>
      </c>
      <c r="C1219" t="s">
        <v>1428</v>
      </c>
      <c r="D1219" s="2">
        <v>46222.69332175926</v>
      </c>
      <c r="E1219" s="2">
        <f t="shared" ref="E1219:E1282" si="30">INT(D1219)</f>
        <v>46222</v>
      </c>
      <c r="F1219" t="s">
        <v>1757</v>
      </c>
      <c r="G1219">
        <f>_xlfn.XLOOKUP(A1219,FTD!A:A,FTD!C:C)</f>
        <v>527</v>
      </c>
      <c r="H1219" cm="1">
        <f t="array" ref="H1219">_xlfn.LET(
  _xlpm.s, TRIM(F1219),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19" t="str">
        <f>_xlfn.XLOOKUP(E1219,Calendar!C:C,Calendar!B:B)</f>
        <v>Sunday</v>
      </c>
    </row>
    <row r="1220" spans="1:9" x14ac:dyDescent="0.25">
      <c r="A1220" t="s">
        <v>1219</v>
      </c>
      <c r="B1220" t="s">
        <v>1387</v>
      </c>
      <c r="C1220" t="s">
        <v>1391</v>
      </c>
      <c r="D1220" s="2">
        <v>46204.491493055553</v>
      </c>
      <c r="E1220" s="2">
        <f t="shared" si="30"/>
        <v>46204</v>
      </c>
      <c r="F1220" t="s">
        <v>1738</v>
      </c>
      <c r="G1220">
        <f>_xlfn.XLOOKUP(A1220,FTD!A:A,FTD!C:C)</f>
        <v>2000</v>
      </c>
      <c r="H1220" cm="1">
        <f t="array" ref="H1220">_xlfn.LET(
  _xlpm.s, TRIM(F1220),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0" t="str">
        <f>_xlfn.XLOOKUP(E1220,Calendar!C:C,Calendar!B:B)</f>
        <v>Working Day</v>
      </c>
    </row>
    <row r="1221" spans="1:9" x14ac:dyDescent="0.25">
      <c r="A1221" t="s">
        <v>1220</v>
      </c>
      <c r="B1221" t="s">
        <v>1387</v>
      </c>
      <c r="C1221" t="s">
        <v>1431</v>
      </c>
      <c r="D1221" s="2">
        <v>46211.572210648148</v>
      </c>
      <c r="E1221" s="2">
        <f t="shared" si="30"/>
        <v>46211</v>
      </c>
      <c r="F1221" t="s">
        <v>1739</v>
      </c>
      <c r="G1221">
        <f>_xlfn.XLOOKUP(A1221,FTD!A:A,FTD!C:C)</f>
        <v>2000</v>
      </c>
      <c r="H1221" cm="1">
        <f t="array" ref="H1221">_xlfn.LET(
  _xlpm.s, TRIM(F1221),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21" t="str">
        <f>_xlfn.XLOOKUP(E1221,Calendar!C:C,Calendar!B:B)</f>
        <v>Working Day</v>
      </c>
    </row>
    <row r="1222" spans="1:9" x14ac:dyDescent="0.25">
      <c r="A1222" t="s">
        <v>1221</v>
      </c>
      <c r="B1222" t="s">
        <v>1387</v>
      </c>
      <c r="C1222" t="s">
        <v>1396</v>
      </c>
      <c r="D1222" s="2">
        <v>46230.589120370365</v>
      </c>
      <c r="E1222" s="2">
        <f t="shared" si="30"/>
        <v>46230</v>
      </c>
      <c r="F1222" t="s">
        <v>1745</v>
      </c>
      <c r="G1222">
        <f>_xlfn.XLOOKUP(A1222,FTD!A:A,FTD!C:C)</f>
        <v>1000</v>
      </c>
      <c r="H1222" cm="1">
        <f t="array" ref="H1222">_xlfn.LET(
  _xlpm.s, TRIM(F1222),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22" t="str">
        <f>_xlfn.XLOOKUP(E1222,Calendar!C:C,Calendar!B:B)</f>
        <v>Working Day</v>
      </c>
    </row>
    <row r="1223" spans="1:9" x14ac:dyDescent="0.25">
      <c r="A1223" t="s">
        <v>1222</v>
      </c>
      <c r="B1223" t="s">
        <v>1387</v>
      </c>
      <c r="C1223" t="s">
        <v>1398</v>
      </c>
      <c r="D1223" s="2">
        <v>46227.497858796298</v>
      </c>
      <c r="E1223" s="2">
        <f t="shared" si="30"/>
        <v>46227</v>
      </c>
      <c r="F1223" t="s">
        <v>1738</v>
      </c>
      <c r="G1223">
        <f>_xlfn.XLOOKUP(A1223,FTD!A:A,FTD!C:C)</f>
        <v>7000</v>
      </c>
      <c r="H1223" cm="1">
        <f t="array" ref="H1223">_xlfn.LET(
  _xlpm.s, TRIM(F1223),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3" t="str">
        <f>_xlfn.XLOOKUP(E1223,Calendar!C:C,Calendar!B:B)</f>
        <v>Working Day</v>
      </c>
    </row>
    <row r="1224" spans="1:9" x14ac:dyDescent="0.25">
      <c r="A1224" t="s">
        <v>1223</v>
      </c>
      <c r="B1224" t="s">
        <v>1387</v>
      </c>
      <c r="C1224" t="s">
        <v>1425</v>
      </c>
      <c r="D1224" s="2">
        <v>46224.409537037034</v>
      </c>
      <c r="E1224" s="2">
        <f t="shared" si="30"/>
        <v>46224</v>
      </c>
      <c r="F1224" t="s">
        <v>1759</v>
      </c>
      <c r="G1224">
        <f>_xlfn.XLOOKUP(A1224,FTD!A:A,FTD!C:C)</f>
        <v>1000</v>
      </c>
      <c r="H1224" cm="1">
        <f t="array" ref="H1224">_xlfn.LET(
  _xlpm.s, TRIM(F1224),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24" t="str">
        <f>_xlfn.XLOOKUP(E1224,Calendar!C:C,Calendar!B:B)</f>
        <v>Working Day</v>
      </c>
    </row>
    <row r="1225" spans="1:9" x14ac:dyDescent="0.25">
      <c r="A1225" t="s">
        <v>1224</v>
      </c>
      <c r="B1225" t="s">
        <v>1387</v>
      </c>
      <c r="C1225" t="s">
        <v>1398</v>
      </c>
      <c r="D1225" s="2">
        <v>46223.439143518517</v>
      </c>
      <c r="E1225" s="2">
        <f t="shared" si="30"/>
        <v>46223</v>
      </c>
      <c r="F1225" t="s">
        <v>1738</v>
      </c>
      <c r="G1225">
        <f>_xlfn.XLOOKUP(A1225,FTD!A:A,FTD!C:C)</f>
        <v>7500</v>
      </c>
      <c r="H1225" cm="1">
        <f t="array" ref="H1225">_xlfn.LET(
  _xlpm.s, TRIM(F1225),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5" t="str">
        <f>_xlfn.XLOOKUP(E1225,Calendar!C:C,Calendar!B:B)</f>
        <v>Working Day</v>
      </c>
    </row>
    <row r="1226" spans="1:9" x14ac:dyDescent="0.25">
      <c r="A1226" t="s">
        <v>1225</v>
      </c>
      <c r="B1226" t="s">
        <v>1387</v>
      </c>
      <c r="C1226" t="s">
        <v>1417</v>
      </c>
      <c r="D1226" s="2">
        <v>46226.619027777779</v>
      </c>
      <c r="E1226" s="2">
        <f t="shared" si="30"/>
        <v>46226</v>
      </c>
      <c r="F1226" t="s">
        <v>1739</v>
      </c>
      <c r="G1226">
        <f>_xlfn.XLOOKUP(A1226,FTD!A:A,FTD!C:C)</f>
        <v>40000</v>
      </c>
      <c r="H1226" cm="1">
        <f t="array" ref="H1226">_xlfn.LET(
  _xlpm.s, TRIM(F1226),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26" t="str">
        <f>_xlfn.XLOOKUP(E1226,Calendar!C:C,Calendar!B:B)</f>
        <v>Working Day</v>
      </c>
    </row>
    <row r="1227" spans="1:9" x14ac:dyDescent="0.25">
      <c r="A1227" t="s">
        <v>1226</v>
      </c>
      <c r="B1227" t="s">
        <v>1387</v>
      </c>
      <c r="C1227" t="s">
        <v>1408</v>
      </c>
      <c r="D1227" s="2">
        <v>46212.840787037036</v>
      </c>
      <c r="E1227" s="2">
        <f t="shared" si="30"/>
        <v>46212</v>
      </c>
      <c r="F1227" t="s">
        <v>1738</v>
      </c>
      <c r="G1227">
        <f>_xlfn.XLOOKUP(A1227,FTD!A:A,FTD!C:C)</f>
        <v>20000</v>
      </c>
      <c r="H1227" cm="1">
        <f t="array" ref="H1227">_xlfn.LET(
  _xlpm.s, TRIM(F1227),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7" t="str">
        <f>_xlfn.XLOOKUP(E1227,Calendar!C:C,Calendar!B:B)</f>
        <v>Working Day</v>
      </c>
    </row>
    <row r="1228" spans="1:9" x14ac:dyDescent="0.25">
      <c r="A1228" t="s">
        <v>1227</v>
      </c>
      <c r="B1228" t="s">
        <v>1387</v>
      </c>
      <c r="C1228" t="s">
        <v>1412</v>
      </c>
      <c r="D1228" s="2">
        <v>46226.606516203705</v>
      </c>
      <c r="E1228" s="2">
        <f t="shared" si="30"/>
        <v>46226</v>
      </c>
      <c r="F1228" t="s">
        <v>1738</v>
      </c>
      <c r="G1228">
        <f>_xlfn.XLOOKUP(A1228,FTD!A:A,FTD!C:C)</f>
        <v>2000</v>
      </c>
      <c r="H1228" cm="1">
        <f t="array" ref="H1228">_xlfn.LET(
  _xlpm.s, TRIM(F1228),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8" t="str">
        <f>_xlfn.XLOOKUP(E1228,Calendar!C:C,Calendar!B:B)</f>
        <v>Working Day</v>
      </c>
    </row>
    <row r="1229" spans="1:9" x14ac:dyDescent="0.25">
      <c r="A1229" t="s">
        <v>1228</v>
      </c>
      <c r="B1229" t="s">
        <v>1387</v>
      </c>
      <c r="C1229" t="s">
        <v>1398</v>
      </c>
      <c r="D1229" s="2">
        <v>46204.73400462963</v>
      </c>
      <c r="E1229" s="2">
        <f t="shared" si="30"/>
        <v>46204</v>
      </c>
      <c r="F1229" t="s">
        <v>1738</v>
      </c>
      <c r="G1229">
        <f>_xlfn.XLOOKUP(A1229,FTD!A:A,FTD!C:C)</f>
        <v>4400</v>
      </c>
      <c r="H1229" cm="1">
        <f t="array" ref="H1229">_xlfn.LET(
  _xlpm.s, TRIM(F1229),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29" t="str">
        <f>_xlfn.XLOOKUP(E1229,Calendar!C:C,Calendar!B:B)</f>
        <v>Working Day</v>
      </c>
    </row>
    <row r="1230" spans="1:9" x14ac:dyDescent="0.25">
      <c r="A1230" t="s">
        <v>1229</v>
      </c>
      <c r="B1230" t="s">
        <v>1387</v>
      </c>
      <c r="C1230" t="s">
        <v>1406</v>
      </c>
      <c r="D1230" s="2">
        <v>46225.606932870367</v>
      </c>
      <c r="E1230" s="2">
        <f t="shared" si="30"/>
        <v>46225</v>
      </c>
      <c r="F1230" t="s">
        <v>1741</v>
      </c>
      <c r="G1230">
        <f>_xlfn.XLOOKUP(A1230,FTD!A:A,FTD!C:C)</f>
        <v>10000</v>
      </c>
      <c r="H1230" cm="1">
        <f t="array" ref="H1230">_xlfn.LET(
  _xlpm.s, TRIM(F1230),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0" t="str">
        <f>_xlfn.XLOOKUP(E1230,Calendar!C:C,Calendar!B:B)</f>
        <v>Working Day</v>
      </c>
    </row>
    <row r="1231" spans="1:9" x14ac:dyDescent="0.25">
      <c r="A1231" t="s">
        <v>1230</v>
      </c>
      <c r="B1231" t="s">
        <v>1387</v>
      </c>
      <c r="C1231" t="s">
        <v>1407</v>
      </c>
      <c r="D1231" s="2">
        <v>46232.682037037033</v>
      </c>
      <c r="E1231" s="2">
        <f t="shared" si="30"/>
        <v>46232</v>
      </c>
      <c r="F1231" t="s">
        <v>1745</v>
      </c>
      <c r="G1231">
        <f>_xlfn.XLOOKUP(A1231,FTD!A:A,FTD!C:C)</f>
        <v>1000</v>
      </c>
      <c r="H1231" cm="1">
        <f t="array" ref="H1231">_xlfn.LET(
  _xlpm.s, TRIM(F1231),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31" t="str">
        <f>_xlfn.XLOOKUP(E1231,Calendar!C:C,Calendar!B:B)</f>
        <v>Working Day</v>
      </c>
    </row>
    <row r="1232" spans="1:9" x14ac:dyDescent="0.25">
      <c r="A1232" t="s">
        <v>1231</v>
      </c>
      <c r="B1232" t="s">
        <v>1387</v>
      </c>
      <c r="C1232" t="s">
        <v>1417</v>
      </c>
      <c r="D1232" s="2">
        <v>46211.754675925928</v>
      </c>
      <c r="E1232" s="2">
        <f t="shared" si="30"/>
        <v>46211</v>
      </c>
      <c r="F1232" t="s">
        <v>1743</v>
      </c>
      <c r="G1232">
        <f>_xlfn.XLOOKUP(A1232,FTD!A:A,FTD!C:C)</f>
        <v>2112</v>
      </c>
      <c r="H1232" cm="1">
        <f t="array" ref="H1232">_xlfn.LET(
  _xlpm.s, TRIM(F1232),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2" t="str">
        <f>_xlfn.XLOOKUP(E1232,Calendar!C:C,Calendar!B:B)</f>
        <v>Working Day</v>
      </c>
    </row>
    <row r="1233" spans="1:9" x14ac:dyDescent="0.25">
      <c r="A1233" t="s">
        <v>1232</v>
      </c>
      <c r="B1233" t="s">
        <v>1387</v>
      </c>
      <c r="C1233" t="s">
        <v>1398</v>
      </c>
      <c r="D1233" s="2">
        <v>46228.76862268518</v>
      </c>
      <c r="E1233" s="2">
        <f t="shared" si="30"/>
        <v>46228</v>
      </c>
      <c r="F1233" t="s">
        <v>1738</v>
      </c>
      <c r="G1233">
        <f>_xlfn.XLOOKUP(A1233,FTD!A:A,FTD!C:C)</f>
        <v>3000</v>
      </c>
      <c r="H1233" cm="1">
        <f t="array" ref="H1233">_xlfn.LET(
  _xlpm.s, TRIM(F1233),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3" t="str">
        <f>_xlfn.XLOOKUP(E1233,Calendar!C:C,Calendar!B:B)</f>
        <v>Saturday</v>
      </c>
    </row>
    <row r="1234" spans="1:9" x14ac:dyDescent="0.25">
      <c r="A1234" t="s">
        <v>1233</v>
      </c>
      <c r="B1234" t="s">
        <v>1387</v>
      </c>
      <c r="C1234" t="s">
        <v>1391</v>
      </c>
      <c r="D1234" s="2">
        <v>46232.398483796293</v>
      </c>
      <c r="E1234" s="2">
        <f t="shared" si="30"/>
        <v>46232</v>
      </c>
      <c r="F1234" t="s">
        <v>1738</v>
      </c>
      <c r="G1234">
        <f>_xlfn.XLOOKUP(A1234,FTD!A:A,FTD!C:C)</f>
        <v>21000</v>
      </c>
      <c r="H1234" cm="1">
        <f t="array" ref="H1234">_xlfn.LET(
  _xlpm.s, TRIM(F1234),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4" t="str">
        <f>_xlfn.XLOOKUP(E1234,Calendar!C:C,Calendar!B:B)</f>
        <v>Working Day</v>
      </c>
    </row>
    <row r="1235" spans="1:9" x14ac:dyDescent="0.25">
      <c r="A1235" t="s">
        <v>1234</v>
      </c>
      <c r="B1235" t="s">
        <v>1387</v>
      </c>
      <c r="C1235" t="s">
        <v>1404</v>
      </c>
      <c r="D1235" s="2">
        <v>46225.56349537037</v>
      </c>
      <c r="E1235" s="2">
        <f t="shared" si="30"/>
        <v>46225</v>
      </c>
      <c r="F1235" t="s">
        <v>1739</v>
      </c>
      <c r="G1235">
        <f>_xlfn.XLOOKUP(A1235,FTD!A:A,FTD!C:C)</f>
        <v>1000</v>
      </c>
      <c r="H1235" cm="1">
        <f t="array" ref="H1235">_xlfn.LET(
  _xlpm.s, TRIM(F1235),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35" t="str">
        <f>_xlfn.XLOOKUP(E1235,Calendar!C:C,Calendar!B:B)</f>
        <v>Working Day</v>
      </c>
    </row>
    <row r="1236" spans="1:9" x14ac:dyDescent="0.25">
      <c r="A1236" t="s">
        <v>1235</v>
      </c>
      <c r="B1236" t="s">
        <v>1387</v>
      </c>
      <c r="C1236" t="s">
        <v>1398</v>
      </c>
      <c r="D1236" s="2">
        <v>46216.773333333331</v>
      </c>
      <c r="E1236" s="2">
        <f t="shared" si="30"/>
        <v>46216</v>
      </c>
      <c r="F1236" t="s">
        <v>1738</v>
      </c>
      <c r="G1236">
        <f>_xlfn.XLOOKUP(A1236,FTD!A:A,FTD!C:C)</f>
        <v>11100</v>
      </c>
      <c r="H1236" cm="1">
        <f t="array" ref="H1236">_xlfn.LET(
  _xlpm.s, TRIM(F1236),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6" t="str">
        <f>_xlfn.XLOOKUP(E1236,Calendar!C:C,Calendar!B:B)</f>
        <v>Working Day</v>
      </c>
    </row>
    <row r="1237" spans="1:9" x14ac:dyDescent="0.25">
      <c r="A1237" t="s">
        <v>1236</v>
      </c>
      <c r="B1237" t="s">
        <v>1387</v>
      </c>
      <c r="C1237" t="s">
        <v>1400</v>
      </c>
      <c r="D1237" s="2">
        <v>46225.871701388889</v>
      </c>
      <c r="E1237" s="2">
        <f t="shared" si="30"/>
        <v>46225</v>
      </c>
      <c r="F1237" t="s">
        <v>1743</v>
      </c>
      <c r="G1237">
        <f>_xlfn.XLOOKUP(A1237,FTD!A:A,FTD!C:C)</f>
        <v>1000</v>
      </c>
      <c r="H1237" cm="1">
        <f t="array" ref="H1237">_xlfn.LET(
  _xlpm.s, TRIM(F1237),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7" t="str">
        <f>_xlfn.XLOOKUP(E1237,Calendar!C:C,Calendar!B:B)</f>
        <v>Working Day</v>
      </c>
    </row>
    <row r="1238" spans="1:9" x14ac:dyDescent="0.25">
      <c r="A1238" t="s">
        <v>1237</v>
      </c>
      <c r="B1238" t="s">
        <v>1387</v>
      </c>
      <c r="C1238" t="s">
        <v>1399</v>
      </c>
      <c r="D1238" s="2">
        <v>46227.402291666665</v>
      </c>
      <c r="E1238" s="2">
        <f t="shared" si="30"/>
        <v>46227</v>
      </c>
      <c r="F1238" t="s">
        <v>1738</v>
      </c>
      <c r="G1238">
        <f>_xlfn.XLOOKUP(A1238,FTD!A:A,FTD!C:C)</f>
        <v>10000</v>
      </c>
      <c r="H1238" cm="1">
        <f t="array" ref="H1238">_xlfn.LET(
  _xlpm.s, TRIM(F1238),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8" t="str">
        <f>_xlfn.XLOOKUP(E1238,Calendar!C:C,Calendar!B:B)</f>
        <v>Working Day</v>
      </c>
    </row>
    <row r="1239" spans="1:9" x14ac:dyDescent="0.25">
      <c r="A1239" t="s">
        <v>1238</v>
      </c>
      <c r="B1239" t="s">
        <v>1387</v>
      </c>
      <c r="C1239" t="s">
        <v>1414</v>
      </c>
      <c r="D1239" s="2">
        <v>46218.541805555556</v>
      </c>
      <c r="E1239" s="2">
        <f t="shared" si="30"/>
        <v>46218</v>
      </c>
      <c r="F1239" t="s">
        <v>1741</v>
      </c>
      <c r="G1239">
        <f>_xlfn.XLOOKUP(A1239,FTD!A:A,FTD!C:C)</f>
        <v>5000</v>
      </c>
      <c r="H1239" cm="1">
        <f t="array" ref="H1239">_xlfn.LET(
  _xlpm.s, TRIM(F1239),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39" t="str">
        <f>_xlfn.XLOOKUP(E1239,Calendar!C:C,Calendar!B:B)</f>
        <v>Working Day</v>
      </c>
    </row>
    <row r="1240" spans="1:9" x14ac:dyDescent="0.25">
      <c r="A1240" t="s">
        <v>1239</v>
      </c>
      <c r="B1240" t="s">
        <v>1387</v>
      </c>
      <c r="C1240" t="s">
        <v>1400</v>
      </c>
      <c r="D1240" s="2">
        <v>46213.695069444446</v>
      </c>
      <c r="E1240" s="2">
        <f t="shared" si="30"/>
        <v>46213</v>
      </c>
      <c r="F1240" t="s">
        <v>1743</v>
      </c>
      <c r="G1240">
        <f>_xlfn.XLOOKUP(A1240,FTD!A:A,FTD!C:C)</f>
        <v>1000</v>
      </c>
      <c r="H1240" cm="1">
        <f t="array" ref="H1240">_xlfn.LET(
  _xlpm.s, TRIM(F1240),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40" t="str">
        <f>_xlfn.XLOOKUP(E1240,Calendar!C:C,Calendar!B:B)</f>
        <v>Working Day</v>
      </c>
    </row>
    <row r="1241" spans="1:9" x14ac:dyDescent="0.25">
      <c r="A1241" t="s">
        <v>1240</v>
      </c>
      <c r="B1241" t="s">
        <v>1387</v>
      </c>
      <c r="C1241" t="s">
        <v>1407</v>
      </c>
      <c r="D1241" s="2">
        <v>46218.50880787037</v>
      </c>
      <c r="E1241" s="2">
        <f t="shared" si="30"/>
        <v>46218</v>
      </c>
      <c r="F1241" t="s">
        <v>1751</v>
      </c>
      <c r="G1241">
        <f>_xlfn.XLOOKUP(A1241,FTD!A:A,FTD!C:C)</f>
        <v>1000</v>
      </c>
      <c r="H1241" cm="1">
        <f t="array" ref="H1241">_xlfn.LET(
  _xlpm.s, TRIM(F1241),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41" t="str">
        <f>_xlfn.XLOOKUP(E1241,Calendar!C:C,Calendar!B:B)</f>
        <v>Working Day</v>
      </c>
    </row>
    <row r="1242" spans="1:9" x14ac:dyDescent="0.25">
      <c r="A1242" t="s">
        <v>1241</v>
      </c>
      <c r="B1242" t="s">
        <v>1387</v>
      </c>
      <c r="C1242" t="s">
        <v>1406</v>
      </c>
      <c r="D1242" s="2">
        <v>46212.841851851852</v>
      </c>
      <c r="E1242" s="2">
        <f t="shared" si="30"/>
        <v>46212</v>
      </c>
      <c r="F1242" t="s">
        <v>1738</v>
      </c>
      <c r="G1242">
        <f>_xlfn.XLOOKUP(A1242,FTD!A:A,FTD!C:C)</f>
        <v>1500</v>
      </c>
      <c r="H1242" cm="1">
        <f t="array" ref="H1242">_xlfn.LET(
  _xlpm.s, TRIM(F1242),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42" t="str">
        <f>_xlfn.XLOOKUP(E1242,Calendar!C:C,Calendar!B:B)</f>
        <v>Working Day</v>
      </c>
    </row>
    <row r="1243" spans="1:9" x14ac:dyDescent="0.25">
      <c r="A1243" t="s">
        <v>1242</v>
      </c>
      <c r="B1243" t="s">
        <v>1387</v>
      </c>
      <c r="C1243" t="s">
        <v>1398</v>
      </c>
      <c r="D1243" s="2">
        <v>46210.386701388888</v>
      </c>
      <c r="E1243" s="2">
        <f t="shared" si="30"/>
        <v>46210</v>
      </c>
      <c r="F1243" t="s">
        <v>1738</v>
      </c>
      <c r="G1243">
        <f>_xlfn.XLOOKUP(A1243,FTD!A:A,FTD!C:C)</f>
        <v>9000</v>
      </c>
      <c r="H1243" cm="1">
        <f t="array" ref="H1243">_xlfn.LET(
  _xlpm.s, TRIM(F1243),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43" t="str">
        <f>_xlfn.XLOOKUP(E1243,Calendar!C:C,Calendar!B:B)</f>
        <v>Working Day</v>
      </c>
    </row>
    <row r="1244" spans="1:9" x14ac:dyDescent="0.25">
      <c r="A1244" t="s">
        <v>1243</v>
      </c>
      <c r="B1244" t="s">
        <v>1387</v>
      </c>
      <c r="C1244" t="s">
        <v>1408</v>
      </c>
      <c r="D1244" s="2">
        <v>46215.561030092591</v>
      </c>
      <c r="E1244" s="2">
        <f t="shared" si="30"/>
        <v>46215</v>
      </c>
      <c r="F1244" t="s">
        <v>1738</v>
      </c>
      <c r="G1244">
        <f>_xlfn.XLOOKUP(A1244,FTD!A:A,FTD!C:C)</f>
        <v>1000</v>
      </c>
      <c r="H1244" cm="1">
        <f t="array" ref="H1244">_xlfn.LET(
  _xlpm.s, TRIM(F1244),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44" t="str">
        <f>_xlfn.XLOOKUP(E1244,Calendar!C:C,Calendar!B:B)</f>
        <v>Sunday</v>
      </c>
    </row>
    <row r="1245" spans="1:9" x14ac:dyDescent="0.25">
      <c r="A1245" t="s">
        <v>1244</v>
      </c>
      <c r="B1245" t="s">
        <v>1387</v>
      </c>
      <c r="C1245" t="s">
        <v>1436</v>
      </c>
      <c r="D1245" s="2">
        <v>46213.508587962962</v>
      </c>
      <c r="E1245" s="2">
        <f t="shared" si="30"/>
        <v>46213</v>
      </c>
      <c r="F1245" t="s">
        <v>1759</v>
      </c>
      <c r="G1245">
        <f>_xlfn.XLOOKUP(A1245,FTD!A:A,FTD!C:C)</f>
        <v>1011</v>
      </c>
      <c r="H1245" cm="1">
        <f t="array" ref="H1245">_xlfn.LET(
  _xlpm.s, TRIM(F1245),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45" t="str">
        <f>_xlfn.XLOOKUP(E1245,Calendar!C:C,Calendar!B:B)</f>
        <v>Working Day</v>
      </c>
    </row>
    <row r="1246" spans="1:9" x14ac:dyDescent="0.25">
      <c r="A1246" t="s">
        <v>1245</v>
      </c>
      <c r="B1246" t="s">
        <v>1387</v>
      </c>
      <c r="C1246" t="s">
        <v>1397</v>
      </c>
      <c r="D1246" s="2">
        <v>46210.708981481483</v>
      </c>
      <c r="E1246" s="2">
        <f t="shared" si="30"/>
        <v>46210</v>
      </c>
      <c r="F1246" t="s">
        <v>1739</v>
      </c>
      <c r="G1246">
        <f>_xlfn.XLOOKUP(A1246,FTD!A:A,FTD!C:C)</f>
        <v>1000</v>
      </c>
      <c r="H1246" cm="1">
        <f t="array" ref="H1246">_xlfn.LET(
  _xlpm.s, TRIM(F1246),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46" t="str">
        <f>_xlfn.XLOOKUP(E1246,Calendar!C:C,Calendar!B:B)</f>
        <v>Working Day</v>
      </c>
    </row>
    <row r="1247" spans="1:9" x14ac:dyDescent="0.25">
      <c r="A1247" t="s">
        <v>1246</v>
      </c>
      <c r="B1247" t="s">
        <v>1387</v>
      </c>
      <c r="C1247" t="s">
        <v>1397</v>
      </c>
      <c r="D1247" s="2">
        <v>46233.860266203701</v>
      </c>
      <c r="E1247" s="2">
        <f t="shared" si="30"/>
        <v>46233</v>
      </c>
      <c r="F1247" t="s">
        <v>1743</v>
      </c>
      <c r="G1247">
        <f>_xlfn.XLOOKUP(A1247,FTD!A:A,FTD!C:C)</f>
        <v>2000</v>
      </c>
      <c r="H1247" cm="1">
        <f t="array" ref="H1247">_xlfn.LET(
  _xlpm.s, TRIM(F1247),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47" t="str">
        <f>_xlfn.XLOOKUP(E1247,Calendar!C:C,Calendar!B:B)</f>
        <v>Working Day</v>
      </c>
    </row>
    <row r="1248" spans="1:9" x14ac:dyDescent="0.25">
      <c r="A1248" t="s">
        <v>1247</v>
      </c>
      <c r="B1248" t="s">
        <v>1387</v>
      </c>
      <c r="C1248" t="s">
        <v>1431</v>
      </c>
      <c r="D1248" s="2">
        <v>46232.769050925926</v>
      </c>
      <c r="E1248" s="2">
        <f t="shared" si="30"/>
        <v>46232</v>
      </c>
      <c r="F1248" t="s">
        <v>1745</v>
      </c>
      <c r="G1248">
        <f>_xlfn.XLOOKUP(A1248,FTD!A:A,FTD!C:C)</f>
        <v>5000</v>
      </c>
      <c r="H1248" cm="1">
        <f t="array" ref="H1248">_xlfn.LET(
  _xlpm.s, TRIM(F1248),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48" t="str">
        <f>_xlfn.XLOOKUP(E1248,Calendar!C:C,Calendar!B:B)</f>
        <v>Working Day</v>
      </c>
    </row>
    <row r="1249" spans="1:9" x14ac:dyDescent="0.25">
      <c r="A1249" t="s">
        <v>1248</v>
      </c>
      <c r="B1249" t="s">
        <v>1387</v>
      </c>
      <c r="C1249" t="s">
        <v>1406</v>
      </c>
      <c r="D1249" s="2">
        <v>46224.577534722222</v>
      </c>
      <c r="E1249" s="2">
        <f t="shared" si="30"/>
        <v>46224</v>
      </c>
      <c r="F1249" t="s">
        <v>1738</v>
      </c>
      <c r="G1249">
        <f>_xlfn.XLOOKUP(A1249,FTD!A:A,FTD!C:C)</f>
        <v>13000</v>
      </c>
      <c r="H1249" cm="1">
        <f t="array" ref="H1249">_xlfn.LET(
  _xlpm.s, TRIM(F1249),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49" t="str">
        <f>_xlfn.XLOOKUP(E1249,Calendar!C:C,Calendar!B:B)</f>
        <v>Working Day</v>
      </c>
    </row>
    <row r="1250" spans="1:9" x14ac:dyDescent="0.25">
      <c r="A1250" t="s">
        <v>1249</v>
      </c>
      <c r="B1250" t="s">
        <v>1387</v>
      </c>
      <c r="C1250" t="s">
        <v>1389</v>
      </c>
      <c r="D1250" s="2">
        <v>46223.510671296295</v>
      </c>
      <c r="E1250" s="2">
        <f t="shared" si="30"/>
        <v>46223</v>
      </c>
      <c r="F1250" t="s">
        <v>1743</v>
      </c>
      <c r="G1250">
        <f>_xlfn.XLOOKUP(A1250,FTD!A:A,FTD!C:C)</f>
        <v>1000</v>
      </c>
      <c r="H1250" cm="1">
        <f t="array" ref="H1250">_xlfn.LET(
  _xlpm.s, TRIM(F1250),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0" t="str">
        <f>_xlfn.XLOOKUP(E1250,Calendar!C:C,Calendar!B:B)</f>
        <v>Working Day</v>
      </c>
    </row>
    <row r="1251" spans="1:9" x14ac:dyDescent="0.25">
      <c r="A1251" t="s">
        <v>1250</v>
      </c>
      <c r="B1251" t="s">
        <v>1387</v>
      </c>
      <c r="C1251" t="s">
        <v>1399</v>
      </c>
      <c r="D1251" s="2">
        <v>46224.447499999995</v>
      </c>
      <c r="E1251" s="2">
        <f t="shared" si="30"/>
        <v>46224</v>
      </c>
      <c r="F1251" t="s">
        <v>1738</v>
      </c>
      <c r="G1251">
        <f>_xlfn.XLOOKUP(A1251,FTD!A:A,FTD!C:C)</f>
        <v>1000</v>
      </c>
      <c r="H1251" cm="1">
        <f t="array" ref="H1251">_xlfn.LET(
  _xlpm.s, TRIM(F1251),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1" t="str">
        <f>_xlfn.XLOOKUP(E1251,Calendar!C:C,Calendar!B:B)</f>
        <v>Working Day</v>
      </c>
    </row>
    <row r="1252" spans="1:9" x14ac:dyDescent="0.25">
      <c r="A1252" t="s">
        <v>1251</v>
      </c>
      <c r="B1252" t="s">
        <v>1387</v>
      </c>
      <c r="C1252" t="s">
        <v>1398</v>
      </c>
      <c r="D1252" s="2">
        <v>46224.498078703698</v>
      </c>
      <c r="E1252" s="2">
        <f t="shared" si="30"/>
        <v>46224</v>
      </c>
      <c r="F1252" t="s">
        <v>1738</v>
      </c>
      <c r="G1252">
        <f>_xlfn.XLOOKUP(A1252,FTD!A:A,FTD!C:C)</f>
        <v>2000</v>
      </c>
      <c r="H1252" cm="1">
        <f t="array" ref="H1252">_xlfn.LET(
  _xlpm.s, TRIM(F1252),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2" t="str">
        <f>_xlfn.XLOOKUP(E1252,Calendar!C:C,Calendar!B:B)</f>
        <v>Working Day</v>
      </c>
    </row>
    <row r="1253" spans="1:9" x14ac:dyDescent="0.25">
      <c r="A1253" t="s">
        <v>1252</v>
      </c>
      <c r="B1253" t="s">
        <v>1384</v>
      </c>
      <c r="C1253" t="s">
        <v>1398</v>
      </c>
      <c r="D1253" s="2">
        <v>46205.712002314816</v>
      </c>
      <c r="E1253" s="2">
        <f t="shared" si="30"/>
        <v>46205</v>
      </c>
      <c r="F1253" t="s">
        <v>1758</v>
      </c>
      <c r="G1253">
        <f>_xlfn.XLOOKUP(A1253,FTD!A:A,FTD!C:C)</f>
        <v>10000</v>
      </c>
      <c r="H1253" cm="1">
        <f t="array" ref="H1253">_xlfn.LET(
  _xlpm.s, TRIM(F1253),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3" t="str">
        <f>_xlfn.XLOOKUP(E1253,Calendar!C:C,Calendar!B:B)</f>
        <v>Working Day</v>
      </c>
    </row>
    <row r="1254" spans="1:9" x14ac:dyDescent="0.25">
      <c r="A1254" t="s">
        <v>1253</v>
      </c>
      <c r="B1254" t="s">
        <v>1384</v>
      </c>
      <c r="C1254" t="s">
        <v>1399</v>
      </c>
      <c r="D1254" s="2">
        <v>46224.398043981477</v>
      </c>
      <c r="E1254" s="2">
        <f t="shared" si="30"/>
        <v>46224</v>
      </c>
      <c r="F1254" t="s">
        <v>1738</v>
      </c>
      <c r="G1254">
        <f>_xlfn.XLOOKUP(A1254,FTD!A:A,FTD!C:C)</f>
        <v>46000</v>
      </c>
      <c r="H1254" cm="1">
        <f t="array" ref="H1254">_xlfn.LET(
  _xlpm.s, TRIM(F1254),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4" t="str">
        <f>_xlfn.XLOOKUP(E1254,Calendar!C:C,Calendar!B:B)</f>
        <v>Working Day</v>
      </c>
    </row>
    <row r="1255" spans="1:9" x14ac:dyDescent="0.25">
      <c r="A1255" t="s">
        <v>1254</v>
      </c>
      <c r="B1255" t="s">
        <v>1384</v>
      </c>
      <c r="C1255" t="s">
        <v>1432</v>
      </c>
      <c r="D1255" s="2">
        <v>46212.444826388884</v>
      </c>
      <c r="E1255" s="2">
        <f t="shared" si="30"/>
        <v>46212</v>
      </c>
      <c r="F1255" t="s">
        <v>1746</v>
      </c>
      <c r="G1255">
        <f>_xlfn.XLOOKUP(A1255,FTD!A:A,FTD!C:C)</f>
        <v>1000</v>
      </c>
      <c r="H1255" cm="1">
        <f t="array" ref="H1255">_xlfn.LET(
  _xlpm.s, TRIM(F1255),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55" t="str">
        <f>_xlfn.XLOOKUP(E1255,Calendar!C:C,Calendar!B:B)</f>
        <v>Working Day</v>
      </c>
    </row>
    <row r="1256" spans="1:9" x14ac:dyDescent="0.25">
      <c r="A1256" t="s">
        <v>1255</v>
      </c>
      <c r="B1256" t="s">
        <v>1385</v>
      </c>
      <c r="C1256" t="s">
        <v>1439</v>
      </c>
      <c r="D1256" s="2">
        <v>46205.639699074069</v>
      </c>
      <c r="E1256" s="2">
        <f t="shared" si="30"/>
        <v>46205</v>
      </c>
      <c r="F1256" t="s">
        <v>1742</v>
      </c>
      <c r="G1256">
        <f>_xlfn.XLOOKUP(A1256,FTD!A:A,FTD!C:C)</f>
        <v>1000</v>
      </c>
      <c r="H1256" cm="1">
        <f t="array" ref="H1256">_xlfn.LET(
  _xlpm.s, TRIM(F1256),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56" t="str">
        <f>_xlfn.XLOOKUP(E1256,Calendar!C:C,Calendar!B:B)</f>
        <v>Working Day</v>
      </c>
    </row>
    <row r="1257" spans="1:9" x14ac:dyDescent="0.25">
      <c r="A1257" t="s">
        <v>1256</v>
      </c>
      <c r="B1257" t="s">
        <v>1384</v>
      </c>
      <c r="C1257" t="s">
        <v>1400</v>
      </c>
      <c r="D1257" s="2">
        <v>46204.440659722219</v>
      </c>
      <c r="E1257" s="2">
        <f t="shared" si="30"/>
        <v>46204</v>
      </c>
      <c r="F1257" t="s">
        <v>1758</v>
      </c>
      <c r="G1257">
        <f>_xlfn.XLOOKUP(A1257,FTD!A:A,FTD!C:C)</f>
        <v>1000</v>
      </c>
      <c r="H1257" cm="1">
        <f t="array" ref="H1257">_xlfn.LET(
  _xlpm.s, TRIM(F1257),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57" t="str">
        <f>_xlfn.XLOOKUP(E1257,Calendar!C:C,Calendar!B:B)</f>
        <v>Working Day</v>
      </c>
    </row>
    <row r="1258" spans="1:9" x14ac:dyDescent="0.25">
      <c r="A1258" t="s">
        <v>1257</v>
      </c>
      <c r="B1258" t="s">
        <v>1384</v>
      </c>
      <c r="C1258" t="s">
        <v>1434</v>
      </c>
      <c r="D1258" s="2">
        <v>46220.826840277776</v>
      </c>
      <c r="E1258" s="2">
        <f t="shared" si="30"/>
        <v>46220</v>
      </c>
      <c r="F1258" t="s">
        <v>1740</v>
      </c>
      <c r="G1258">
        <f>_xlfn.XLOOKUP(A1258,FTD!A:A,FTD!C:C)</f>
        <v>980</v>
      </c>
      <c r="H1258" cm="1">
        <f t="array" ref="H1258">_xlfn.LET(
  _xlpm.s, TRIM(F1258),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58" t="str">
        <f>_xlfn.XLOOKUP(E1258,Calendar!C:C,Calendar!B:B)</f>
        <v>Working Day</v>
      </c>
    </row>
    <row r="1259" spans="1:9" x14ac:dyDescent="0.25">
      <c r="A1259" t="s">
        <v>1258</v>
      </c>
      <c r="B1259" t="s">
        <v>1384</v>
      </c>
      <c r="C1259" t="s">
        <v>1435</v>
      </c>
      <c r="D1259" s="2">
        <v>46224.396458333329</v>
      </c>
      <c r="E1259" s="2">
        <f t="shared" si="30"/>
        <v>46224</v>
      </c>
      <c r="F1259" t="s">
        <v>1740</v>
      </c>
      <c r="G1259">
        <f>_xlfn.XLOOKUP(A1259,FTD!A:A,FTD!C:C)</f>
        <v>5000</v>
      </c>
      <c r="H1259" cm="1">
        <f t="array" ref="H1259">_xlfn.LET(
  _xlpm.s, TRIM(F1259),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59" t="str">
        <f>_xlfn.XLOOKUP(E1259,Calendar!C:C,Calendar!B:B)</f>
        <v>Working Day</v>
      </c>
    </row>
    <row r="1260" spans="1:9" x14ac:dyDescent="0.25">
      <c r="A1260" t="s">
        <v>1259</v>
      </c>
      <c r="B1260" t="s">
        <v>1384</v>
      </c>
      <c r="C1260" t="s">
        <v>1433</v>
      </c>
      <c r="D1260" s="2">
        <v>46224.631412037037</v>
      </c>
      <c r="E1260" s="2">
        <f t="shared" si="30"/>
        <v>46224</v>
      </c>
      <c r="F1260" t="s">
        <v>1739</v>
      </c>
      <c r="G1260">
        <f>_xlfn.XLOOKUP(A1260,FTD!A:A,FTD!C:C)</f>
        <v>1000</v>
      </c>
      <c r="H1260" cm="1">
        <f t="array" ref="H1260">_xlfn.LET(
  _xlpm.s, TRIM(F1260),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60" t="str">
        <f>_xlfn.XLOOKUP(E1260,Calendar!C:C,Calendar!B:B)</f>
        <v>Working Day</v>
      </c>
    </row>
    <row r="1261" spans="1:9" x14ac:dyDescent="0.25">
      <c r="A1261" t="s">
        <v>1260</v>
      </c>
      <c r="B1261" t="s">
        <v>1386</v>
      </c>
      <c r="C1261" t="s">
        <v>1406</v>
      </c>
      <c r="D1261" s="2">
        <v>46219.393321759257</v>
      </c>
      <c r="E1261" s="2">
        <f t="shared" si="30"/>
        <v>46219</v>
      </c>
      <c r="F1261" t="s">
        <v>1739</v>
      </c>
      <c r="G1261">
        <f>_xlfn.XLOOKUP(A1261,FTD!A:A,FTD!C:C)</f>
        <v>5000</v>
      </c>
      <c r="H1261" cm="1">
        <f t="array" ref="H1261">_xlfn.LET(
  _xlpm.s, TRIM(F1261),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61" t="str">
        <f>_xlfn.XLOOKUP(E1261,Calendar!C:C,Calendar!B:B)</f>
        <v>Working Day</v>
      </c>
    </row>
    <row r="1262" spans="1:9" x14ac:dyDescent="0.25">
      <c r="A1262" t="s">
        <v>1261</v>
      </c>
      <c r="B1262" t="s">
        <v>1387</v>
      </c>
      <c r="C1262" t="s">
        <v>1407</v>
      </c>
      <c r="D1262" s="2">
        <v>46234.606192129628</v>
      </c>
      <c r="E1262" s="2">
        <f t="shared" si="30"/>
        <v>46234</v>
      </c>
      <c r="F1262" t="s">
        <v>1752</v>
      </c>
      <c r="G1262">
        <f>_xlfn.XLOOKUP(A1262,FTD!A:A,FTD!C:C)</f>
        <v>1000</v>
      </c>
      <c r="H1262" cm="1">
        <f t="array" ref="H1262">_xlfn.LET(
  _xlpm.s, TRIM(F1262),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62" t="str">
        <f>_xlfn.XLOOKUP(E1262,Calendar!C:C,Calendar!B:B)</f>
        <v>Working Day</v>
      </c>
    </row>
    <row r="1263" spans="1:9" x14ac:dyDescent="0.25">
      <c r="A1263" t="s">
        <v>1262</v>
      </c>
      <c r="B1263" t="s">
        <v>1387</v>
      </c>
      <c r="C1263" t="s">
        <v>1436</v>
      </c>
      <c r="D1263" s="2">
        <v>46210.560324074075</v>
      </c>
      <c r="E1263" s="2">
        <f t="shared" si="30"/>
        <v>46210</v>
      </c>
      <c r="F1263" t="s">
        <v>1738</v>
      </c>
      <c r="G1263">
        <f>_xlfn.XLOOKUP(A1263,FTD!A:A,FTD!C:C)</f>
        <v>3000</v>
      </c>
      <c r="H1263" cm="1">
        <f t="array" ref="H1263">_xlfn.LET(
  _xlpm.s, TRIM(F1263),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63" t="str">
        <f>_xlfn.XLOOKUP(E1263,Calendar!C:C,Calendar!B:B)</f>
        <v>Working Day</v>
      </c>
    </row>
    <row r="1264" spans="1:9" x14ac:dyDescent="0.25">
      <c r="A1264" t="s">
        <v>1263</v>
      </c>
      <c r="B1264" t="s">
        <v>1387</v>
      </c>
      <c r="C1264" t="s">
        <v>1409</v>
      </c>
      <c r="D1264" s="2">
        <v>46231.406597222223</v>
      </c>
      <c r="E1264" s="2">
        <f t="shared" si="30"/>
        <v>46231</v>
      </c>
      <c r="F1264" t="s">
        <v>1738</v>
      </c>
      <c r="G1264">
        <f>_xlfn.XLOOKUP(A1264,FTD!A:A,FTD!C:C)</f>
        <v>1000</v>
      </c>
      <c r="H1264" cm="1">
        <f t="array" ref="H1264">_xlfn.LET(
  _xlpm.s, TRIM(F1264),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64" t="str">
        <f>_xlfn.XLOOKUP(E1264,Calendar!C:C,Calendar!B:B)</f>
        <v>Working Day</v>
      </c>
    </row>
    <row r="1265" spans="1:9" x14ac:dyDescent="0.25">
      <c r="A1265" t="s">
        <v>1264</v>
      </c>
      <c r="B1265" t="s">
        <v>1387</v>
      </c>
      <c r="C1265" t="s">
        <v>1403</v>
      </c>
      <c r="D1265" s="2">
        <v>46205.617800925924</v>
      </c>
      <c r="E1265" s="2">
        <f t="shared" si="30"/>
        <v>46205</v>
      </c>
      <c r="F1265" t="s">
        <v>1745</v>
      </c>
      <c r="G1265">
        <f>_xlfn.XLOOKUP(A1265,FTD!A:A,FTD!C:C)</f>
        <v>1000</v>
      </c>
      <c r="H1265" cm="1">
        <f t="array" ref="H1265">_xlfn.LET(
  _xlpm.s, TRIM(F1265),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65" t="str">
        <f>_xlfn.XLOOKUP(E1265,Calendar!C:C,Calendar!B:B)</f>
        <v>Working Day</v>
      </c>
    </row>
    <row r="1266" spans="1:9" x14ac:dyDescent="0.25">
      <c r="A1266" t="s">
        <v>1265</v>
      </c>
      <c r="B1266" t="s">
        <v>1387</v>
      </c>
      <c r="C1266" t="s">
        <v>1423</v>
      </c>
      <c r="D1266" s="2">
        <v>46217.997453703705</v>
      </c>
      <c r="E1266" s="2">
        <f t="shared" si="30"/>
        <v>46217</v>
      </c>
      <c r="F1266" t="s">
        <v>1739</v>
      </c>
      <c r="G1266">
        <f>_xlfn.XLOOKUP(A1266,FTD!A:A,FTD!C:C)</f>
        <v>1360</v>
      </c>
      <c r="H1266" cm="1">
        <f t="array" ref="H1266">_xlfn.LET(
  _xlpm.s, TRIM(F1266),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66" t="str">
        <f>_xlfn.XLOOKUP(E1266,Calendar!C:C,Calendar!B:B)</f>
        <v>Working Day</v>
      </c>
    </row>
    <row r="1267" spans="1:9" x14ac:dyDescent="0.25">
      <c r="A1267" t="s">
        <v>1266</v>
      </c>
      <c r="B1267" t="s">
        <v>1387</v>
      </c>
      <c r="C1267" t="s">
        <v>1415</v>
      </c>
      <c r="D1267" s="2">
        <v>46227.393263888887</v>
      </c>
      <c r="E1267" s="2">
        <f t="shared" si="30"/>
        <v>46227</v>
      </c>
      <c r="F1267" t="s">
        <v>1743</v>
      </c>
      <c r="G1267">
        <f>_xlfn.XLOOKUP(A1267,FTD!A:A,FTD!C:C)</f>
        <v>1000</v>
      </c>
      <c r="H1267" cm="1">
        <f t="array" ref="H1267">_xlfn.LET(
  _xlpm.s, TRIM(F1267),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67" t="str">
        <f>_xlfn.XLOOKUP(E1267,Calendar!C:C,Calendar!B:B)</f>
        <v>Working Day</v>
      </c>
    </row>
    <row r="1268" spans="1:9" x14ac:dyDescent="0.25">
      <c r="A1268" t="s">
        <v>1267</v>
      </c>
      <c r="B1268" t="s">
        <v>1387</v>
      </c>
      <c r="C1268" t="s">
        <v>1408</v>
      </c>
      <c r="D1268" s="2">
        <v>46218.575706018513</v>
      </c>
      <c r="E1268" s="2">
        <f t="shared" si="30"/>
        <v>46218</v>
      </c>
      <c r="F1268" t="s">
        <v>1738</v>
      </c>
      <c r="G1268">
        <f>_xlfn.XLOOKUP(A1268,FTD!A:A,FTD!C:C)</f>
        <v>2000</v>
      </c>
      <c r="H1268" cm="1">
        <f t="array" ref="H1268">_xlfn.LET(
  _xlpm.s, TRIM(F1268),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68" t="str">
        <f>_xlfn.XLOOKUP(E1268,Calendar!C:C,Calendar!B:B)</f>
        <v>Working Day</v>
      </c>
    </row>
    <row r="1269" spans="1:9" x14ac:dyDescent="0.25">
      <c r="A1269" t="s">
        <v>1268</v>
      </c>
      <c r="B1269" t="s">
        <v>1387</v>
      </c>
      <c r="C1269" t="s">
        <v>1398</v>
      </c>
      <c r="D1269" s="2">
        <v>46216.396631944444</v>
      </c>
      <c r="E1269" s="2">
        <f t="shared" si="30"/>
        <v>46216</v>
      </c>
      <c r="F1269" t="s">
        <v>1738</v>
      </c>
      <c r="G1269">
        <f>_xlfn.XLOOKUP(A1269,FTD!A:A,FTD!C:C)</f>
        <v>1000</v>
      </c>
      <c r="H1269" cm="1">
        <f t="array" ref="H1269">_xlfn.LET(
  _xlpm.s, TRIM(F1269),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69" t="str">
        <f>_xlfn.XLOOKUP(E1269,Calendar!C:C,Calendar!B:B)</f>
        <v>Working Day</v>
      </c>
    </row>
    <row r="1270" spans="1:9" x14ac:dyDescent="0.25">
      <c r="A1270" t="s">
        <v>1269</v>
      </c>
      <c r="B1270" t="s">
        <v>1387</v>
      </c>
      <c r="C1270" t="s">
        <v>1413</v>
      </c>
      <c r="D1270" s="2">
        <v>46209.603055555555</v>
      </c>
      <c r="E1270" s="2">
        <f t="shared" si="30"/>
        <v>46209</v>
      </c>
      <c r="F1270" t="s">
        <v>1738</v>
      </c>
      <c r="G1270">
        <f>_xlfn.XLOOKUP(A1270,FTD!A:A,FTD!C:C)</f>
        <v>8000</v>
      </c>
      <c r="H1270" cm="1">
        <f t="array" ref="H1270">_xlfn.LET(
  _xlpm.s, TRIM(F1270),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0" t="str">
        <f>_xlfn.XLOOKUP(E1270,Calendar!C:C,Calendar!B:B)</f>
        <v>Working Day</v>
      </c>
    </row>
    <row r="1271" spans="1:9" x14ac:dyDescent="0.25">
      <c r="A1271" t="s">
        <v>1270</v>
      </c>
      <c r="B1271" t="s">
        <v>1387</v>
      </c>
      <c r="C1271" t="s">
        <v>1400</v>
      </c>
      <c r="D1271" s="2">
        <v>46213.423900462964</v>
      </c>
      <c r="E1271" s="2">
        <f t="shared" si="30"/>
        <v>46213</v>
      </c>
      <c r="F1271" t="s">
        <v>1739</v>
      </c>
      <c r="G1271">
        <f>_xlfn.XLOOKUP(A1271,FTD!A:A,FTD!C:C)</f>
        <v>5000</v>
      </c>
      <c r="H1271" cm="1">
        <f t="array" ref="H1271">_xlfn.LET(
  _xlpm.s, TRIM(F1271),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71" t="str">
        <f>_xlfn.XLOOKUP(E1271,Calendar!C:C,Calendar!B:B)</f>
        <v>Working Day</v>
      </c>
    </row>
    <row r="1272" spans="1:9" x14ac:dyDescent="0.25">
      <c r="A1272" t="s">
        <v>1271</v>
      </c>
      <c r="B1272" t="s">
        <v>1387</v>
      </c>
      <c r="C1272" t="s">
        <v>1399</v>
      </c>
      <c r="D1272" s="2">
        <v>46207.321018518516</v>
      </c>
      <c r="E1272" s="2">
        <f t="shared" si="30"/>
        <v>46207</v>
      </c>
      <c r="F1272" t="s">
        <v>1738</v>
      </c>
      <c r="G1272">
        <f>_xlfn.XLOOKUP(A1272,FTD!A:A,FTD!C:C)</f>
        <v>5000</v>
      </c>
      <c r="H1272" cm="1">
        <f t="array" ref="H1272">_xlfn.LET(
  _xlpm.s, TRIM(F1272),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2" t="str">
        <f>_xlfn.XLOOKUP(E1272,Calendar!C:C,Calendar!B:B)</f>
        <v>Saturday</v>
      </c>
    </row>
    <row r="1273" spans="1:9" x14ac:dyDescent="0.25">
      <c r="A1273" t="s">
        <v>1272</v>
      </c>
      <c r="B1273" t="s">
        <v>1387</v>
      </c>
      <c r="C1273" t="s">
        <v>1417</v>
      </c>
      <c r="D1273" s="2">
        <v>46210.96597222222</v>
      </c>
      <c r="E1273" s="2">
        <f t="shared" si="30"/>
        <v>46210</v>
      </c>
      <c r="F1273" t="s">
        <v>1743</v>
      </c>
      <c r="G1273">
        <f>_xlfn.XLOOKUP(A1273,FTD!A:A,FTD!C:C)</f>
        <v>1001</v>
      </c>
      <c r="H1273" cm="1">
        <f t="array" ref="H1273">_xlfn.LET(
  _xlpm.s, TRIM(F1273),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3" t="str">
        <f>_xlfn.XLOOKUP(E1273,Calendar!C:C,Calendar!B:B)</f>
        <v>Working Day</v>
      </c>
    </row>
    <row r="1274" spans="1:9" x14ac:dyDescent="0.25">
      <c r="A1274" t="s">
        <v>1273</v>
      </c>
      <c r="B1274" t="s">
        <v>1387</v>
      </c>
      <c r="C1274" t="s">
        <v>1402</v>
      </c>
      <c r="D1274" s="2">
        <v>46216.416631944441</v>
      </c>
      <c r="E1274" s="2">
        <f t="shared" si="30"/>
        <v>46216</v>
      </c>
      <c r="F1274" t="s">
        <v>1738</v>
      </c>
      <c r="G1274">
        <f>_xlfn.XLOOKUP(A1274,FTD!A:A,FTD!C:C)</f>
        <v>1000</v>
      </c>
      <c r="H1274" cm="1">
        <f t="array" ref="H1274">_xlfn.LET(
  _xlpm.s, TRIM(F1274),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4" t="str">
        <f>_xlfn.XLOOKUP(E1274,Calendar!C:C,Calendar!B:B)</f>
        <v>Working Day</v>
      </c>
    </row>
    <row r="1275" spans="1:9" x14ac:dyDescent="0.25">
      <c r="A1275" t="s">
        <v>1274</v>
      </c>
      <c r="B1275" t="s">
        <v>1387</v>
      </c>
      <c r="C1275" t="s">
        <v>1408</v>
      </c>
      <c r="D1275" s="2">
        <v>46232.810659722221</v>
      </c>
      <c r="E1275" s="2">
        <f t="shared" si="30"/>
        <v>46232</v>
      </c>
      <c r="F1275" t="s">
        <v>1738</v>
      </c>
      <c r="G1275">
        <f>_xlfn.XLOOKUP(A1275,FTD!A:A,FTD!C:C)</f>
        <v>1000</v>
      </c>
      <c r="H1275" cm="1">
        <f t="array" ref="H1275">_xlfn.LET(
  _xlpm.s, TRIM(F1275),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5" t="str">
        <f>_xlfn.XLOOKUP(E1275,Calendar!C:C,Calendar!B:B)</f>
        <v>Working Day</v>
      </c>
    </row>
    <row r="1276" spans="1:9" x14ac:dyDescent="0.25">
      <c r="A1276" t="s">
        <v>1275</v>
      </c>
      <c r="B1276" t="s">
        <v>1387</v>
      </c>
      <c r="C1276" t="s">
        <v>1407</v>
      </c>
      <c r="D1276" s="2">
        <v>46232.798159722217</v>
      </c>
      <c r="E1276" s="2">
        <f t="shared" si="30"/>
        <v>46232</v>
      </c>
      <c r="F1276" t="s">
        <v>1744</v>
      </c>
      <c r="G1276">
        <f>_xlfn.XLOOKUP(A1276,FTD!A:A,FTD!C:C)</f>
        <v>1000</v>
      </c>
      <c r="H1276" cm="1">
        <f t="array" ref="H1276">_xlfn.LET(
  _xlpm.s, TRIM(F1276),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6" t="str">
        <f>_xlfn.XLOOKUP(E1276,Calendar!C:C,Calendar!B:B)</f>
        <v>Working Day</v>
      </c>
    </row>
    <row r="1277" spans="1:9" x14ac:dyDescent="0.25">
      <c r="A1277" t="s">
        <v>1276</v>
      </c>
      <c r="B1277" t="s">
        <v>1387</v>
      </c>
      <c r="C1277" t="s">
        <v>1408</v>
      </c>
      <c r="D1277" s="2">
        <v>46217.777025462958</v>
      </c>
      <c r="E1277" s="2">
        <f t="shared" si="30"/>
        <v>46217</v>
      </c>
      <c r="F1277" t="s">
        <v>1738</v>
      </c>
      <c r="G1277">
        <f>_xlfn.XLOOKUP(A1277,FTD!A:A,FTD!C:C)</f>
        <v>3000</v>
      </c>
      <c r="H1277" cm="1">
        <f t="array" ref="H1277">_xlfn.LET(
  _xlpm.s, TRIM(F1277),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7" t="str">
        <f>_xlfn.XLOOKUP(E1277,Calendar!C:C,Calendar!B:B)</f>
        <v>Working Day</v>
      </c>
    </row>
    <row r="1278" spans="1:9" x14ac:dyDescent="0.25">
      <c r="A1278" t="s">
        <v>1277</v>
      </c>
      <c r="B1278" t="s">
        <v>1387</v>
      </c>
      <c r="C1278" t="s">
        <v>1409</v>
      </c>
      <c r="D1278" s="2">
        <v>46219.440428240741</v>
      </c>
      <c r="E1278" s="2">
        <f t="shared" si="30"/>
        <v>46219</v>
      </c>
      <c r="F1278" t="s">
        <v>1744</v>
      </c>
      <c r="G1278">
        <f>_xlfn.XLOOKUP(A1278,FTD!A:A,FTD!C:C)</f>
        <v>1000</v>
      </c>
      <c r="H1278" cm="1">
        <f t="array" ref="H1278">_xlfn.LET(
  _xlpm.s, TRIM(F1278),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78" t="str">
        <f>_xlfn.XLOOKUP(E1278,Calendar!C:C,Calendar!B:B)</f>
        <v>Working Day</v>
      </c>
    </row>
    <row r="1279" spans="1:9" x14ac:dyDescent="0.25">
      <c r="A1279" t="s">
        <v>1278</v>
      </c>
      <c r="B1279" t="s">
        <v>1387</v>
      </c>
      <c r="C1279" t="s">
        <v>1405</v>
      </c>
      <c r="D1279" s="2">
        <v>46225.458229166667</v>
      </c>
      <c r="E1279" s="2">
        <f t="shared" si="30"/>
        <v>46225</v>
      </c>
      <c r="F1279" t="s">
        <v>1739</v>
      </c>
      <c r="G1279">
        <f>_xlfn.XLOOKUP(A1279,FTD!A:A,FTD!C:C)</f>
        <v>1000</v>
      </c>
      <c r="H1279" cm="1">
        <f t="array" ref="H1279">_xlfn.LET(
  _xlpm.s, TRIM(F1279),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79" t="str">
        <f>_xlfn.XLOOKUP(E1279,Calendar!C:C,Calendar!B:B)</f>
        <v>Working Day</v>
      </c>
    </row>
    <row r="1280" spans="1:9" x14ac:dyDescent="0.25">
      <c r="A1280" t="s">
        <v>1279</v>
      </c>
      <c r="B1280" t="s">
        <v>1387</v>
      </c>
      <c r="C1280" t="s">
        <v>1412</v>
      </c>
      <c r="D1280" s="2">
        <v>46218.64267361111</v>
      </c>
      <c r="E1280" s="2">
        <f t="shared" si="30"/>
        <v>46218</v>
      </c>
      <c r="F1280" t="s">
        <v>1738</v>
      </c>
      <c r="G1280">
        <f>_xlfn.XLOOKUP(A1280,FTD!A:A,FTD!C:C)</f>
        <v>1000</v>
      </c>
      <c r="H1280" cm="1">
        <f t="array" ref="H1280">_xlfn.LET(
  _xlpm.s, TRIM(F1280),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0" t="str">
        <f>_xlfn.XLOOKUP(E1280,Calendar!C:C,Calendar!B:B)</f>
        <v>Working Day</v>
      </c>
    </row>
    <row r="1281" spans="1:9" x14ac:dyDescent="0.25">
      <c r="A1281" t="s">
        <v>1280</v>
      </c>
      <c r="B1281" t="s">
        <v>1387</v>
      </c>
      <c r="C1281" t="s">
        <v>1398</v>
      </c>
      <c r="D1281" s="2">
        <v>46210.434664351851</v>
      </c>
      <c r="E1281" s="2">
        <f t="shared" si="30"/>
        <v>46210</v>
      </c>
      <c r="F1281" t="s">
        <v>1738</v>
      </c>
      <c r="G1281">
        <f>_xlfn.XLOOKUP(A1281,FTD!A:A,FTD!C:C)</f>
        <v>1000</v>
      </c>
      <c r="H1281" cm="1">
        <f t="array" ref="H1281">_xlfn.LET(
  _xlpm.s, TRIM(F1281),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1" t="str">
        <f>_xlfn.XLOOKUP(E1281,Calendar!C:C,Calendar!B:B)</f>
        <v>Working Day</v>
      </c>
    </row>
    <row r="1282" spans="1:9" x14ac:dyDescent="0.25">
      <c r="A1282" t="s">
        <v>1281</v>
      </c>
      <c r="B1282" t="s">
        <v>1384</v>
      </c>
      <c r="C1282" t="s">
        <v>1388</v>
      </c>
      <c r="D1282" s="2">
        <v>46208.558576388888</v>
      </c>
      <c r="E1282" s="2">
        <f t="shared" si="30"/>
        <v>46208</v>
      </c>
      <c r="F1282" t="s">
        <v>1740</v>
      </c>
      <c r="G1282">
        <f>_xlfn.XLOOKUP(A1282,FTD!A:A,FTD!C:C)</f>
        <v>1000</v>
      </c>
      <c r="H1282" cm="1">
        <f t="array" ref="H1282">_xlfn.LET(
  _xlpm.s, TRIM(F1282),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82" t="str">
        <f>_xlfn.XLOOKUP(E1282,Calendar!C:C,Calendar!B:B)</f>
        <v>Sunday</v>
      </c>
    </row>
    <row r="1283" spans="1:9" x14ac:dyDescent="0.25">
      <c r="A1283" t="s">
        <v>1282</v>
      </c>
      <c r="B1283" t="s">
        <v>1384</v>
      </c>
      <c r="C1283" t="s">
        <v>1418</v>
      </c>
      <c r="D1283" s="2">
        <v>46210.420752314814</v>
      </c>
      <c r="E1283" s="2">
        <f t="shared" ref="E1283:E1346" si="31">INT(D1283)</f>
        <v>46210</v>
      </c>
      <c r="F1283" t="s">
        <v>1738</v>
      </c>
      <c r="G1283">
        <f>_xlfn.XLOOKUP(A1283,FTD!A:A,FTD!C:C)</f>
        <v>1000</v>
      </c>
      <c r="H1283" cm="1">
        <f t="array" ref="H1283">_xlfn.LET(
  _xlpm.s, TRIM(F1283),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3" t="str">
        <f>_xlfn.XLOOKUP(E1283,Calendar!C:C,Calendar!B:B)</f>
        <v>Working Day</v>
      </c>
    </row>
    <row r="1284" spans="1:9" x14ac:dyDescent="0.25">
      <c r="A1284" t="s">
        <v>1283</v>
      </c>
      <c r="B1284" t="s">
        <v>1384</v>
      </c>
      <c r="C1284" t="s">
        <v>1414</v>
      </c>
      <c r="D1284" s="2">
        <v>46233.097349537034</v>
      </c>
      <c r="E1284" s="2">
        <f t="shared" si="31"/>
        <v>46233</v>
      </c>
      <c r="F1284" t="s">
        <v>1738</v>
      </c>
      <c r="G1284">
        <f>_xlfn.XLOOKUP(A1284,FTD!A:A,FTD!C:C)</f>
        <v>905</v>
      </c>
      <c r="H1284" cm="1">
        <f t="array" ref="H1284">_xlfn.LET(
  _xlpm.s, TRIM(F1284),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4" t="str">
        <f>_xlfn.XLOOKUP(E1284,Calendar!C:C,Calendar!B:B)</f>
        <v>Working Day</v>
      </c>
    </row>
    <row r="1285" spans="1:9" x14ac:dyDescent="0.25">
      <c r="A1285" t="s">
        <v>1284</v>
      </c>
      <c r="B1285" t="s">
        <v>1384</v>
      </c>
      <c r="C1285" t="s">
        <v>1418</v>
      </c>
      <c r="D1285" s="2">
        <v>46225.47960648148</v>
      </c>
      <c r="E1285" s="2">
        <f t="shared" si="31"/>
        <v>46225</v>
      </c>
      <c r="F1285" t="s">
        <v>1738</v>
      </c>
      <c r="G1285">
        <f>_xlfn.XLOOKUP(A1285,FTD!A:A,FTD!C:C)</f>
        <v>440</v>
      </c>
      <c r="H1285" cm="1">
        <f t="array" ref="H1285">_xlfn.LET(
  _xlpm.s, TRIM(F1285),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5" t="str">
        <f>_xlfn.XLOOKUP(E1285,Calendar!C:C,Calendar!B:B)</f>
        <v>Working Day</v>
      </c>
    </row>
    <row r="1286" spans="1:9" x14ac:dyDescent="0.25">
      <c r="A1286" t="s">
        <v>1285</v>
      </c>
      <c r="B1286" t="s">
        <v>1384</v>
      </c>
      <c r="C1286" t="s">
        <v>1424</v>
      </c>
      <c r="D1286" s="2">
        <v>46218.631805555553</v>
      </c>
      <c r="E1286" s="2">
        <f t="shared" si="31"/>
        <v>46218</v>
      </c>
      <c r="F1286" t="s">
        <v>1738</v>
      </c>
      <c r="G1286">
        <f>_xlfn.XLOOKUP(A1286,FTD!A:A,FTD!C:C)</f>
        <v>3000</v>
      </c>
      <c r="H1286" cm="1">
        <f t="array" ref="H1286">_xlfn.LET(
  _xlpm.s, TRIM(F1286),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6" t="str">
        <f>_xlfn.XLOOKUP(E1286,Calendar!C:C,Calendar!B:B)</f>
        <v>Working Day</v>
      </c>
    </row>
    <row r="1287" spans="1:9" x14ac:dyDescent="0.25">
      <c r="A1287" t="s">
        <v>1286</v>
      </c>
      <c r="B1287" t="s">
        <v>1387</v>
      </c>
      <c r="C1287" t="s">
        <v>1435</v>
      </c>
      <c r="D1287" s="2">
        <v>46233.408217592594</v>
      </c>
      <c r="E1287" s="2">
        <f t="shared" si="31"/>
        <v>46233</v>
      </c>
      <c r="F1287" t="s">
        <v>1738</v>
      </c>
      <c r="G1287">
        <f>_xlfn.XLOOKUP(A1287,FTD!A:A,FTD!C:C)</f>
        <v>25000</v>
      </c>
      <c r="H1287" cm="1">
        <f t="array" ref="H1287">_xlfn.LET(
  _xlpm.s, TRIM(F1287),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87" t="str">
        <f>_xlfn.XLOOKUP(E1287,Calendar!C:C,Calendar!B:B)</f>
        <v>Working Day</v>
      </c>
    </row>
    <row r="1288" spans="1:9" x14ac:dyDescent="0.25">
      <c r="A1288" t="s">
        <v>1287</v>
      </c>
      <c r="B1288" t="s">
        <v>1387</v>
      </c>
      <c r="C1288" t="s">
        <v>1406</v>
      </c>
      <c r="D1288" s="2">
        <v>46209.506504629629</v>
      </c>
      <c r="E1288" s="2">
        <f t="shared" si="31"/>
        <v>46209</v>
      </c>
      <c r="F1288" t="s">
        <v>1739</v>
      </c>
      <c r="G1288">
        <f>_xlfn.XLOOKUP(A1288,FTD!A:A,FTD!C:C)</f>
        <v>1000</v>
      </c>
      <c r="H1288" cm="1">
        <f t="array" ref="H1288">_xlfn.LET(
  _xlpm.s, TRIM(F1288),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88" t="str">
        <f>_xlfn.XLOOKUP(E1288,Calendar!C:C,Calendar!B:B)</f>
        <v>Working Day</v>
      </c>
    </row>
    <row r="1289" spans="1:9" x14ac:dyDescent="0.25">
      <c r="A1289" t="s">
        <v>1288</v>
      </c>
      <c r="B1289" t="s">
        <v>1387</v>
      </c>
      <c r="C1289" t="s">
        <v>1421</v>
      </c>
      <c r="D1289" s="2">
        <v>46204.420428240737</v>
      </c>
      <c r="E1289" s="2">
        <f t="shared" si="31"/>
        <v>46204</v>
      </c>
      <c r="F1289" t="s">
        <v>1755</v>
      </c>
      <c r="G1289">
        <f>_xlfn.XLOOKUP(A1289,FTD!A:A,FTD!C:C)</f>
        <v>2000</v>
      </c>
      <c r="H1289" cm="1">
        <f t="array" ref="H1289">_xlfn.LET(
  _xlpm.s, TRIM(F1289),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289" t="str">
        <f>_xlfn.XLOOKUP(E1289,Calendar!C:C,Calendar!B:B)</f>
        <v>Working Day</v>
      </c>
    </row>
    <row r="1290" spans="1:9" x14ac:dyDescent="0.25">
      <c r="A1290" t="s">
        <v>1289</v>
      </c>
      <c r="B1290" t="s">
        <v>1387</v>
      </c>
      <c r="C1290" t="s">
        <v>1433</v>
      </c>
      <c r="D1290" s="2">
        <v>46220.435844907406</v>
      </c>
      <c r="E1290" s="2">
        <f t="shared" si="31"/>
        <v>46220</v>
      </c>
      <c r="F1290" t="s">
        <v>1744</v>
      </c>
      <c r="G1290">
        <f>_xlfn.XLOOKUP(A1290,FTD!A:A,FTD!C:C)</f>
        <v>1000</v>
      </c>
      <c r="H1290" cm="1">
        <f t="array" ref="H1290">_xlfn.LET(
  _xlpm.s, TRIM(F1290),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0" t="str">
        <f>_xlfn.XLOOKUP(E1290,Calendar!C:C,Calendar!B:B)</f>
        <v>Working Day</v>
      </c>
    </row>
    <row r="1291" spans="1:9" x14ac:dyDescent="0.25">
      <c r="A1291" t="s">
        <v>1290</v>
      </c>
      <c r="B1291" t="s">
        <v>1387</v>
      </c>
      <c r="C1291" t="s">
        <v>1434</v>
      </c>
      <c r="D1291" s="2">
        <v>46217.607951388884</v>
      </c>
      <c r="E1291" s="2">
        <f t="shared" si="31"/>
        <v>46217</v>
      </c>
      <c r="F1291" t="s">
        <v>1738</v>
      </c>
      <c r="G1291">
        <f>_xlfn.XLOOKUP(A1291,FTD!A:A,FTD!C:C)</f>
        <v>1000</v>
      </c>
      <c r="H1291" cm="1">
        <f t="array" ref="H1291">_xlfn.LET(
  _xlpm.s, TRIM(F1291),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1" t="str">
        <f>_xlfn.XLOOKUP(E1291,Calendar!C:C,Calendar!B:B)</f>
        <v>Working Day</v>
      </c>
    </row>
    <row r="1292" spans="1:9" x14ac:dyDescent="0.25">
      <c r="A1292" t="s">
        <v>1291</v>
      </c>
      <c r="B1292" t="s">
        <v>1387</v>
      </c>
      <c r="C1292" t="s">
        <v>1417</v>
      </c>
      <c r="D1292" s="2">
        <v>46207.625578703701</v>
      </c>
      <c r="E1292" s="2">
        <f t="shared" si="31"/>
        <v>46207</v>
      </c>
      <c r="F1292" t="s">
        <v>1751</v>
      </c>
      <c r="G1292">
        <f>_xlfn.XLOOKUP(A1292,FTD!A:A,FTD!C:C)</f>
        <v>1000</v>
      </c>
      <c r="H1292" cm="1">
        <f t="array" ref="H1292">_xlfn.LET(
  _xlpm.s, TRIM(F1292),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92" t="str">
        <f>_xlfn.XLOOKUP(E1292,Calendar!C:C,Calendar!B:B)</f>
        <v>Saturday</v>
      </c>
    </row>
    <row r="1293" spans="1:9" x14ac:dyDescent="0.25">
      <c r="A1293" t="s">
        <v>1292</v>
      </c>
      <c r="B1293" t="s">
        <v>1387</v>
      </c>
      <c r="C1293" t="s">
        <v>1417</v>
      </c>
      <c r="D1293" s="2">
        <v>46231.461458333331</v>
      </c>
      <c r="E1293" s="2">
        <f t="shared" si="31"/>
        <v>46231</v>
      </c>
      <c r="F1293" t="s">
        <v>1743</v>
      </c>
      <c r="G1293">
        <f>_xlfn.XLOOKUP(A1293,FTD!A:A,FTD!C:C)</f>
        <v>1000</v>
      </c>
      <c r="H1293" cm="1">
        <f t="array" ref="H1293">_xlfn.LET(
  _xlpm.s, TRIM(F1293),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3" t="str">
        <f>_xlfn.XLOOKUP(E1293,Calendar!C:C,Calendar!B:B)</f>
        <v>Working Day</v>
      </c>
    </row>
    <row r="1294" spans="1:9" x14ac:dyDescent="0.25">
      <c r="A1294" t="s">
        <v>1293</v>
      </c>
      <c r="B1294" t="s">
        <v>1387</v>
      </c>
      <c r="C1294" t="s">
        <v>1407</v>
      </c>
      <c r="D1294" s="2">
        <v>46211.626400462963</v>
      </c>
      <c r="E1294" s="2">
        <f t="shared" si="31"/>
        <v>46211</v>
      </c>
      <c r="F1294" t="s">
        <v>1751</v>
      </c>
      <c r="G1294">
        <f>_xlfn.XLOOKUP(A1294,FTD!A:A,FTD!C:C)</f>
        <v>1000</v>
      </c>
      <c r="H1294" cm="1">
        <f t="array" ref="H1294">_xlfn.LET(
  _xlpm.s, TRIM(F1294),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94" t="str">
        <f>_xlfn.XLOOKUP(E1294,Calendar!C:C,Calendar!B:B)</f>
        <v>Working Day</v>
      </c>
    </row>
    <row r="1295" spans="1:9" x14ac:dyDescent="0.25">
      <c r="A1295" t="s">
        <v>1294</v>
      </c>
      <c r="B1295" t="s">
        <v>1384</v>
      </c>
      <c r="C1295" t="s">
        <v>1414</v>
      </c>
      <c r="D1295" s="2">
        <v>46231.787002314813</v>
      </c>
      <c r="E1295" s="2">
        <f t="shared" si="31"/>
        <v>46231</v>
      </c>
      <c r="F1295" t="s">
        <v>1738</v>
      </c>
      <c r="G1295">
        <f>_xlfn.XLOOKUP(A1295,FTD!A:A,FTD!C:C)</f>
        <v>1000</v>
      </c>
      <c r="H1295" cm="1">
        <f t="array" ref="H1295">_xlfn.LET(
  _xlpm.s, TRIM(F1295),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5" t="str">
        <f>_xlfn.XLOOKUP(E1295,Calendar!C:C,Calendar!B:B)</f>
        <v>Working Day</v>
      </c>
    </row>
    <row r="1296" spans="1:9" x14ac:dyDescent="0.25">
      <c r="A1296" t="s">
        <v>1295</v>
      </c>
      <c r="B1296" t="s">
        <v>1384</v>
      </c>
      <c r="C1296" t="s">
        <v>1388</v>
      </c>
      <c r="D1296" s="2">
        <v>46207.861307870371</v>
      </c>
      <c r="E1296" s="2">
        <f t="shared" si="31"/>
        <v>46207</v>
      </c>
      <c r="F1296" t="s">
        <v>1738</v>
      </c>
      <c r="G1296">
        <f>_xlfn.XLOOKUP(A1296,FTD!A:A,FTD!C:C)</f>
        <v>1000</v>
      </c>
      <c r="H1296" cm="1">
        <f t="array" ref="H1296">_xlfn.LET(
  _xlpm.s, TRIM(F1296),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6" t="str">
        <f>_xlfn.XLOOKUP(E1296,Calendar!C:C,Calendar!B:B)</f>
        <v>Saturday</v>
      </c>
    </row>
    <row r="1297" spans="1:9" x14ac:dyDescent="0.25">
      <c r="A1297" t="s">
        <v>1296</v>
      </c>
      <c r="B1297" t="s">
        <v>1387</v>
      </c>
      <c r="C1297" t="s">
        <v>1409</v>
      </c>
      <c r="D1297" s="2">
        <v>46209.437118055554</v>
      </c>
      <c r="E1297" s="2">
        <f t="shared" si="31"/>
        <v>46209</v>
      </c>
      <c r="F1297" t="s">
        <v>1742</v>
      </c>
      <c r="G1297">
        <f>_xlfn.XLOOKUP(A1297,FTD!A:A,FTD!C:C)</f>
        <v>1000</v>
      </c>
      <c r="H1297" cm="1">
        <f t="array" ref="H1297">_xlfn.LET(
  _xlpm.s, TRIM(F1297),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297" t="str">
        <f>_xlfn.XLOOKUP(E1297,Calendar!C:C,Calendar!B:B)</f>
        <v>Working Day</v>
      </c>
    </row>
    <row r="1298" spans="1:9" x14ac:dyDescent="0.25">
      <c r="A1298" t="s">
        <v>1297</v>
      </c>
      <c r="B1298" t="s">
        <v>1387</v>
      </c>
      <c r="C1298" t="s">
        <v>1408</v>
      </c>
      <c r="D1298" s="2">
        <v>46206.665648148148</v>
      </c>
      <c r="E1298" s="2">
        <f t="shared" si="31"/>
        <v>46206</v>
      </c>
      <c r="F1298" t="s">
        <v>1738</v>
      </c>
      <c r="G1298">
        <f>_xlfn.XLOOKUP(A1298,FTD!A:A,FTD!C:C)</f>
        <v>1000</v>
      </c>
      <c r="H1298" cm="1">
        <f t="array" ref="H1298">_xlfn.LET(
  _xlpm.s, TRIM(F1298),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8" t="str">
        <f>_xlfn.XLOOKUP(E1298,Calendar!C:C,Calendar!B:B)</f>
        <v>Working Day</v>
      </c>
    </row>
    <row r="1299" spans="1:9" x14ac:dyDescent="0.25">
      <c r="A1299" t="s">
        <v>1298</v>
      </c>
      <c r="B1299" t="s">
        <v>1387</v>
      </c>
      <c r="C1299" t="s">
        <v>1404</v>
      </c>
      <c r="D1299" s="2">
        <v>46220.592256944445</v>
      </c>
      <c r="E1299" s="2">
        <f t="shared" si="31"/>
        <v>46220</v>
      </c>
      <c r="F1299" t="s">
        <v>1744</v>
      </c>
      <c r="G1299">
        <f>_xlfn.XLOOKUP(A1299,FTD!A:A,FTD!C:C)</f>
        <v>1000</v>
      </c>
      <c r="H1299" cm="1">
        <f t="array" ref="H1299">_xlfn.LET(
  _xlpm.s, TRIM(F1299),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299" t="str">
        <f>_xlfn.XLOOKUP(E1299,Calendar!C:C,Calendar!B:B)</f>
        <v>Working Day</v>
      </c>
    </row>
    <row r="1300" spans="1:9" x14ac:dyDescent="0.25">
      <c r="A1300" t="s">
        <v>1299</v>
      </c>
      <c r="B1300" t="s">
        <v>1387</v>
      </c>
      <c r="C1300" t="s">
        <v>1433</v>
      </c>
      <c r="D1300" s="2">
        <v>46220.521354166667</v>
      </c>
      <c r="E1300" s="2">
        <f t="shared" si="31"/>
        <v>46220</v>
      </c>
      <c r="F1300" t="s">
        <v>1747</v>
      </c>
      <c r="G1300">
        <f>_xlfn.XLOOKUP(A1300,FTD!A:A,FTD!C:C)</f>
        <v>1000</v>
      </c>
      <c r="H1300" cm="1">
        <f t="array" ref="H1300">_xlfn.LET(
  _xlpm.s, TRIM(F1300),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00" t="str">
        <f>_xlfn.XLOOKUP(E1300,Calendar!C:C,Calendar!B:B)</f>
        <v>Working Day</v>
      </c>
    </row>
    <row r="1301" spans="1:9" x14ac:dyDescent="0.25">
      <c r="A1301" t="s">
        <v>1300</v>
      </c>
      <c r="B1301" t="s">
        <v>1387</v>
      </c>
      <c r="C1301" t="s">
        <v>1408</v>
      </c>
      <c r="D1301" s="2">
        <v>46209.985555555555</v>
      </c>
      <c r="E1301" s="2">
        <f t="shared" si="31"/>
        <v>46209</v>
      </c>
      <c r="F1301" t="s">
        <v>1738</v>
      </c>
      <c r="G1301">
        <f>_xlfn.XLOOKUP(A1301,FTD!A:A,FTD!C:C)</f>
        <v>14000</v>
      </c>
      <c r="H1301" cm="1">
        <f t="array" ref="H1301">_xlfn.LET(
  _xlpm.s, TRIM(F1301),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01" t="str">
        <f>_xlfn.XLOOKUP(E1301,Calendar!C:C,Calendar!B:B)</f>
        <v>Working Day</v>
      </c>
    </row>
    <row r="1302" spans="1:9" x14ac:dyDescent="0.25">
      <c r="A1302" t="s">
        <v>1301</v>
      </c>
      <c r="B1302" t="s">
        <v>1386</v>
      </c>
      <c r="C1302" t="s">
        <v>1415</v>
      </c>
      <c r="D1302" s="2">
        <v>46233.481365740736</v>
      </c>
      <c r="E1302" s="2">
        <f t="shared" si="31"/>
        <v>46233</v>
      </c>
      <c r="F1302" t="s">
        <v>1738</v>
      </c>
      <c r="G1302">
        <f>_xlfn.XLOOKUP(A1302,FTD!A:A,FTD!C:C)</f>
        <v>5000</v>
      </c>
      <c r="H1302" cm="1">
        <f t="array" ref="H1302">_xlfn.LET(
  _xlpm.s, TRIM(F1302),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02" t="str">
        <f>_xlfn.XLOOKUP(E1302,Calendar!C:C,Calendar!B:B)</f>
        <v>Working Day</v>
      </c>
    </row>
    <row r="1303" spans="1:9" x14ac:dyDescent="0.25">
      <c r="A1303" t="s">
        <v>1302</v>
      </c>
      <c r="B1303" t="s">
        <v>1387</v>
      </c>
      <c r="C1303" t="s">
        <v>1431</v>
      </c>
      <c r="D1303" s="2">
        <v>46216.622291666667</v>
      </c>
      <c r="E1303" s="2">
        <f t="shared" si="31"/>
        <v>46216</v>
      </c>
      <c r="F1303" t="s">
        <v>1755</v>
      </c>
      <c r="G1303">
        <f>_xlfn.XLOOKUP(A1303,FTD!A:A,FTD!C:C)</f>
        <v>1000</v>
      </c>
      <c r="H1303" cm="1">
        <f t="array" ref="H1303">_xlfn.LET(
  _xlpm.s, TRIM(F1303),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03" t="str">
        <f>_xlfn.XLOOKUP(E1303,Calendar!C:C,Calendar!B:B)</f>
        <v>Working Day</v>
      </c>
    </row>
    <row r="1304" spans="1:9" x14ac:dyDescent="0.25">
      <c r="A1304" t="s">
        <v>1303</v>
      </c>
      <c r="B1304" t="s">
        <v>1387</v>
      </c>
      <c r="C1304" t="s">
        <v>1413</v>
      </c>
      <c r="D1304" s="2">
        <v>46223.533865740741</v>
      </c>
      <c r="E1304" s="2">
        <f t="shared" si="31"/>
        <v>46223</v>
      </c>
      <c r="F1304" t="s">
        <v>1743</v>
      </c>
      <c r="G1304">
        <f>_xlfn.XLOOKUP(A1304,FTD!A:A,FTD!C:C)</f>
        <v>1000</v>
      </c>
      <c r="H1304" cm="1">
        <f t="array" ref="H1304">_xlfn.LET(
  _xlpm.s, TRIM(F1304),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04" t="str">
        <f>_xlfn.XLOOKUP(E1304,Calendar!C:C,Calendar!B:B)</f>
        <v>Working Day</v>
      </c>
    </row>
    <row r="1305" spans="1:9" x14ac:dyDescent="0.25">
      <c r="A1305" t="s">
        <v>1304</v>
      </c>
      <c r="B1305" t="s">
        <v>1387</v>
      </c>
      <c r="C1305" t="s">
        <v>1420</v>
      </c>
      <c r="D1305" s="2">
        <v>46234.675219907404</v>
      </c>
      <c r="E1305" s="2">
        <f t="shared" si="31"/>
        <v>46234</v>
      </c>
      <c r="F1305" t="s">
        <v>1743</v>
      </c>
      <c r="G1305">
        <f>_xlfn.XLOOKUP(A1305,FTD!A:A,FTD!C:C)</f>
        <v>1000</v>
      </c>
      <c r="H1305" cm="1">
        <f t="array" ref="H1305">_xlfn.LET(
  _xlpm.s, TRIM(F1305),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05" t="str">
        <f>_xlfn.XLOOKUP(E1305,Calendar!C:C,Calendar!B:B)</f>
        <v>Working Day</v>
      </c>
    </row>
    <row r="1306" spans="1:9" x14ac:dyDescent="0.25">
      <c r="A1306" t="s">
        <v>1305</v>
      </c>
      <c r="B1306" t="s">
        <v>1387</v>
      </c>
      <c r="C1306" t="s">
        <v>1433</v>
      </c>
      <c r="D1306" s="2">
        <v>46209.63071759259</v>
      </c>
      <c r="E1306" s="2">
        <f t="shared" si="31"/>
        <v>46209</v>
      </c>
      <c r="F1306" t="s">
        <v>1739</v>
      </c>
      <c r="G1306">
        <f>_xlfn.XLOOKUP(A1306,FTD!A:A,FTD!C:C)</f>
        <v>2000</v>
      </c>
      <c r="H1306" cm="1">
        <f t="array" ref="H1306">_xlfn.LET(
  _xlpm.s, TRIM(F1306),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06" t="str">
        <f>_xlfn.XLOOKUP(E1306,Calendar!C:C,Calendar!B:B)</f>
        <v>Working Day</v>
      </c>
    </row>
    <row r="1307" spans="1:9" x14ac:dyDescent="0.25">
      <c r="A1307" t="s">
        <v>1306</v>
      </c>
      <c r="B1307" t="s">
        <v>1384</v>
      </c>
      <c r="C1307" t="s">
        <v>1430</v>
      </c>
      <c r="D1307" s="2">
        <v>46220.613541666666</v>
      </c>
      <c r="E1307" s="2">
        <f t="shared" si="31"/>
        <v>46220</v>
      </c>
      <c r="F1307" t="s">
        <v>1706</v>
      </c>
      <c r="G1307">
        <f>_xlfn.XLOOKUP(A1307,FTD!A:A,FTD!C:C)</f>
        <v>2000</v>
      </c>
      <c r="H1307" cm="1">
        <f t="array" ref="H1307">_xlfn.LET(
  _xlpm.s, TRIM(F1307),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307" t="str">
        <f>_xlfn.XLOOKUP(E1307,Calendar!C:C,Calendar!B:B)</f>
        <v>Working Day</v>
      </c>
    </row>
    <row r="1308" spans="1:9" x14ac:dyDescent="0.25">
      <c r="A1308" t="s">
        <v>1307</v>
      </c>
      <c r="B1308" t="s">
        <v>1384</v>
      </c>
      <c r="C1308" t="s">
        <v>1415</v>
      </c>
      <c r="D1308" s="2">
        <v>46219.639861111107</v>
      </c>
      <c r="E1308" s="2">
        <f t="shared" si="31"/>
        <v>46219</v>
      </c>
      <c r="F1308" t="s">
        <v>1738</v>
      </c>
      <c r="G1308">
        <f>_xlfn.XLOOKUP(A1308,FTD!A:A,FTD!C:C)</f>
        <v>9000</v>
      </c>
      <c r="H1308" cm="1">
        <f t="array" ref="H1308">_xlfn.LET(
  _xlpm.s, TRIM(F1308),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08" t="str">
        <f>_xlfn.XLOOKUP(E1308,Calendar!C:C,Calendar!B:B)</f>
        <v>Working Day</v>
      </c>
    </row>
    <row r="1309" spans="1:9" x14ac:dyDescent="0.25">
      <c r="A1309" t="s">
        <v>1308</v>
      </c>
      <c r="B1309" t="s">
        <v>1384</v>
      </c>
      <c r="C1309" t="s">
        <v>1409</v>
      </c>
      <c r="D1309" s="2">
        <v>46213.434131944443</v>
      </c>
      <c r="E1309" s="2">
        <f t="shared" si="31"/>
        <v>46213</v>
      </c>
      <c r="F1309" t="s">
        <v>1740</v>
      </c>
      <c r="G1309">
        <f>_xlfn.XLOOKUP(A1309,FTD!A:A,FTD!C:C)</f>
        <v>2000</v>
      </c>
      <c r="H1309" cm="1">
        <f t="array" ref="H1309">_xlfn.LET(
  _xlpm.s, TRIM(F1309),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09" t="str">
        <f>_xlfn.XLOOKUP(E1309,Calendar!C:C,Calendar!B:B)</f>
        <v>Working Day</v>
      </c>
    </row>
    <row r="1310" spans="1:9" x14ac:dyDescent="0.25">
      <c r="A1310" t="s">
        <v>1309</v>
      </c>
      <c r="B1310" t="s">
        <v>1387</v>
      </c>
      <c r="C1310" t="s">
        <v>1408</v>
      </c>
      <c r="D1310" s="2">
        <v>46209.68005787037</v>
      </c>
      <c r="E1310" s="2">
        <f t="shared" si="31"/>
        <v>46209</v>
      </c>
      <c r="F1310" t="s">
        <v>1739</v>
      </c>
      <c r="G1310">
        <f>_xlfn.XLOOKUP(A1310,FTD!A:A,FTD!C:C)</f>
        <v>1000</v>
      </c>
      <c r="H1310" cm="1">
        <f t="array" ref="H1310">_xlfn.LET(
  _xlpm.s, TRIM(F1310),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10" t="str">
        <f>_xlfn.XLOOKUP(E1310,Calendar!C:C,Calendar!B:B)</f>
        <v>Working Day</v>
      </c>
    </row>
    <row r="1311" spans="1:9" x14ac:dyDescent="0.25">
      <c r="A1311" t="s">
        <v>1310</v>
      </c>
      <c r="B1311" t="s">
        <v>1387</v>
      </c>
      <c r="C1311" t="s">
        <v>1408</v>
      </c>
      <c r="D1311" s="2">
        <v>46224.391921296294</v>
      </c>
      <c r="E1311" s="2">
        <f t="shared" si="31"/>
        <v>46224</v>
      </c>
      <c r="F1311" t="s">
        <v>1739</v>
      </c>
      <c r="G1311">
        <f>_xlfn.XLOOKUP(A1311,FTD!A:A,FTD!C:C)</f>
        <v>1000</v>
      </c>
      <c r="H1311" cm="1">
        <f t="array" ref="H1311">_xlfn.LET(
  _xlpm.s, TRIM(F1311),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11" t="str">
        <f>_xlfn.XLOOKUP(E1311,Calendar!C:C,Calendar!B:B)</f>
        <v>Working Day</v>
      </c>
    </row>
    <row r="1312" spans="1:9" x14ac:dyDescent="0.25">
      <c r="A1312" t="s">
        <v>1311</v>
      </c>
      <c r="B1312" t="s">
        <v>1387</v>
      </c>
      <c r="C1312" t="s">
        <v>1399</v>
      </c>
      <c r="D1312" s="2">
        <v>46212.776342592588</v>
      </c>
      <c r="E1312" s="2">
        <f t="shared" si="31"/>
        <v>46212</v>
      </c>
      <c r="F1312" t="s">
        <v>1738</v>
      </c>
      <c r="G1312">
        <f>_xlfn.XLOOKUP(A1312,FTD!A:A,FTD!C:C)</f>
        <v>1000</v>
      </c>
      <c r="H1312" cm="1">
        <f t="array" ref="H1312">_xlfn.LET(
  _xlpm.s, TRIM(F1312),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2" t="str">
        <f>_xlfn.XLOOKUP(E1312,Calendar!C:C,Calendar!B:B)</f>
        <v>Working Day</v>
      </c>
    </row>
    <row r="1313" spans="1:9" x14ac:dyDescent="0.25">
      <c r="A1313" t="s">
        <v>1312</v>
      </c>
      <c r="B1313" t="s">
        <v>1387</v>
      </c>
      <c r="C1313" t="s">
        <v>1408</v>
      </c>
      <c r="D1313" s="2">
        <v>46206.480173611111</v>
      </c>
      <c r="E1313" s="2">
        <f t="shared" si="31"/>
        <v>46206</v>
      </c>
      <c r="F1313" t="s">
        <v>1738</v>
      </c>
      <c r="G1313">
        <f>_xlfn.XLOOKUP(A1313,FTD!A:A,FTD!C:C)</f>
        <v>2000</v>
      </c>
      <c r="H1313" cm="1">
        <f t="array" ref="H1313">_xlfn.LET(
  _xlpm.s, TRIM(F1313),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3" t="str">
        <f>_xlfn.XLOOKUP(E1313,Calendar!C:C,Calendar!B:B)</f>
        <v>Working Day</v>
      </c>
    </row>
    <row r="1314" spans="1:9" x14ac:dyDescent="0.25">
      <c r="A1314" t="s">
        <v>1313</v>
      </c>
      <c r="B1314" t="s">
        <v>1387</v>
      </c>
      <c r="C1314" t="s">
        <v>1408</v>
      </c>
      <c r="D1314" s="2">
        <v>46229.916435185187</v>
      </c>
      <c r="E1314" s="2">
        <f t="shared" si="31"/>
        <v>46229</v>
      </c>
      <c r="F1314" t="s">
        <v>1738</v>
      </c>
      <c r="G1314">
        <f>_xlfn.XLOOKUP(A1314,FTD!A:A,FTD!C:C)</f>
        <v>1000</v>
      </c>
      <c r="H1314" cm="1">
        <f t="array" ref="H1314">_xlfn.LET(
  _xlpm.s, TRIM(F1314),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4" t="str">
        <f>_xlfn.XLOOKUP(E1314,Calendar!C:C,Calendar!B:B)</f>
        <v>Sunday</v>
      </c>
    </row>
    <row r="1315" spans="1:9" x14ac:dyDescent="0.25">
      <c r="A1315" t="s">
        <v>1314</v>
      </c>
      <c r="B1315" t="s">
        <v>1387</v>
      </c>
      <c r="C1315" t="s">
        <v>1398</v>
      </c>
      <c r="D1315" s="2">
        <v>46230.033541666664</v>
      </c>
      <c r="E1315" s="2">
        <f t="shared" si="31"/>
        <v>46230</v>
      </c>
      <c r="F1315" t="s">
        <v>1738</v>
      </c>
      <c r="G1315">
        <f>_xlfn.XLOOKUP(A1315,FTD!A:A,FTD!C:C)</f>
        <v>1000</v>
      </c>
      <c r="H1315" cm="1">
        <f t="array" ref="H1315">_xlfn.LET(
  _xlpm.s, TRIM(F1315),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5" t="str">
        <f>_xlfn.XLOOKUP(E1315,Calendar!C:C,Calendar!B:B)</f>
        <v>Working Day</v>
      </c>
    </row>
    <row r="1316" spans="1:9" x14ac:dyDescent="0.25">
      <c r="A1316" t="s">
        <v>1315</v>
      </c>
      <c r="B1316" t="s">
        <v>1387</v>
      </c>
      <c r="C1316" t="s">
        <v>1412</v>
      </c>
      <c r="D1316" s="2">
        <v>46205.528668981482</v>
      </c>
      <c r="E1316" s="2">
        <f t="shared" si="31"/>
        <v>46205</v>
      </c>
      <c r="F1316" t="s">
        <v>1738</v>
      </c>
      <c r="G1316">
        <f>_xlfn.XLOOKUP(A1316,FTD!A:A,FTD!C:C)</f>
        <v>1000</v>
      </c>
      <c r="H1316" cm="1">
        <f t="array" ref="H1316">_xlfn.LET(
  _xlpm.s, TRIM(F1316),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6" t="str">
        <f>_xlfn.XLOOKUP(E1316,Calendar!C:C,Calendar!B:B)</f>
        <v>Working Day</v>
      </c>
    </row>
    <row r="1317" spans="1:9" x14ac:dyDescent="0.25">
      <c r="A1317" t="s">
        <v>1316</v>
      </c>
      <c r="B1317" t="s">
        <v>1387</v>
      </c>
      <c r="C1317" t="s">
        <v>1408</v>
      </c>
      <c r="D1317" s="2">
        <v>46205.85424768518</v>
      </c>
      <c r="E1317" s="2">
        <f t="shared" si="31"/>
        <v>46205</v>
      </c>
      <c r="F1317" t="s">
        <v>1738</v>
      </c>
      <c r="G1317">
        <f>_xlfn.XLOOKUP(A1317,FTD!A:A,FTD!C:C)</f>
        <v>4000</v>
      </c>
      <c r="H1317" cm="1">
        <f t="array" ref="H1317">_xlfn.LET(
  _xlpm.s, TRIM(F1317),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7" t="str">
        <f>_xlfn.XLOOKUP(E1317,Calendar!C:C,Calendar!B:B)</f>
        <v>Working Day</v>
      </c>
    </row>
    <row r="1318" spans="1:9" x14ac:dyDescent="0.25">
      <c r="A1318" t="s">
        <v>1317</v>
      </c>
      <c r="B1318" t="s">
        <v>1387</v>
      </c>
      <c r="C1318" t="s">
        <v>1408</v>
      </c>
      <c r="D1318" s="2">
        <v>46230.586018518516</v>
      </c>
      <c r="E1318" s="2">
        <f t="shared" si="31"/>
        <v>46230</v>
      </c>
      <c r="F1318" t="s">
        <v>1738</v>
      </c>
      <c r="G1318">
        <f>_xlfn.XLOOKUP(A1318,FTD!A:A,FTD!C:C)</f>
        <v>30000</v>
      </c>
      <c r="H1318" cm="1">
        <f t="array" ref="H1318">_xlfn.LET(
  _xlpm.s, TRIM(F1318),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8" t="str">
        <f>_xlfn.XLOOKUP(E1318,Calendar!C:C,Calendar!B:B)</f>
        <v>Working Day</v>
      </c>
    </row>
    <row r="1319" spans="1:9" x14ac:dyDescent="0.25">
      <c r="A1319" t="s">
        <v>1318</v>
      </c>
      <c r="B1319" t="s">
        <v>1387</v>
      </c>
      <c r="C1319" t="s">
        <v>1412</v>
      </c>
      <c r="D1319" s="2">
        <v>46230.413182870368</v>
      </c>
      <c r="E1319" s="2">
        <f t="shared" si="31"/>
        <v>46230</v>
      </c>
      <c r="F1319" t="s">
        <v>1738</v>
      </c>
      <c r="G1319">
        <f>_xlfn.XLOOKUP(A1319,FTD!A:A,FTD!C:C)</f>
        <v>2000</v>
      </c>
      <c r="H1319" cm="1">
        <f t="array" ref="H1319">_xlfn.LET(
  _xlpm.s, TRIM(F1319),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19" t="str">
        <f>_xlfn.XLOOKUP(E1319,Calendar!C:C,Calendar!B:B)</f>
        <v>Working Day</v>
      </c>
    </row>
    <row r="1320" spans="1:9" x14ac:dyDescent="0.25">
      <c r="A1320" t="s">
        <v>1319</v>
      </c>
      <c r="B1320" t="s">
        <v>1387</v>
      </c>
      <c r="C1320" t="s">
        <v>1398</v>
      </c>
      <c r="D1320" s="2">
        <v>46218.469398148147</v>
      </c>
      <c r="E1320" s="2">
        <f t="shared" si="31"/>
        <v>46218</v>
      </c>
      <c r="F1320" t="s">
        <v>1738</v>
      </c>
      <c r="G1320">
        <f>_xlfn.XLOOKUP(A1320,FTD!A:A,FTD!C:C)</f>
        <v>1000</v>
      </c>
      <c r="H1320" cm="1">
        <f t="array" ref="H1320">_xlfn.LET(
  _xlpm.s, TRIM(F1320),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0" t="str">
        <f>_xlfn.XLOOKUP(E1320,Calendar!C:C,Calendar!B:B)</f>
        <v>Working Day</v>
      </c>
    </row>
    <row r="1321" spans="1:9" x14ac:dyDescent="0.25">
      <c r="A1321" t="s">
        <v>1320</v>
      </c>
      <c r="B1321" t="s">
        <v>1387</v>
      </c>
      <c r="C1321" t="s">
        <v>1399</v>
      </c>
      <c r="D1321" s="2">
        <v>46212.628483796296</v>
      </c>
      <c r="E1321" s="2">
        <f t="shared" si="31"/>
        <v>46212</v>
      </c>
      <c r="F1321" t="s">
        <v>1738</v>
      </c>
      <c r="G1321">
        <f>_xlfn.XLOOKUP(A1321,FTD!A:A,FTD!C:C)</f>
        <v>6500</v>
      </c>
      <c r="H1321" cm="1">
        <f t="array" ref="H1321">_xlfn.LET(
  _xlpm.s, TRIM(F1321),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1" t="str">
        <f>_xlfn.XLOOKUP(E1321,Calendar!C:C,Calendar!B:B)</f>
        <v>Working Day</v>
      </c>
    </row>
    <row r="1322" spans="1:9" x14ac:dyDescent="0.25">
      <c r="A1322" t="s">
        <v>1321</v>
      </c>
      <c r="B1322" t="s">
        <v>1387</v>
      </c>
      <c r="C1322" t="s">
        <v>1396</v>
      </c>
      <c r="D1322" s="2">
        <v>46219.542847222219</v>
      </c>
      <c r="E1322" s="2">
        <f t="shared" si="31"/>
        <v>46219</v>
      </c>
      <c r="F1322" t="s">
        <v>1743</v>
      </c>
      <c r="G1322">
        <f>_xlfn.XLOOKUP(A1322,FTD!A:A,FTD!C:C)</f>
        <v>1000</v>
      </c>
      <c r="H1322" cm="1">
        <f t="array" ref="H1322">_xlfn.LET(
  _xlpm.s, TRIM(F1322),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2" t="str">
        <f>_xlfn.XLOOKUP(E1322,Calendar!C:C,Calendar!B:B)</f>
        <v>Working Day</v>
      </c>
    </row>
    <row r="1323" spans="1:9" x14ac:dyDescent="0.25">
      <c r="A1323" t="s">
        <v>1322</v>
      </c>
      <c r="B1323" t="s">
        <v>1387</v>
      </c>
      <c r="C1323" t="s">
        <v>1398</v>
      </c>
      <c r="D1323" s="2">
        <v>46218.792673611111</v>
      </c>
      <c r="E1323" s="2">
        <f t="shared" si="31"/>
        <v>46218</v>
      </c>
      <c r="F1323" t="s">
        <v>1738</v>
      </c>
      <c r="G1323">
        <f>_xlfn.XLOOKUP(A1323,FTD!A:A,FTD!C:C)</f>
        <v>5000</v>
      </c>
      <c r="H1323" cm="1">
        <f t="array" ref="H1323">_xlfn.LET(
  _xlpm.s, TRIM(F1323),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3" t="str">
        <f>_xlfn.XLOOKUP(E1323,Calendar!C:C,Calendar!B:B)</f>
        <v>Working Day</v>
      </c>
    </row>
    <row r="1324" spans="1:9" x14ac:dyDescent="0.25">
      <c r="A1324" t="s">
        <v>1323</v>
      </c>
      <c r="B1324" t="s">
        <v>1387</v>
      </c>
      <c r="C1324" t="s">
        <v>1395</v>
      </c>
      <c r="D1324" s="2">
        <v>46213.602384259255</v>
      </c>
      <c r="E1324" s="2">
        <f t="shared" si="31"/>
        <v>46213</v>
      </c>
      <c r="F1324" t="s">
        <v>1738</v>
      </c>
      <c r="G1324">
        <f>_xlfn.XLOOKUP(A1324,FTD!A:A,FTD!C:C)</f>
        <v>1000</v>
      </c>
      <c r="H1324" cm="1">
        <f t="array" ref="H1324">_xlfn.LET(
  _xlpm.s, TRIM(F1324),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4" t="str">
        <f>_xlfn.XLOOKUP(E1324,Calendar!C:C,Calendar!B:B)</f>
        <v>Working Day</v>
      </c>
    </row>
    <row r="1325" spans="1:9" x14ac:dyDescent="0.25">
      <c r="A1325" t="s">
        <v>1324</v>
      </c>
      <c r="B1325" t="s">
        <v>1387</v>
      </c>
      <c r="C1325" t="s">
        <v>1406</v>
      </c>
      <c r="D1325" s="2">
        <v>46213.570567129631</v>
      </c>
      <c r="E1325" s="2">
        <f t="shared" si="31"/>
        <v>46213</v>
      </c>
      <c r="F1325" t="s">
        <v>1738</v>
      </c>
      <c r="G1325">
        <f>_xlfn.XLOOKUP(A1325,FTD!A:A,FTD!C:C)</f>
        <v>5000</v>
      </c>
      <c r="H1325" cm="1">
        <f t="array" ref="H1325">_xlfn.LET(
  _xlpm.s, TRIM(F1325),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5" t="str">
        <f>_xlfn.XLOOKUP(E1325,Calendar!C:C,Calendar!B:B)</f>
        <v>Working Day</v>
      </c>
    </row>
    <row r="1326" spans="1:9" x14ac:dyDescent="0.25">
      <c r="A1326" t="s">
        <v>1325</v>
      </c>
      <c r="B1326" t="s">
        <v>1387</v>
      </c>
      <c r="C1326" t="s">
        <v>1390</v>
      </c>
      <c r="D1326" s="2">
        <v>46211.849398148144</v>
      </c>
      <c r="E1326" s="2">
        <f t="shared" si="31"/>
        <v>46211</v>
      </c>
      <c r="F1326" t="s">
        <v>1739</v>
      </c>
      <c r="G1326">
        <f>_xlfn.XLOOKUP(A1326,FTD!A:A,FTD!C:C)</f>
        <v>1000</v>
      </c>
      <c r="H1326" cm="1">
        <f t="array" ref="H1326">_xlfn.LET(
  _xlpm.s, TRIM(F1326),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26" t="str">
        <f>_xlfn.XLOOKUP(E1326,Calendar!C:C,Calendar!B:B)</f>
        <v>Working Day</v>
      </c>
    </row>
    <row r="1327" spans="1:9" x14ac:dyDescent="0.25">
      <c r="A1327" t="s">
        <v>1326</v>
      </c>
      <c r="B1327" t="s">
        <v>1387</v>
      </c>
      <c r="C1327" t="s">
        <v>1402</v>
      </c>
      <c r="D1327" s="2">
        <v>46220.795011574075</v>
      </c>
      <c r="E1327" s="2">
        <f t="shared" si="31"/>
        <v>46220</v>
      </c>
      <c r="F1327" t="s">
        <v>1738</v>
      </c>
      <c r="G1327">
        <f>_xlfn.XLOOKUP(A1327,FTD!A:A,FTD!C:C)</f>
        <v>28350</v>
      </c>
      <c r="H1327" cm="1">
        <f t="array" ref="H1327">_xlfn.LET(
  _xlpm.s, TRIM(F1327),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7" t="str">
        <f>_xlfn.XLOOKUP(E1327,Calendar!C:C,Calendar!B:B)</f>
        <v>Working Day</v>
      </c>
    </row>
    <row r="1328" spans="1:9" x14ac:dyDescent="0.25">
      <c r="A1328" t="s">
        <v>1327</v>
      </c>
      <c r="B1328" t="s">
        <v>1387</v>
      </c>
      <c r="C1328" t="s">
        <v>1407</v>
      </c>
      <c r="D1328" s="2">
        <v>46234.469375000001</v>
      </c>
      <c r="E1328" s="2">
        <f t="shared" si="31"/>
        <v>46234</v>
      </c>
      <c r="F1328" t="s">
        <v>1739</v>
      </c>
      <c r="G1328">
        <f>_xlfn.XLOOKUP(A1328,FTD!A:A,FTD!C:C)</f>
        <v>2000</v>
      </c>
      <c r="H1328" cm="1">
        <f t="array" ref="H1328">_xlfn.LET(
  _xlpm.s, TRIM(F1328),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28" t="str">
        <f>_xlfn.XLOOKUP(E1328,Calendar!C:C,Calendar!B:B)</f>
        <v>Working Day</v>
      </c>
    </row>
    <row r="1329" spans="1:9" x14ac:dyDescent="0.25">
      <c r="A1329" t="s">
        <v>1328</v>
      </c>
      <c r="B1329" t="s">
        <v>1387</v>
      </c>
      <c r="C1329" t="s">
        <v>1400</v>
      </c>
      <c r="D1329" s="2">
        <v>46209.749791666662</v>
      </c>
      <c r="E1329" s="2">
        <f t="shared" si="31"/>
        <v>46209</v>
      </c>
      <c r="F1329" t="s">
        <v>1743</v>
      </c>
      <c r="G1329">
        <f>_xlfn.XLOOKUP(A1329,FTD!A:A,FTD!C:C)</f>
        <v>2000</v>
      </c>
      <c r="H1329" cm="1">
        <f t="array" ref="H1329">_xlfn.LET(
  _xlpm.s, TRIM(F1329),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29" t="str">
        <f>_xlfn.XLOOKUP(E1329,Calendar!C:C,Calendar!B:B)</f>
        <v>Working Day</v>
      </c>
    </row>
    <row r="1330" spans="1:9" x14ac:dyDescent="0.25">
      <c r="A1330" t="s">
        <v>1329</v>
      </c>
      <c r="B1330" t="s">
        <v>1387</v>
      </c>
      <c r="C1330" t="s">
        <v>1411</v>
      </c>
      <c r="D1330" s="2">
        <v>46223.394861111112</v>
      </c>
      <c r="E1330" s="2">
        <f t="shared" si="31"/>
        <v>46223</v>
      </c>
      <c r="F1330" t="s">
        <v>1743</v>
      </c>
      <c r="G1330">
        <f>_xlfn.XLOOKUP(A1330,FTD!A:A,FTD!C:C)</f>
        <v>1000</v>
      </c>
      <c r="H1330" cm="1">
        <f t="array" ref="H1330">_xlfn.LET(
  _xlpm.s, TRIM(F1330),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0" t="str">
        <f>_xlfn.XLOOKUP(E1330,Calendar!C:C,Calendar!B:B)</f>
        <v>Working Day</v>
      </c>
    </row>
    <row r="1331" spans="1:9" x14ac:dyDescent="0.25">
      <c r="A1331" t="s">
        <v>1330</v>
      </c>
      <c r="B1331" t="s">
        <v>1387</v>
      </c>
      <c r="C1331" t="s">
        <v>1391</v>
      </c>
      <c r="D1331" s="2">
        <v>46223.582754629628</v>
      </c>
      <c r="E1331" s="2">
        <f t="shared" si="31"/>
        <v>46223</v>
      </c>
      <c r="F1331" t="s">
        <v>1741</v>
      </c>
      <c r="G1331">
        <f>_xlfn.XLOOKUP(A1331,FTD!A:A,FTD!C:C)</f>
        <v>2000</v>
      </c>
      <c r="H1331" cm="1">
        <f t="array" ref="H1331">_xlfn.LET(
  _xlpm.s, TRIM(F1331),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1" t="str">
        <f>_xlfn.XLOOKUP(E1331,Calendar!C:C,Calendar!B:B)</f>
        <v>Working Day</v>
      </c>
    </row>
    <row r="1332" spans="1:9" x14ac:dyDescent="0.25">
      <c r="A1332" t="s">
        <v>1331</v>
      </c>
      <c r="B1332" t="s">
        <v>1387</v>
      </c>
      <c r="C1332" t="s">
        <v>1417</v>
      </c>
      <c r="D1332" s="2">
        <v>46223.789837962962</v>
      </c>
      <c r="E1332" s="2">
        <f t="shared" si="31"/>
        <v>46223</v>
      </c>
      <c r="F1332" t="s">
        <v>1745</v>
      </c>
      <c r="G1332">
        <f>_xlfn.XLOOKUP(A1332,FTD!A:A,FTD!C:C)</f>
        <v>1000</v>
      </c>
      <c r="H1332" cm="1">
        <f t="array" ref="H1332">_xlfn.LET(
  _xlpm.s, TRIM(F1332),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332" t="str">
        <f>_xlfn.XLOOKUP(E1332,Calendar!C:C,Calendar!B:B)</f>
        <v>Working Day</v>
      </c>
    </row>
    <row r="1333" spans="1:9" x14ac:dyDescent="0.25">
      <c r="A1333" t="s">
        <v>1332</v>
      </c>
      <c r="B1333" t="s">
        <v>1387</v>
      </c>
      <c r="C1333" t="s">
        <v>1398</v>
      </c>
      <c r="D1333" s="2">
        <v>46230.605266203704</v>
      </c>
      <c r="E1333" s="2">
        <f t="shared" si="31"/>
        <v>46230</v>
      </c>
      <c r="F1333" t="s">
        <v>1738</v>
      </c>
      <c r="G1333">
        <f>_xlfn.XLOOKUP(A1333,FTD!A:A,FTD!C:C)</f>
        <v>10000</v>
      </c>
      <c r="H1333" cm="1">
        <f t="array" ref="H1333">_xlfn.LET(
  _xlpm.s, TRIM(F1333),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3" t="str">
        <f>_xlfn.XLOOKUP(E1333,Calendar!C:C,Calendar!B:B)</f>
        <v>Working Day</v>
      </c>
    </row>
    <row r="1334" spans="1:9" x14ac:dyDescent="0.25">
      <c r="A1334" t="s">
        <v>1333</v>
      </c>
      <c r="B1334" t="s">
        <v>1387</v>
      </c>
      <c r="C1334" t="s">
        <v>1412</v>
      </c>
      <c r="D1334" s="2">
        <v>46233.759282407409</v>
      </c>
      <c r="E1334" s="2">
        <f t="shared" si="31"/>
        <v>46233</v>
      </c>
      <c r="F1334" t="s">
        <v>1738</v>
      </c>
      <c r="G1334">
        <f>_xlfn.XLOOKUP(A1334,FTD!A:A,FTD!C:C)</f>
        <v>1000</v>
      </c>
      <c r="H1334" cm="1">
        <f t="array" ref="H1334">_xlfn.LET(
  _xlpm.s, TRIM(F1334),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4" t="str">
        <f>_xlfn.XLOOKUP(E1334,Calendar!C:C,Calendar!B:B)</f>
        <v>Working Day</v>
      </c>
    </row>
    <row r="1335" spans="1:9" x14ac:dyDescent="0.25">
      <c r="A1335" t="s">
        <v>1334</v>
      </c>
      <c r="B1335" t="s">
        <v>1384</v>
      </c>
      <c r="C1335" t="s">
        <v>1397</v>
      </c>
      <c r="D1335" s="2">
        <v>46204.642951388887</v>
      </c>
      <c r="E1335" s="2">
        <f t="shared" si="31"/>
        <v>46204</v>
      </c>
      <c r="F1335" t="s">
        <v>1739</v>
      </c>
      <c r="G1335">
        <f>_xlfn.XLOOKUP(A1335,FTD!A:A,FTD!C:C)</f>
        <v>5000</v>
      </c>
      <c r="H1335" cm="1">
        <f t="array" ref="H1335">_xlfn.LET(
  _xlpm.s, TRIM(F1335),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35" t="str">
        <f>_xlfn.XLOOKUP(E1335,Calendar!C:C,Calendar!B:B)</f>
        <v>Working Day</v>
      </c>
    </row>
    <row r="1336" spans="1:9" x14ac:dyDescent="0.25">
      <c r="A1336" t="s">
        <v>1335</v>
      </c>
      <c r="B1336" t="s">
        <v>1384</v>
      </c>
      <c r="C1336" t="s">
        <v>1438</v>
      </c>
      <c r="D1336" s="2">
        <v>46227.545624999999</v>
      </c>
      <c r="E1336" s="2">
        <f t="shared" si="31"/>
        <v>46227</v>
      </c>
      <c r="F1336" t="s">
        <v>1738</v>
      </c>
      <c r="G1336">
        <f>_xlfn.XLOOKUP(A1336,FTD!A:A,FTD!C:C)</f>
        <v>3300</v>
      </c>
      <c r="H1336" cm="1">
        <f t="array" ref="H1336">_xlfn.LET(
  _xlpm.s, TRIM(F1336),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6" t="str">
        <f>_xlfn.XLOOKUP(E1336,Calendar!C:C,Calendar!B:B)</f>
        <v>Working Day</v>
      </c>
    </row>
    <row r="1337" spans="1:9" x14ac:dyDescent="0.25">
      <c r="A1337" t="s">
        <v>1336</v>
      </c>
      <c r="B1337" t="s">
        <v>1384</v>
      </c>
      <c r="C1337" t="s">
        <v>1427</v>
      </c>
      <c r="D1337" s="2">
        <v>46216.516493055555</v>
      </c>
      <c r="E1337" s="2">
        <f t="shared" si="31"/>
        <v>46216</v>
      </c>
      <c r="F1337" t="s">
        <v>1738</v>
      </c>
      <c r="G1337">
        <f>_xlfn.XLOOKUP(A1337,FTD!A:A,FTD!C:C)</f>
        <v>1200</v>
      </c>
      <c r="H1337" cm="1">
        <f t="array" ref="H1337">_xlfn.LET(
  _xlpm.s, TRIM(F1337),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7" t="str">
        <f>_xlfn.XLOOKUP(E1337,Calendar!C:C,Calendar!B:B)</f>
        <v>Working Day</v>
      </c>
    </row>
    <row r="1338" spans="1:9" x14ac:dyDescent="0.25">
      <c r="A1338" t="s">
        <v>1337</v>
      </c>
      <c r="B1338" t="s">
        <v>1385</v>
      </c>
      <c r="C1338" t="s">
        <v>1391</v>
      </c>
      <c r="D1338" s="2">
        <v>46219.447407407402</v>
      </c>
      <c r="E1338" s="2">
        <f t="shared" si="31"/>
        <v>46219</v>
      </c>
      <c r="F1338" t="s">
        <v>1744</v>
      </c>
      <c r="G1338">
        <f>_xlfn.XLOOKUP(A1338,FTD!A:A,FTD!C:C)</f>
        <v>1001</v>
      </c>
      <c r="H1338" cm="1">
        <f t="array" ref="H1338">_xlfn.LET(
  _xlpm.s, TRIM(F1338),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38" t="str">
        <f>_xlfn.XLOOKUP(E1338,Calendar!C:C,Calendar!B:B)</f>
        <v>Working Day</v>
      </c>
    </row>
    <row r="1339" spans="1:9" x14ac:dyDescent="0.25">
      <c r="A1339" t="s">
        <v>1338</v>
      </c>
      <c r="B1339" t="s">
        <v>1384</v>
      </c>
      <c r="C1339" t="s">
        <v>1395</v>
      </c>
      <c r="D1339" s="2">
        <v>46205.523113425923</v>
      </c>
      <c r="E1339" s="2">
        <f t="shared" si="31"/>
        <v>46205</v>
      </c>
      <c r="F1339" t="s">
        <v>1740</v>
      </c>
      <c r="G1339">
        <f>_xlfn.XLOOKUP(A1339,FTD!A:A,FTD!C:C)</f>
        <v>1000</v>
      </c>
      <c r="H1339" cm="1">
        <f t="array" ref="H1339">_xlfn.LET(
  _xlpm.s, TRIM(F1339),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39" t="str">
        <f>_xlfn.XLOOKUP(E1339,Calendar!C:C,Calendar!B:B)</f>
        <v>Working Day</v>
      </c>
    </row>
    <row r="1340" spans="1:9" x14ac:dyDescent="0.25">
      <c r="A1340" t="s">
        <v>1339</v>
      </c>
      <c r="B1340" t="s">
        <v>1384</v>
      </c>
      <c r="C1340" t="s">
        <v>1406</v>
      </c>
      <c r="D1340" s="2">
        <v>46224.994513888887</v>
      </c>
      <c r="E1340" s="2">
        <f t="shared" si="31"/>
        <v>46224</v>
      </c>
      <c r="F1340" t="s">
        <v>1741</v>
      </c>
      <c r="G1340">
        <f>_xlfn.XLOOKUP(A1340,FTD!A:A,FTD!C:C)</f>
        <v>5000</v>
      </c>
      <c r="H1340" cm="1">
        <f t="array" ref="H1340">_xlfn.LET(
  _xlpm.s, TRIM(F1340),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0" t="str">
        <f>_xlfn.XLOOKUP(E1340,Calendar!C:C,Calendar!B:B)</f>
        <v>Working Day</v>
      </c>
    </row>
    <row r="1341" spans="1:9" x14ac:dyDescent="0.25">
      <c r="A1341" t="s">
        <v>1340</v>
      </c>
      <c r="B1341" t="s">
        <v>1384</v>
      </c>
      <c r="C1341" t="s">
        <v>1421</v>
      </c>
      <c r="D1341" s="2">
        <v>46217.654942129629</v>
      </c>
      <c r="E1341" s="2">
        <f t="shared" si="31"/>
        <v>46217</v>
      </c>
      <c r="F1341" t="s">
        <v>1740</v>
      </c>
      <c r="G1341">
        <f>_xlfn.XLOOKUP(A1341,FTD!A:A,FTD!C:C)</f>
        <v>1000</v>
      </c>
      <c r="H1341" cm="1">
        <f t="array" ref="H1341">_xlfn.LET(
  _xlpm.s, TRIM(F1341),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41" t="str">
        <f>_xlfn.XLOOKUP(E1341,Calendar!C:C,Calendar!B:B)</f>
        <v>Working Day</v>
      </c>
    </row>
    <row r="1342" spans="1:9" x14ac:dyDescent="0.25">
      <c r="A1342" t="s">
        <v>1341</v>
      </c>
      <c r="B1342" t="s">
        <v>1384</v>
      </c>
      <c r="C1342" t="s">
        <v>1400</v>
      </c>
      <c r="D1342" s="2">
        <v>46218.551921296297</v>
      </c>
      <c r="E1342" s="2">
        <f t="shared" si="31"/>
        <v>46218</v>
      </c>
      <c r="F1342" t="s">
        <v>1740</v>
      </c>
      <c r="G1342">
        <f>_xlfn.XLOOKUP(A1342,FTD!A:A,FTD!C:C)</f>
        <v>1000</v>
      </c>
      <c r="H1342" cm="1">
        <f t="array" ref="H1342">_xlfn.LET(
  _xlpm.s, TRIM(F1342),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42" t="str">
        <f>_xlfn.XLOOKUP(E1342,Calendar!C:C,Calendar!B:B)</f>
        <v>Working Day</v>
      </c>
    </row>
    <row r="1343" spans="1:9" x14ac:dyDescent="0.25">
      <c r="A1343" t="s">
        <v>1342</v>
      </c>
      <c r="B1343" t="s">
        <v>1387</v>
      </c>
      <c r="C1343" t="s">
        <v>1433</v>
      </c>
      <c r="D1343" s="2">
        <v>46219.408217592594</v>
      </c>
      <c r="E1343" s="2">
        <f t="shared" si="31"/>
        <v>46219</v>
      </c>
      <c r="F1343" t="s">
        <v>1738</v>
      </c>
      <c r="G1343">
        <f>_xlfn.XLOOKUP(A1343,FTD!A:A,FTD!C:C)</f>
        <v>20000</v>
      </c>
      <c r="H1343" cm="1">
        <f t="array" ref="H1343">_xlfn.LET(
  _xlpm.s, TRIM(F1343),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3" t="str">
        <f>_xlfn.XLOOKUP(E1343,Calendar!C:C,Calendar!B:B)</f>
        <v>Working Day</v>
      </c>
    </row>
    <row r="1344" spans="1:9" x14ac:dyDescent="0.25">
      <c r="A1344" t="s">
        <v>1343</v>
      </c>
      <c r="B1344" t="s">
        <v>1387</v>
      </c>
      <c r="C1344" t="s">
        <v>1412</v>
      </c>
      <c r="D1344" s="2">
        <v>46223.34270833333</v>
      </c>
      <c r="E1344" s="2">
        <f t="shared" si="31"/>
        <v>46223</v>
      </c>
      <c r="F1344" t="s">
        <v>1738</v>
      </c>
      <c r="G1344">
        <f>_xlfn.XLOOKUP(A1344,FTD!A:A,FTD!C:C)</f>
        <v>2000</v>
      </c>
      <c r="H1344" cm="1">
        <f t="array" ref="H1344">_xlfn.LET(
  _xlpm.s, TRIM(F1344),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4" t="str">
        <f>_xlfn.XLOOKUP(E1344,Calendar!C:C,Calendar!B:B)</f>
        <v>Working Day</v>
      </c>
    </row>
    <row r="1345" spans="1:9" x14ac:dyDescent="0.25">
      <c r="A1345" t="s">
        <v>1344</v>
      </c>
      <c r="B1345" t="s">
        <v>1387</v>
      </c>
      <c r="C1345" t="s">
        <v>1401</v>
      </c>
      <c r="D1345" s="2">
        <v>46231.389039351852</v>
      </c>
      <c r="E1345" s="2">
        <f t="shared" si="31"/>
        <v>46231</v>
      </c>
      <c r="F1345" t="s">
        <v>1738</v>
      </c>
      <c r="G1345">
        <f>_xlfn.XLOOKUP(A1345,FTD!A:A,FTD!C:C)</f>
        <v>8000</v>
      </c>
      <c r="H1345" cm="1">
        <f t="array" ref="H1345">_xlfn.LET(
  _xlpm.s, TRIM(F1345),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5" t="str">
        <f>_xlfn.XLOOKUP(E1345,Calendar!C:C,Calendar!B:B)</f>
        <v>Working Day</v>
      </c>
    </row>
    <row r="1346" spans="1:9" x14ac:dyDescent="0.25">
      <c r="A1346" t="s">
        <v>1345</v>
      </c>
      <c r="B1346" t="s">
        <v>1387</v>
      </c>
      <c r="C1346" t="s">
        <v>1408</v>
      </c>
      <c r="D1346" s="2">
        <v>46204.791898148149</v>
      </c>
      <c r="E1346" s="2">
        <f t="shared" si="31"/>
        <v>46204</v>
      </c>
      <c r="F1346" t="s">
        <v>1738</v>
      </c>
      <c r="G1346">
        <f>_xlfn.XLOOKUP(A1346,FTD!A:A,FTD!C:C)</f>
        <v>2000</v>
      </c>
      <c r="H1346" cm="1">
        <f t="array" ref="H1346">_xlfn.LET(
  _xlpm.s, TRIM(F1346),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6" t="str">
        <f>_xlfn.XLOOKUP(E1346,Calendar!C:C,Calendar!B:B)</f>
        <v>Working Day</v>
      </c>
    </row>
    <row r="1347" spans="1:9" x14ac:dyDescent="0.25">
      <c r="A1347" t="s">
        <v>1346</v>
      </c>
      <c r="B1347" t="s">
        <v>1387</v>
      </c>
      <c r="C1347" t="s">
        <v>1408</v>
      </c>
      <c r="D1347" s="2">
        <v>46204.154965277776</v>
      </c>
      <c r="E1347" s="2">
        <f t="shared" ref="E1347:E1383" si="32">INT(D1347)</f>
        <v>46204</v>
      </c>
      <c r="F1347" t="s">
        <v>1738</v>
      </c>
      <c r="G1347">
        <f>_xlfn.XLOOKUP(A1347,FTD!A:A,FTD!C:C)</f>
        <v>1000</v>
      </c>
      <c r="H1347" cm="1">
        <f t="array" ref="H1347">_xlfn.LET(
  _xlpm.s, TRIM(F1347),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7" t="str">
        <f>_xlfn.XLOOKUP(E1347,Calendar!C:C,Calendar!B:B)</f>
        <v>Working Day</v>
      </c>
    </row>
    <row r="1348" spans="1:9" x14ac:dyDescent="0.25">
      <c r="A1348" t="s">
        <v>1347</v>
      </c>
      <c r="B1348" t="s">
        <v>1387</v>
      </c>
      <c r="C1348" t="s">
        <v>1412</v>
      </c>
      <c r="D1348" s="2">
        <v>46217.735995370371</v>
      </c>
      <c r="E1348" s="2">
        <f t="shared" si="32"/>
        <v>46217</v>
      </c>
      <c r="F1348" t="s">
        <v>1738</v>
      </c>
      <c r="G1348">
        <f>_xlfn.XLOOKUP(A1348,FTD!A:A,FTD!C:C)</f>
        <v>1000</v>
      </c>
      <c r="H1348" cm="1">
        <f t="array" ref="H1348">_xlfn.LET(
  _xlpm.s, TRIM(F1348),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8" t="str">
        <f>_xlfn.XLOOKUP(E1348,Calendar!C:C,Calendar!B:B)</f>
        <v>Working Day</v>
      </c>
    </row>
    <row r="1349" spans="1:9" x14ac:dyDescent="0.25">
      <c r="A1349" t="s">
        <v>1348</v>
      </c>
      <c r="B1349" t="s">
        <v>1387</v>
      </c>
      <c r="C1349" t="s">
        <v>1412</v>
      </c>
      <c r="D1349" s="2">
        <v>46212.920428240737</v>
      </c>
      <c r="E1349" s="2">
        <f t="shared" si="32"/>
        <v>46212</v>
      </c>
      <c r="F1349" t="s">
        <v>1738</v>
      </c>
      <c r="G1349">
        <f>_xlfn.XLOOKUP(A1349,FTD!A:A,FTD!C:C)</f>
        <v>2000</v>
      </c>
      <c r="H1349" cm="1">
        <f t="array" ref="H1349">_xlfn.LET(
  _xlpm.s, TRIM(F1349),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49" t="str">
        <f>_xlfn.XLOOKUP(E1349,Calendar!C:C,Calendar!B:B)</f>
        <v>Working Day</v>
      </c>
    </row>
    <row r="1350" spans="1:9" x14ac:dyDescent="0.25">
      <c r="A1350" t="s">
        <v>1349</v>
      </c>
      <c r="B1350" t="s">
        <v>1387</v>
      </c>
      <c r="C1350" t="s">
        <v>1418</v>
      </c>
      <c r="D1350" s="2">
        <v>46215.582638888889</v>
      </c>
      <c r="E1350" s="2">
        <f t="shared" si="32"/>
        <v>46215</v>
      </c>
      <c r="F1350" t="s">
        <v>1746</v>
      </c>
      <c r="G1350">
        <f>_xlfn.XLOOKUP(A1350,FTD!A:A,FTD!C:C)</f>
        <v>1000</v>
      </c>
      <c r="H1350" cm="1">
        <f t="array" ref="H1350">_xlfn.LET(
  _xlpm.s, TRIM(F1350),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50" t="str">
        <f>_xlfn.XLOOKUP(E1350,Calendar!C:C,Calendar!B:B)</f>
        <v>Sunday</v>
      </c>
    </row>
    <row r="1351" spans="1:9" x14ac:dyDescent="0.25">
      <c r="A1351" t="s">
        <v>1350</v>
      </c>
      <c r="B1351" t="s">
        <v>1387</v>
      </c>
      <c r="C1351" t="s">
        <v>1417</v>
      </c>
      <c r="D1351" s="2">
        <v>46213.529849537037</v>
      </c>
      <c r="E1351" s="2">
        <f t="shared" si="32"/>
        <v>46213</v>
      </c>
      <c r="F1351" t="s">
        <v>1743</v>
      </c>
      <c r="G1351">
        <f>_xlfn.XLOOKUP(A1351,FTD!A:A,FTD!C:C)</f>
        <v>1001</v>
      </c>
      <c r="H1351" cm="1">
        <f t="array" ref="H1351">_xlfn.LET(
  _xlpm.s, TRIM(F1351),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1" t="str">
        <f>_xlfn.XLOOKUP(E1351,Calendar!C:C,Calendar!B:B)</f>
        <v>Working Day</v>
      </c>
    </row>
    <row r="1352" spans="1:9" x14ac:dyDescent="0.25">
      <c r="A1352" t="s">
        <v>1351</v>
      </c>
      <c r="B1352" t="s">
        <v>1387</v>
      </c>
      <c r="C1352" t="s">
        <v>1407</v>
      </c>
      <c r="D1352" s="2">
        <v>46214.803472222222</v>
      </c>
      <c r="E1352" s="2">
        <f t="shared" si="32"/>
        <v>46214</v>
      </c>
      <c r="F1352" t="s">
        <v>1738</v>
      </c>
      <c r="G1352">
        <f>_xlfn.XLOOKUP(A1352,FTD!A:A,FTD!C:C)</f>
        <v>1000</v>
      </c>
      <c r="H1352" cm="1">
        <f t="array" ref="H1352">_xlfn.LET(
  _xlpm.s, TRIM(F1352),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2" t="str">
        <f>_xlfn.XLOOKUP(E1352,Calendar!C:C,Calendar!B:B)</f>
        <v>Saturday</v>
      </c>
    </row>
    <row r="1353" spans="1:9" x14ac:dyDescent="0.25">
      <c r="A1353" t="s">
        <v>1352</v>
      </c>
      <c r="B1353" t="s">
        <v>1387</v>
      </c>
      <c r="C1353" t="s">
        <v>1400</v>
      </c>
      <c r="D1353" s="2">
        <v>46213.584641203699</v>
      </c>
      <c r="E1353" s="2">
        <f t="shared" si="32"/>
        <v>46213</v>
      </c>
      <c r="F1353" t="s">
        <v>1739</v>
      </c>
      <c r="G1353">
        <f>_xlfn.XLOOKUP(A1353,FTD!A:A,FTD!C:C)</f>
        <v>1000</v>
      </c>
      <c r="H1353" cm="1">
        <f t="array" ref="H1353">_xlfn.LET(
  _xlpm.s, TRIM(F1353),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53" t="str">
        <f>_xlfn.XLOOKUP(E1353,Calendar!C:C,Calendar!B:B)</f>
        <v>Working Day</v>
      </c>
    </row>
    <row r="1354" spans="1:9" x14ac:dyDescent="0.25">
      <c r="A1354" t="s">
        <v>1353</v>
      </c>
      <c r="B1354" t="s">
        <v>1387</v>
      </c>
      <c r="C1354" t="s">
        <v>1406</v>
      </c>
      <c r="D1354" s="2">
        <v>46207.859965277778</v>
      </c>
      <c r="E1354" s="2">
        <f t="shared" si="32"/>
        <v>46207</v>
      </c>
      <c r="F1354" t="s">
        <v>1738</v>
      </c>
      <c r="G1354">
        <f>_xlfn.XLOOKUP(A1354,FTD!A:A,FTD!C:C)</f>
        <v>1000</v>
      </c>
      <c r="H1354" cm="1">
        <f t="array" ref="H1354">_xlfn.LET(
  _xlpm.s, TRIM(F1354),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4" t="str">
        <f>_xlfn.XLOOKUP(E1354,Calendar!C:C,Calendar!B:B)</f>
        <v>Saturday</v>
      </c>
    </row>
    <row r="1355" spans="1:9" x14ac:dyDescent="0.25">
      <c r="A1355" t="s">
        <v>1354</v>
      </c>
      <c r="B1355" t="s">
        <v>1387</v>
      </c>
      <c r="C1355" t="s">
        <v>1407</v>
      </c>
      <c r="D1355" s="2">
        <v>46227.735868055555</v>
      </c>
      <c r="E1355" s="2">
        <f t="shared" si="32"/>
        <v>46227</v>
      </c>
      <c r="F1355" t="s">
        <v>1743</v>
      </c>
      <c r="G1355">
        <f>_xlfn.XLOOKUP(A1355,FTD!A:A,FTD!C:C)</f>
        <v>1000</v>
      </c>
      <c r="H1355" cm="1">
        <f t="array" ref="H1355">_xlfn.LET(
  _xlpm.s, TRIM(F1355),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5" t="str">
        <f>_xlfn.XLOOKUP(E1355,Calendar!C:C,Calendar!B:B)</f>
        <v>Working Day</v>
      </c>
    </row>
    <row r="1356" spans="1:9" x14ac:dyDescent="0.25">
      <c r="A1356" t="s">
        <v>1355</v>
      </c>
      <c r="B1356" t="s">
        <v>1387</v>
      </c>
      <c r="C1356" t="s">
        <v>1389</v>
      </c>
      <c r="D1356" s="2">
        <v>46219.478206018517</v>
      </c>
      <c r="E1356" s="2">
        <f t="shared" si="32"/>
        <v>46219</v>
      </c>
      <c r="F1356" t="s">
        <v>1743</v>
      </c>
      <c r="G1356">
        <f>_xlfn.XLOOKUP(A1356,FTD!A:A,FTD!C:C)</f>
        <v>1001</v>
      </c>
      <c r="H1356" cm="1">
        <f t="array" ref="H1356">_xlfn.LET(
  _xlpm.s, TRIM(F1356),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6" t="str">
        <f>_xlfn.XLOOKUP(E1356,Calendar!C:C,Calendar!B:B)</f>
        <v>Working Day</v>
      </c>
    </row>
    <row r="1357" spans="1:9" x14ac:dyDescent="0.25">
      <c r="A1357" t="s">
        <v>1356</v>
      </c>
      <c r="B1357" t="s">
        <v>1387</v>
      </c>
      <c r="C1357" t="s">
        <v>1414</v>
      </c>
      <c r="D1357" s="2">
        <v>46224.816828703704</v>
      </c>
      <c r="E1357" s="2">
        <f t="shared" si="32"/>
        <v>46224</v>
      </c>
      <c r="F1357" t="s">
        <v>1741</v>
      </c>
      <c r="G1357">
        <f>_xlfn.XLOOKUP(A1357,FTD!A:A,FTD!C:C)</f>
        <v>1000</v>
      </c>
      <c r="H1357" cm="1">
        <f t="array" ref="H1357">_xlfn.LET(
  _xlpm.s, TRIM(F1357),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7" t="str">
        <f>_xlfn.XLOOKUP(E1357,Calendar!C:C,Calendar!B:B)</f>
        <v>Working Day</v>
      </c>
    </row>
    <row r="1358" spans="1:9" x14ac:dyDescent="0.25">
      <c r="A1358" t="s">
        <v>1357</v>
      </c>
      <c r="B1358" t="s">
        <v>1387</v>
      </c>
      <c r="C1358" t="s">
        <v>1399</v>
      </c>
      <c r="D1358" s="2">
        <v>46217.638252314813</v>
      </c>
      <c r="E1358" s="2">
        <f t="shared" si="32"/>
        <v>46217</v>
      </c>
      <c r="F1358" t="s">
        <v>1738</v>
      </c>
      <c r="G1358">
        <f>_xlfn.XLOOKUP(A1358,FTD!A:A,FTD!C:C)</f>
        <v>13000</v>
      </c>
      <c r="H1358" cm="1">
        <f t="array" ref="H1358">_xlfn.LET(
  _xlpm.s, TRIM(F1358),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8" t="str">
        <f>_xlfn.XLOOKUP(E1358,Calendar!C:C,Calendar!B:B)</f>
        <v>Working Day</v>
      </c>
    </row>
    <row r="1359" spans="1:9" x14ac:dyDescent="0.25">
      <c r="A1359" t="s">
        <v>1358</v>
      </c>
      <c r="B1359" t="s">
        <v>1387</v>
      </c>
      <c r="C1359" t="s">
        <v>1402</v>
      </c>
      <c r="D1359" s="2">
        <v>46226.521157407406</v>
      </c>
      <c r="E1359" s="2">
        <f t="shared" si="32"/>
        <v>46226</v>
      </c>
      <c r="F1359" t="s">
        <v>1738</v>
      </c>
      <c r="G1359">
        <f>_xlfn.XLOOKUP(A1359,FTD!A:A,FTD!C:C)</f>
        <v>1000</v>
      </c>
      <c r="H1359" cm="1">
        <f t="array" ref="H1359">_xlfn.LET(
  _xlpm.s, TRIM(F1359),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59" t="str">
        <f>_xlfn.XLOOKUP(E1359,Calendar!C:C,Calendar!B:B)</f>
        <v>Working Day</v>
      </c>
    </row>
    <row r="1360" spans="1:9" x14ac:dyDescent="0.25">
      <c r="A1360" t="s">
        <v>1359</v>
      </c>
      <c r="B1360" t="s">
        <v>1387</v>
      </c>
      <c r="C1360" t="s">
        <v>1408</v>
      </c>
      <c r="D1360" s="2">
        <v>46218.502199074072</v>
      </c>
      <c r="E1360" s="2">
        <f t="shared" si="32"/>
        <v>46218</v>
      </c>
      <c r="F1360" t="s">
        <v>1738</v>
      </c>
      <c r="G1360">
        <f>_xlfn.XLOOKUP(A1360,FTD!A:A,FTD!C:C)</f>
        <v>1000</v>
      </c>
      <c r="H1360" cm="1">
        <f t="array" ref="H1360">_xlfn.LET(
  _xlpm.s, TRIM(F1360),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60" t="str">
        <f>_xlfn.XLOOKUP(E1360,Calendar!C:C,Calendar!B:B)</f>
        <v>Working Day</v>
      </c>
    </row>
    <row r="1361" spans="1:9" x14ac:dyDescent="0.25">
      <c r="A1361" t="s">
        <v>1360</v>
      </c>
      <c r="B1361" t="s">
        <v>1387</v>
      </c>
      <c r="C1361" t="s">
        <v>1408</v>
      </c>
      <c r="D1361" s="2">
        <v>46208.723761574074</v>
      </c>
      <c r="E1361" s="2">
        <f t="shared" si="32"/>
        <v>46208</v>
      </c>
      <c r="F1361" t="s">
        <v>1739</v>
      </c>
      <c r="G1361">
        <f>_xlfn.XLOOKUP(A1361,FTD!A:A,FTD!C:C)</f>
        <v>2000</v>
      </c>
      <c r="H1361" cm="1">
        <f t="array" ref="H1361">_xlfn.LET(
  _xlpm.s, TRIM(F1361),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61" t="str">
        <f>_xlfn.XLOOKUP(E1361,Calendar!C:C,Calendar!B:B)</f>
        <v>Sunday</v>
      </c>
    </row>
    <row r="1362" spans="1:9" x14ac:dyDescent="0.25">
      <c r="A1362" t="s">
        <v>1361</v>
      </c>
      <c r="B1362" t="s">
        <v>1384</v>
      </c>
      <c r="C1362" t="s">
        <v>1401</v>
      </c>
      <c r="D1362" s="2">
        <v>46206.565532407403</v>
      </c>
      <c r="E1362" s="2">
        <f t="shared" si="32"/>
        <v>46206</v>
      </c>
      <c r="F1362" t="s">
        <v>1740</v>
      </c>
      <c r="G1362">
        <f>_xlfn.XLOOKUP(A1362,FTD!A:A,FTD!C:C)</f>
        <v>1000</v>
      </c>
      <c r="H1362" cm="1">
        <f t="array" ref="H1362">_xlfn.LET(
  _xlpm.s, TRIM(F1362),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62" t="str">
        <f>_xlfn.XLOOKUP(E1362,Calendar!C:C,Calendar!B:B)</f>
        <v>Working Day</v>
      </c>
    </row>
    <row r="1363" spans="1:9" x14ac:dyDescent="0.25">
      <c r="A1363" t="s">
        <v>1362</v>
      </c>
      <c r="B1363" t="s">
        <v>1384</v>
      </c>
      <c r="C1363" t="s">
        <v>1396</v>
      </c>
      <c r="D1363" s="2">
        <v>46208.619074074071</v>
      </c>
      <c r="E1363" s="2">
        <f t="shared" si="32"/>
        <v>46208</v>
      </c>
      <c r="F1363" t="s">
        <v>1740</v>
      </c>
      <c r="G1363">
        <f>_xlfn.XLOOKUP(A1363,FTD!A:A,FTD!C:C)</f>
        <v>3000</v>
      </c>
      <c r="H1363" cm="1">
        <f t="array" ref="H1363">_xlfn.LET(
  _xlpm.s, TRIM(F1363),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63" t="str">
        <f>_xlfn.XLOOKUP(E1363,Calendar!C:C,Calendar!B:B)</f>
        <v>Sunday</v>
      </c>
    </row>
    <row r="1364" spans="1:9" x14ac:dyDescent="0.25">
      <c r="A1364" t="s">
        <v>1363</v>
      </c>
      <c r="B1364" t="s">
        <v>1384</v>
      </c>
      <c r="C1364" t="s">
        <v>1405</v>
      </c>
      <c r="D1364" s="2">
        <v>46217.545810185184</v>
      </c>
      <c r="E1364" s="2">
        <f t="shared" si="32"/>
        <v>46217</v>
      </c>
      <c r="F1364" t="s">
        <v>1740</v>
      </c>
      <c r="G1364">
        <f>_xlfn.XLOOKUP(A1364,FTD!A:A,FTD!C:C)</f>
        <v>60</v>
      </c>
      <c r="H1364" cm="1">
        <f t="array" ref="H1364">_xlfn.LET(
  _xlpm.s, TRIM(F1364),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64" t="str">
        <f>_xlfn.XLOOKUP(E1364,Calendar!C:C,Calendar!B:B)</f>
        <v>Working Day</v>
      </c>
    </row>
    <row r="1365" spans="1:9" x14ac:dyDescent="0.25">
      <c r="A1365" t="s">
        <v>1364</v>
      </c>
      <c r="B1365" t="s">
        <v>1386</v>
      </c>
      <c r="C1365" t="s">
        <v>1402</v>
      </c>
      <c r="D1365" s="2">
        <v>46210.448842592588</v>
      </c>
      <c r="E1365" s="2">
        <f t="shared" si="32"/>
        <v>46210</v>
      </c>
      <c r="F1365" t="s">
        <v>1750</v>
      </c>
      <c r="G1365">
        <f>_xlfn.XLOOKUP(A1365,FTD!A:A,FTD!C:C)</f>
        <v>500</v>
      </c>
      <c r="H1365" cm="1">
        <f t="array" ref="H1365">_xlfn.LET(
  _xlpm.s, TRIM(F1365),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65" t="str">
        <f>_xlfn.XLOOKUP(E1365,Calendar!C:C,Calendar!B:B)</f>
        <v>Working Day</v>
      </c>
    </row>
    <row r="1366" spans="1:9" x14ac:dyDescent="0.25">
      <c r="A1366" t="s">
        <v>1365</v>
      </c>
      <c r="B1366" t="s">
        <v>1387</v>
      </c>
      <c r="C1366" t="s">
        <v>1404</v>
      </c>
      <c r="D1366" s="2">
        <v>46208.714965277773</v>
      </c>
      <c r="E1366" s="2">
        <f t="shared" si="32"/>
        <v>46208</v>
      </c>
      <c r="F1366" t="s">
        <v>1706</v>
      </c>
      <c r="G1366">
        <f>_xlfn.XLOOKUP(A1366,FTD!A:A,FTD!C:C)</f>
        <v>1000</v>
      </c>
      <c r="H1366" cm="1">
        <f t="array" ref="H1366">_xlfn.LET(
  _xlpm.s, TRIM(F1366),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366" t="str">
        <f>_xlfn.XLOOKUP(E1366,Calendar!C:C,Calendar!B:B)</f>
        <v>Sunday</v>
      </c>
    </row>
    <row r="1367" spans="1:9" x14ac:dyDescent="0.25">
      <c r="A1367" t="s">
        <v>1366</v>
      </c>
      <c r="B1367" t="s">
        <v>1387</v>
      </c>
      <c r="C1367" t="s">
        <v>1396</v>
      </c>
      <c r="D1367" s="2">
        <v>46213.671180555553</v>
      </c>
      <c r="E1367" s="2">
        <f t="shared" si="32"/>
        <v>46213</v>
      </c>
      <c r="F1367" t="s">
        <v>1738</v>
      </c>
      <c r="G1367">
        <f>_xlfn.XLOOKUP(A1367,FTD!A:A,FTD!C:C)</f>
        <v>1500</v>
      </c>
      <c r="H1367" cm="1">
        <f t="array" ref="H1367">_xlfn.LET(
  _xlpm.s, TRIM(F1367),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67" t="str">
        <f>_xlfn.XLOOKUP(E1367,Calendar!C:C,Calendar!B:B)</f>
        <v>Working Day</v>
      </c>
    </row>
    <row r="1368" spans="1:9" x14ac:dyDescent="0.25">
      <c r="A1368" t="s">
        <v>1367</v>
      </c>
      <c r="B1368" t="s">
        <v>1387</v>
      </c>
      <c r="C1368" t="s">
        <v>1415</v>
      </c>
      <c r="D1368" s="2">
        <v>46206.464131944442</v>
      </c>
      <c r="E1368" s="2">
        <f t="shared" si="32"/>
        <v>46206</v>
      </c>
      <c r="F1368" t="s">
        <v>1768</v>
      </c>
      <c r="G1368">
        <f>_xlfn.XLOOKUP(A1368,FTD!A:A,FTD!C:C)</f>
        <v>5000</v>
      </c>
      <c r="H1368" cm="1">
        <f t="array" ref="H1368">_xlfn.LET(
  _xlpm.s, TRIM(F1368),
  _xlpm.p, _xlfn.LAMBDA(_xlpm.x, LEFT(_xlpm.s, LEN(_xlpm.x)) = _xlpm.x),
  _xlfn.IFS(
    _xlpm.p("meta6"), 1,
    _xlpm.p("meta"), 3,
    _xlpm.p("ref"), 3,
    OR(_xlpm.p("telegram"), _xlpm.p("instagram"), _xlpm.p("stock meme"), _xlpm.p("gx")), 2,
    OR(_xlpm.p("application"), _xlpm.p("main website"), _xlpm.p("direct (hot)"), _xlpm.p("sunil"), _xlpm.p("prs"), _xlpm.p("invst (hot)")), 1,
    TRUE, 2
  )
)</f>
        <v>2</v>
      </c>
      <c r="I1368" t="str">
        <f>_xlfn.XLOOKUP(E1368,Calendar!C:C,Calendar!B:B)</f>
        <v>Working Day</v>
      </c>
    </row>
    <row r="1369" spans="1:9" x14ac:dyDescent="0.25">
      <c r="A1369" t="s">
        <v>1368</v>
      </c>
      <c r="B1369" t="s">
        <v>1387</v>
      </c>
      <c r="C1369" t="s">
        <v>1412</v>
      </c>
      <c r="D1369" s="2">
        <v>46232.792175925926</v>
      </c>
      <c r="E1369" s="2">
        <f t="shared" si="32"/>
        <v>46232</v>
      </c>
      <c r="F1369" t="s">
        <v>1738</v>
      </c>
      <c r="G1369">
        <f>_xlfn.XLOOKUP(A1369,FTD!A:A,FTD!C:C)</f>
        <v>2000</v>
      </c>
      <c r="H1369" cm="1">
        <f t="array" ref="H1369">_xlfn.LET(
  _xlpm.s, TRIM(F1369),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69" t="str">
        <f>_xlfn.XLOOKUP(E1369,Calendar!C:C,Calendar!B:B)</f>
        <v>Working Day</v>
      </c>
    </row>
    <row r="1370" spans="1:9" x14ac:dyDescent="0.25">
      <c r="A1370" t="s">
        <v>1369</v>
      </c>
      <c r="B1370" t="s">
        <v>1387</v>
      </c>
      <c r="C1370" t="s">
        <v>1389</v>
      </c>
      <c r="D1370" s="2">
        <v>46217.497835648144</v>
      </c>
      <c r="E1370" s="2">
        <f t="shared" si="32"/>
        <v>46217</v>
      </c>
      <c r="F1370" t="s">
        <v>1743</v>
      </c>
      <c r="G1370">
        <f>_xlfn.XLOOKUP(A1370,FTD!A:A,FTD!C:C)</f>
        <v>2000</v>
      </c>
      <c r="H1370" cm="1">
        <f t="array" ref="H1370">_xlfn.LET(
  _xlpm.s, TRIM(F1370),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0" t="str">
        <f>_xlfn.XLOOKUP(E1370,Calendar!C:C,Calendar!B:B)</f>
        <v>Working Day</v>
      </c>
    </row>
    <row r="1371" spans="1:9" x14ac:dyDescent="0.25">
      <c r="A1371" t="s">
        <v>1370</v>
      </c>
      <c r="B1371" t="s">
        <v>1387</v>
      </c>
      <c r="C1371" t="s">
        <v>1402</v>
      </c>
      <c r="D1371" s="2">
        <v>46211.600624999999</v>
      </c>
      <c r="E1371" s="2">
        <f t="shared" si="32"/>
        <v>46211</v>
      </c>
      <c r="F1371" t="s">
        <v>1738</v>
      </c>
      <c r="G1371">
        <f>_xlfn.XLOOKUP(A1371,FTD!A:A,FTD!C:C)</f>
        <v>3000</v>
      </c>
      <c r="H1371" cm="1">
        <f t="array" ref="H1371">_xlfn.LET(
  _xlpm.s, TRIM(F1371),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1" t="str">
        <f>_xlfn.XLOOKUP(E1371,Calendar!C:C,Calendar!B:B)</f>
        <v>Working Day</v>
      </c>
    </row>
    <row r="1372" spans="1:9" x14ac:dyDescent="0.25">
      <c r="A1372" t="s">
        <v>1371</v>
      </c>
      <c r="B1372" t="s">
        <v>1387</v>
      </c>
      <c r="C1372" t="s">
        <v>1406</v>
      </c>
      <c r="D1372" s="2">
        <v>46209.407037037032</v>
      </c>
      <c r="E1372" s="2">
        <f t="shared" si="32"/>
        <v>46209</v>
      </c>
      <c r="F1372" t="s">
        <v>1738</v>
      </c>
      <c r="G1372">
        <f>_xlfn.XLOOKUP(A1372,FTD!A:A,FTD!C:C)</f>
        <v>1000</v>
      </c>
      <c r="H1372" cm="1">
        <f t="array" ref="H1372">_xlfn.LET(
  _xlpm.s, TRIM(F1372),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2" t="str">
        <f>_xlfn.XLOOKUP(E1372,Calendar!C:C,Calendar!B:B)</f>
        <v>Working Day</v>
      </c>
    </row>
    <row r="1373" spans="1:9" x14ac:dyDescent="0.25">
      <c r="A1373" t="s">
        <v>1372</v>
      </c>
      <c r="B1373" t="s">
        <v>1387</v>
      </c>
      <c r="C1373" t="s">
        <v>1402</v>
      </c>
      <c r="D1373" s="2">
        <v>46234.489108796297</v>
      </c>
      <c r="E1373" s="2">
        <f t="shared" si="32"/>
        <v>46234</v>
      </c>
      <c r="F1373" t="s">
        <v>1739</v>
      </c>
      <c r="G1373">
        <f>_xlfn.XLOOKUP(A1373,FTD!A:A,FTD!C:C)</f>
        <v>1000</v>
      </c>
      <c r="H1373" cm="1">
        <f t="array" ref="H1373">_xlfn.LET(
  _xlpm.s, TRIM(F1373),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73" t="str">
        <f>_xlfn.XLOOKUP(E1373,Calendar!C:C,Calendar!B:B)</f>
        <v>Working Day</v>
      </c>
    </row>
    <row r="1374" spans="1:9" x14ac:dyDescent="0.25">
      <c r="A1374" t="s">
        <v>1373</v>
      </c>
      <c r="B1374" t="s">
        <v>1387</v>
      </c>
      <c r="C1374" t="s">
        <v>1396</v>
      </c>
      <c r="D1374" s="2">
        <v>46230.419560185182</v>
      </c>
      <c r="E1374" s="2">
        <f t="shared" si="32"/>
        <v>46230</v>
      </c>
      <c r="F1374" t="s">
        <v>1739</v>
      </c>
      <c r="G1374">
        <f>_xlfn.XLOOKUP(A1374,FTD!A:A,FTD!C:C)</f>
        <v>2000</v>
      </c>
      <c r="H1374" cm="1">
        <f t="array" ref="H1374">_xlfn.LET(
  _xlpm.s, TRIM(F1374),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74" t="str">
        <f>_xlfn.XLOOKUP(E1374,Calendar!C:C,Calendar!B:B)</f>
        <v>Working Day</v>
      </c>
    </row>
    <row r="1375" spans="1:9" x14ac:dyDescent="0.25">
      <c r="A1375" t="s">
        <v>1374</v>
      </c>
      <c r="B1375" t="s">
        <v>1387</v>
      </c>
      <c r="C1375" t="s">
        <v>1421</v>
      </c>
      <c r="D1375" s="2">
        <v>46207.752800925926</v>
      </c>
      <c r="E1375" s="2">
        <f t="shared" si="32"/>
        <v>46207</v>
      </c>
      <c r="F1375" t="s">
        <v>1739</v>
      </c>
      <c r="G1375">
        <f>_xlfn.XLOOKUP(A1375,FTD!A:A,FTD!C:C)</f>
        <v>1000</v>
      </c>
      <c r="H1375" cm="1">
        <f t="array" ref="H1375">_xlfn.LET(
  _xlpm.s, TRIM(F1375),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75" t="str">
        <f>_xlfn.XLOOKUP(E1375,Calendar!C:C,Calendar!B:B)</f>
        <v>Saturday</v>
      </c>
    </row>
    <row r="1376" spans="1:9" x14ac:dyDescent="0.25">
      <c r="A1376" t="s">
        <v>1375</v>
      </c>
      <c r="B1376" t="s">
        <v>1384</v>
      </c>
      <c r="C1376" t="s">
        <v>1388</v>
      </c>
      <c r="D1376" s="2">
        <v>46221.556701388887</v>
      </c>
      <c r="E1376" s="2">
        <f t="shared" si="32"/>
        <v>46221</v>
      </c>
      <c r="F1376" t="s">
        <v>1741</v>
      </c>
      <c r="G1376">
        <f>_xlfn.XLOOKUP(A1376,FTD!A:A,FTD!C:C)</f>
        <v>500</v>
      </c>
      <c r="H1376" cm="1">
        <f t="array" ref="H1376">_xlfn.LET(
  _xlpm.s, TRIM(F1376),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6" t="str">
        <f>_xlfn.XLOOKUP(E1376,Calendar!C:C,Calendar!B:B)</f>
        <v>Saturday</v>
      </c>
    </row>
    <row r="1377" spans="1:9" x14ac:dyDescent="0.25">
      <c r="A1377" t="s">
        <v>1376</v>
      </c>
      <c r="B1377" t="s">
        <v>1384</v>
      </c>
      <c r="C1377" t="s">
        <v>1431</v>
      </c>
      <c r="D1377" s="2">
        <v>46234.911412037036</v>
      </c>
      <c r="E1377" s="2">
        <f t="shared" si="32"/>
        <v>46234</v>
      </c>
      <c r="F1377" t="s">
        <v>1740</v>
      </c>
      <c r="G1377">
        <f>_xlfn.XLOOKUP(A1377,FTD!A:A,FTD!C:C)</f>
        <v>1000</v>
      </c>
      <c r="H1377" cm="1">
        <f t="array" ref="H1377">_xlfn.LET(
  _xlpm.s, TRIM(F1377),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77" t="str">
        <f>_xlfn.XLOOKUP(E1377,Calendar!C:C,Calendar!B:B)</f>
        <v>Working Day</v>
      </c>
    </row>
    <row r="1378" spans="1:9" x14ac:dyDescent="0.25">
      <c r="A1378" t="s">
        <v>1377</v>
      </c>
      <c r="B1378" t="s">
        <v>1387</v>
      </c>
      <c r="C1378" t="s">
        <v>1402</v>
      </c>
      <c r="D1378" s="2">
        <v>46229.802893518514</v>
      </c>
      <c r="E1378" s="2">
        <f t="shared" si="32"/>
        <v>46229</v>
      </c>
      <c r="F1378" t="s">
        <v>1738</v>
      </c>
      <c r="G1378">
        <f>_xlfn.XLOOKUP(A1378,FTD!A:A,FTD!C:C)</f>
        <v>25000</v>
      </c>
      <c r="H1378" cm="1">
        <f t="array" ref="H1378">_xlfn.LET(
  _xlpm.s, TRIM(F1378),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8" t="str">
        <f>_xlfn.XLOOKUP(E1378,Calendar!C:C,Calendar!B:B)</f>
        <v>Sunday</v>
      </c>
    </row>
    <row r="1379" spans="1:9" x14ac:dyDescent="0.25">
      <c r="A1379" t="s">
        <v>1378</v>
      </c>
      <c r="B1379" t="s">
        <v>1387</v>
      </c>
      <c r="C1379" t="s">
        <v>1412</v>
      </c>
      <c r="D1379" s="2">
        <v>46209.551377314812</v>
      </c>
      <c r="E1379" s="2">
        <f t="shared" si="32"/>
        <v>46209</v>
      </c>
      <c r="F1379" t="s">
        <v>1738</v>
      </c>
      <c r="G1379">
        <f>_xlfn.XLOOKUP(A1379,FTD!A:A,FTD!C:C)</f>
        <v>1000</v>
      </c>
      <c r="H1379" cm="1">
        <f t="array" ref="H1379">_xlfn.LET(
  _xlpm.s, TRIM(F1379),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79" t="str">
        <f>_xlfn.XLOOKUP(E1379,Calendar!C:C,Calendar!B:B)</f>
        <v>Working Day</v>
      </c>
    </row>
    <row r="1380" spans="1:9" x14ac:dyDescent="0.25">
      <c r="A1380" t="s">
        <v>1379</v>
      </c>
      <c r="B1380" t="s">
        <v>1384</v>
      </c>
      <c r="C1380" t="s">
        <v>1428</v>
      </c>
      <c r="D1380" s="2">
        <v>46220.677106481482</v>
      </c>
      <c r="E1380" s="2">
        <f t="shared" si="32"/>
        <v>46220</v>
      </c>
      <c r="F1380" t="s">
        <v>1747</v>
      </c>
      <c r="G1380">
        <f>_xlfn.XLOOKUP(A1380,FTD!A:A,FTD!C:C)</f>
        <v>500</v>
      </c>
      <c r="H1380" cm="1">
        <f t="array" ref="H1380">_xlfn.LET(
  _xlpm.s, TRIM(F1380),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80" t="str">
        <f>_xlfn.XLOOKUP(E1380,Calendar!C:C,Calendar!B:B)</f>
        <v>Working Day</v>
      </c>
    </row>
    <row r="1381" spans="1:9" x14ac:dyDescent="0.25">
      <c r="A1381" t="s">
        <v>1380</v>
      </c>
      <c r="B1381" t="s">
        <v>1384</v>
      </c>
      <c r="C1381" t="s">
        <v>1388</v>
      </c>
      <c r="D1381" s="2">
        <v>46227.624166666668</v>
      </c>
      <c r="E1381" s="2">
        <f t="shared" si="32"/>
        <v>46227</v>
      </c>
      <c r="F1381" t="s">
        <v>1739</v>
      </c>
      <c r="G1381">
        <f>_xlfn.XLOOKUP(A1381,FTD!A:A,FTD!C:C)</f>
        <v>5000</v>
      </c>
      <c r="H1381" cm="1">
        <f t="array" ref="H1381">_xlfn.LET(
  _xlpm.s, TRIM(F1381),
  _xlpm.p, _xlfn.LAMBDA(_xlpm.x, LEFT(_xlpm.s, LEN(_xlpm.x)) = _xlpm.x),
  _xlfn.IFS(
    _xlpm.p("meta6"), 1,
    _xlpm.p("meta"), 3,
    _xlpm.p("ref"), 3,
    OR(_xlpm.p("telegram"), _xlpm.p("instagram"), _xlpm.p("stock meme"), _xlpm.p("gx")), 2,
    OR(_xlpm.p("application"), _xlpm.p("main website"), _xlpm.p("direct (hot)"), _xlpm.p("sunil"), _xlpm.p("prs"), _xlpm.p("invst (hot)")), 1,
    TRUE, 2
  )
)</f>
        <v>3</v>
      </c>
      <c r="I1381" t="str">
        <f>_xlfn.XLOOKUP(E1381,Calendar!C:C,Calendar!B:B)</f>
        <v>Working Day</v>
      </c>
    </row>
    <row r="1382" spans="1:9" x14ac:dyDescent="0.25">
      <c r="A1382" t="s">
        <v>1381</v>
      </c>
      <c r="B1382" t="s">
        <v>1384</v>
      </c>
      <c r="C1382" t="s">
        <v>1410</v>
      </c>
      <c r="D1382" s="2">
        <v>46209.411423611113</v>
      </c>
      <c r="E1382" s="2">
        <f t="shared" si="32"/>
        <v>46209</v>
      </c>
      <c r="F1382" t="s">
        <v>1741</v>
      </c>
      <c r="G1382">
        <f>_xlfn.XLOOKUP(A1382,FTD!A:A,FTD!C:C)</f>
        <v>3000</v>
      </c>
      <c r="H1382" cm="1">
        <f t="array" ref="H1382">_xlfn.LET(
  _xlpm.s, TRIM(F1382),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82" t="str">
        <f>_xlfn.XLOOKUP(E1382,Calendar!C:C,Calendar!B:B)</f>
        <v>Working Day</v>
      </c>
    </row>
    <row r="1383" spans="1:9" x14ac:dyDescent="0.25">
      <c r="A1383" t="s">
        <v>1382</v>
      </c>
      <c r="B1383" t="s">
        <v>1387</v>
      </c>
      <c r="C1383" t="s">
        <v>1433</v>
      </c>
      <c r="D1383" s="2">
        <v>46209.772650462961</v>
      </c>
      <c r="E1383" s="2">
        <f t="shared" si="32"/>
        <v>46209</v>
      </c>
      <c r="F1383" t="s">
        <v>1744</v>
      </c>
      <c r="G1383">
        <f>_xlfn.XLOOKUP(A1383,FTD!A:A,FTD!C:C)</f>
        <v>1000</v>
      </c>
      <c r="H1383" cm="1">
        <f t="array" ref="H1383">_xlfn.LET(
  _xlpm.s, TRIM(F1383),
  _xlpm.p, _xlfn.LAMBDA(_xlpm.x, LEFT(_xlpm.s, LEN(_xlpm.x)) = _xlpm.x),
  _xlfn.IFS(
    _xlpm.p("meta6"), 1,
    _xlpm.p("meta"), 3,
    _xlpm.p("ref"), 3,
    OR(_xlpm.p("telegram"), _xlpm.p("instagram"), _xlpm.p("stock meme"), _xlpm.p("gx")), 2,
    OR(_xlpm.p("application"), _xlpm.p("main website"), _xlpm.p("direct (hot)"), _xlpm.p("sunil"), _xlpm.p("prs"), _xlpm.p("invst (hot)")), 1,
    TRUE, 2
  )
)</f>
        <v>1</v>
      </c>
      <c r="I1383" t="str">
        <f>_xlfn.XLOOKUP(E1383,Calendar!C:C,Calendar!B:B)</f>
        <v>Working Day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DC3F-8C44-4740-BE50-8FAADC9CFDED}">
  <dimension ref="A1:C366"/>
  <sheetViews>
    <sheetView workbookViewId="0">
      <selection activeCell="C1" sqref="C1"/>
    </sheetView>
  </sheetViews>
  <sheetFormatPr defaultRowHeight="15" x14ac:dyDescent="0.25"/>
  <cols>
    <col min="1" max="1" width="19.28515625" style="2" bestFit="1" customWidth="1"/>
    <col min="3" max="3" width="10.42578125" bestFit="1" customWidth="1"/>
  </cols>
  <sheetData>
    <row r="1" spans="1:3" x14ac:dyDescent="0.25">
      <c r="A1" s="77" t="s">
        <v>1781</v>
      </c>
      <c r="B1" s="3" t="s">
        <v>1383</v>
      </c>
      <c r="C1" t="s">
        <v>1787</v>
      </c>
    </row>
    <row r="2" spans="1:3" x14ac:dyDescent="0.25">
      <c r="A2" s="78">
        <v>46023</v>
      </c>
      <c r="B2" t="str">
        <f>_xlfn.LET(_xlpm.x, _xlfn.XLOOKUP(A2,Holidays!A:A,Holidays!B:B,""), IF(_xlpm.x="", "Working Day", _xlpm.x))</f>
        <v>Working Day</v>
      </c>
      <c r="C2" s="2">
        <f>INT(A2)</f>
        <v>46023</v>
      </c>
    </row>
    <row r="3" spans="1:3" x14ac:dyDescent="0.25">
      <c r="A3" s="78">
        <v>46024</v>
      </c>
      <c r="B3" t="str">
        <f>_xlfn.LET(_xlpm.x, _xlfn.XLOOKUP(A3,Holidays!A:A,Holidays!B:B,""), IF(_xlpm.x="", "Working Day", _xlpm.x))</f>
        <v>Working Day</v>
      </c>
      <c r="C3" s="2">
        <f t="shared" ref="C3:C66" si="0">INT(A3)</f>
        <v>46024</v>
      </c>
    </row>
    <row r="4" spans="1:3" x14ac:dyDescent="0.25">
      <c r="A4" s="78">
        <v>46025</v>
      </c>
      <c r="B4" t="str">
        <f>_xlfn.LET(_xlpm.x, _xlfn.XLOOKUP(A4,Holidays!A:A,Holidays!B:B,""), IF(_xlpm.x="", "Working Day", _xlpm.x))</f>
        <v>Saturday</v>
      </c>
      <c r="C4" s="2">
        <f t="shared" si="0"/>
        <v>46025</v>
      </c>
    </row>
    <row r="5" spans="1:3" x14ac:dyDescent="0.25">
      <c r="A5" s="78">
        <v>46026</v>
      </c>
      <c r="B5" t="str">
        <f>_xlfn.LET(_xlpm.x, _xlfn.XLOOKUP(A5,Holidays!A:A,Holidays!B:B,""), IF(_xlpm.x="", "Working Day", _xlpm.x))</f>
        <v>Sunday</v>
      </c>
      <c r="C5" s="2">
        <f t="shared" si="0"/>
        <v>46026</v>
      </c>
    </row>
    <row r="6" spans="1:3" x14ac:dyDescent="0.25">
      <c r="A6" s="78">
        <v>46027</v>
      </c>
      <c r="B6" t="str">
        <f>_xlfn.LET(_xlpm.x, _xlfn.XLOOKUP(A6,Holidays!A:A,Holidays!B:B,""), IF(_xlpm.x="", "Working Day", _xlpm.x))</f>
        <v>Working Day</v>
      </c>
      <c r="C6" s="2">
        <f t="shared" si="0"/>
        <v>46027</v>
      </c>
    </row>
    <row r="7" spans="1:3" x14ac:dyDescent="0.25">
      <c r="A7" s="78">
        <v>46028</v>
      </c>
      <c r="B7" t="str">
        <f>_xlfn.LET(_xlpm.x, _xlfn.XLOOKUP(A7,Holidays!A:A,Holidays!B:B,""), IF(_xlpm.x="", "Working Day", _xlpm.x))</f>
        <v>Working Day</v>
      </c>
      <c r="C7" s="2">
        <f t="shared" si="0"/>
        <v>46028</v>
      </c>
    </row>
    <row r="8" spans="1:3" x14ac:dyDescent="0.25">
      <c r="A8" s="78">
        <v>46029</v>
      </c>
      <c r="B8" t="str">
        <f>_xlfn.LET(_xlpm.x, _xlfn.XLOOKUP(A8,Holidays!A:A,Holidays!B:B,""), IF(_xlpm.x="", "Working Day", _xlpm.x))</f>
        <v>Working Day</v>
      </c>
      <c r="C8" s="2">
        <f t="shared" si="0"/>
        <v>46029</v>
      </c>
    </row>
    <row r="9" spans="1:3" x14ac:dyDescent="0.25">
      <c r="A9" s="78">
        <v>46030</v>
      </c>
      <c r="B9" t="str">
        <f>_xlfn.LET(_xlpm.x, _xlfn.XLOOKUP(A9,Holidays!A:A,Holidays!B:B,""), IF(_xlpm.x="", "Working Day", _xlpm.x))</f>
        <v>Working Day</v>
      </c>
      <c r="C9" s="2">
        <f t="shared" si="0"/>
        <v>46030</v>
      </c>
    </row>
    <row r="10" spans="1:3" x14ac:dyDescent="0.25">
      <c r="A10" s="78">
        <v>46031</v>
      </c>
      <c r="B10" t="str">
        <f>_xlfn.LET(_xlpm.x, _xlfn.XLOOKUP(A10,Holidays!A:A,Holidays!B:B,""), IF(_xlpm.x="", "Working Day", _xlpm.x))</f>
        <v>Working Day</v>
      </c>
      <c r="C10" s="2">
        <f t="shared" si="0"/>
        <v>46031</v>
      </c>
    </row>
    <row r="11" spans="1:3" x14ac:dyDescent="0.25">
      <c r="A11" s="78">
        <v>46032</v>
      </c>
      <c r="B11" t="str">
        <f>_xlfn.LET(_xlpm.x, _xlfn.XLOOKUP(A11,Holidays!A:A,Holidays!B:B,""), IF(_xlpm.x="", "Working Day", _xlpm.x))</f>
        <v>Saturday</v>
      </c>
      <c r="C11" s="2">
        <f t="shared" si="0"/>
        <v>46032</v>
      </c>
    </row>
    <row r="12" spans="1:3" x14ac:dyDescent="0.25">
      <c r="A12" s="78">
        <v>46033</v>
      </c>
      <c r="B12" t="str">
        <f>_xlfn.LET(_xlpm.x, _xlfn.XLOOKUP(A12,Holidays!A:A,Holidays!B:B,""), IF(_xlpm.x="", "Working Day", _xlpm.x))</f>
        <v>Sunday</v>
      </c>
      <c r="C12" s="2">
        <f t="shared" si="0"/>
        <v>46033</v>
      </c>
    </row>
    <row r="13" spans="1:3" x14ac:dyDescent="0.25">
      <c r="A13" s="78">
        <v>46034</v>
      </c>
      <c r="B13" t="str">
        <f>_xlfn.LET(_xlpm.x, _xlfn.XLOOKUP(A13,Holidays!A:A,Holidays!B:B,""), IF(_xlpm.x="", "Working Day", _xlpm.x))</f>
        <v>Working Day</v>
      </c>
      <c r="C13" s="2">
        <f t="shared" si="0"/>
        <v>46034</v>
      </c>
    </row>
    <row r="14" spans="1:3" x14ac:dyDescent="0.25">
      <c r="A14" s="78">
        <v>46035</v>
      </c>
      <c r="B14" t="str">
        <f>_xlfn.LET(_xlpm.x, _xlfn.XLOOKUP(A14,Holidays!A:A,Holidays!B:B,""), IF(_xlpm.x="", "Working Day", _xlpm.x))</f>
        <v>Working Day</v>
      </c>
      <c r="C14" s="2">
        <f t="shared" si="0"/>
        <v>46035</v>
      </c>
    </row>
    <row r="15" spans="1:3" x14ac:dyDescent="0.25">
      <c r="A15" s="78">
        <v>46036</v>
      </c>
      <c r="B15" t="str">
        <f>_xlfn.LET(_xlpm.x, _xlfn.XLOOKUP(A15,Holidays!A:A,Holidays!B:B,""), IF(_xlpm.x="", "Working Day", _xlpm.x))</f>
        <v>Working Day</v>
      </c>
      <c r="C15" s="2">
        <f t="shared" si="0"/>
        <v>46036</v>
      </c>
    </row>
    <row r="16" spans="1:3" x14ac:dyDescent="0.25">
      <c r="A16" s="78">
        <v>46037</v>
      </c>
      <c r="B16" t="str">
        <f>_xlfn.LET(_xlpm.x, _xlfn.XLOOKUP(A16,Holidays!A:A,Holidays!B:B,""), IF(_xlpm.x="", "Working Day", _xlpm.x))</f>
        <v>Working Day</v>
      </c>
      <c r="C16" s="2">
        <f t="shared" si="0"/>
        <v>46037</v>
      </c>
    </row>
    <row r="17" spans="1:3" x14ac:dyDescent="0.25">
      <c r="A17" s="78">
        <v>46038</v>
      </c>
      <c r="B17" t="str">
        <f>_xlfn.LET(_xlpm.x, _xlfn.XLOOKUP(A17,Holidays!A:A,Holidays!B:B,""), IF(_xlpm.x="", "Working Day", _xlpm.x))</f>
        <v>Working Day</v>
      </c>
      <c r="C17" s="2">
        <f t="shared" si="0"/>
        <v>46038</v>
      </c>
    </row>
    <row r="18" spans="1:3" x14ac:dyDescent="0.25">
      <c r="A18" s="78">
        <v>46039</v>
      </c>
      <c r="B18" t="str">
        <f>_xlfn.LET(_xlpm.x, _xlfn.XLOOKUP(A18,Holidays!A:A,Holidays!B:B,""), IF(_xlpm.x="", "Working Day", _xlpm.x))</f>
        <v>Saturday</v>
      </c>
      <c r="C18" s="2">
        <f t="shared" si="0"/>
        <v>46039</v>
      </c>
    </row>
    <row r="19" spans="1:3" x14ac:dyDescent="0.25">
      <c r="A19" s="78">
        <v>46040</v>
      </c>
      <c r="B19" t="str">
        <f>_xlfn.LET(_xlpm.x, _xlfn.XLOOKUP(A19,Holidays!A:A,Holidays!B:B,""), IF(_xlpm.x="", "Working Day", _xlpm.x))</f>
        <v>Sunday</v>
      </c>
      <c r="C19" s="2">
        <f t="shared" si="0"/>
        <v>46040</v>
      </c>
    </row>
    <row r="20" spans="1:3" x14ac:dyDescent="0.25">
      <c r="A20" s="78">
        <v>46041</v>
      </c>
      <c r="B20" t="str">
        <f>_xlfn.LET(_xlpm.x, _xlfn.XLOOKUP(A20,Holidays!A:A,Holidays!B:B,""), IF(_xlpm.x="", "Working Day", _xlpm.x))</f>
        <v>Working Day</v>
      </c>
      <c r="C20" s="2">
        <f t="shared" si="0"/>
        <v>46041</v>
      </c>
    </row>
    <row r="21" spans="1:3" x14ac:dyDescent="0.25">
      <c r="A21" s="78">
        <v>46042</v>
      </c>
      <c r="B21" t="str">
        <f>_xlfn.LET(_xlpm.x, _xlfn.XLOOKUP(A21,Holidays!A:A,Holidays!B:B,""), IF(_xlpm.x="", "Working Day", _xlpm.x))</f>
        <v>Working Day</v>
      </c>
      <c r="C21" s="2">
        <f t="shared" si="0"/>
        <v>46042</v>
      </c>
    </row>
    <row r="22" spans="1:3" x14ac:dyDescent="0.25">
      <c r="A22" s="78">
        <v>46043</v>
      </c>
      <c r="B22" t="str">
        <f>_xlfn.LET(_xlpm.x, _xlfn.XLOOKUP(A22,Holidays!A:A,Holidays!B:B,""), IF(_xlpm.x="", "Working Day", _xlpm.x))</f>
        <v>Working Day</v>
      </c>
      <c r="C22" s="2">
        <f t="shared" si="0"/>
        <v>46043</v>
      </c>
    </row>
    <row r="23" spans="1:3" x14ac:dyDescent="0.25">
      <c r="A23" s="78">
        <v>46044</v>
      </c>
      <c r="B23" t="str">
        <f>_xlfn.LET(_xlpm.x, _xlfn.XLOOKUP(A23,Holidays!A:A,Holidays!B:B,""), IF(_xlpm.x="", "Working Day", _xlpm.x))</f>
        <v>Working Day</v>
      </c>
      <c r="C23" s="2">
        <f t="shared" si="0"/>
        <v>46044</v>
      </c>
    </row>
    <row r="24" spans="1:3" x14ac:dyDescent="0.25">
      <c r="A24" s="78">
        <v>46045</v>
      </c>
      <c r="B24" t="str">
        <f>_xlfn.LET(_xlpm.x, _xlfn.XLOOKUP(A24,Holidays!A:A,Holidays!B:B,""), IF(_xlpm.x="", "Working Day", _xlpm.x))</f>
        <v>Working Day</v>
      </c>
      <c r="C24" s="2">
        <f t="shared" si="0"/>
        <v>46045</v>
      </c>
    </row>
    <row r="25" spans="1:3" x14ac:dyDescent="0.25">
      <c r="A25" s="78">
        <v>46046</v>
      </c>
      <c r="B25" t="str">
        <f>_xlfn.LET(_xlpm.x, _xlfn.XLOOKUP(A25,Holidays!A:A,Holidays!B:B,""), IF(_xlpm.x="", "Working Day", _xlpm.x))</f>
        <v>Saturday</v>
      </c>
      <c r="C25" s="2">
        <f t="shared" si="0"/>
        <v>46046</v>
      </c>
    </row>
    <row r="26" spans="1:3" x14ac:dyDescent="0.25">
      <c r="A26" s="78">
        <v>46047</v>
      </c>
      <c r="B26" t="str">
        <f>_xlfn.LET(_xlpm.x, _xlfn.XLOOKUP(A26,Holidays!A:A,Holidays!B:B,""), IF(_xlpm.x="", "Working Day", _xlpm.x))</f>
        <v>Sunday</v>
      </c>
      <c r="C26" s="2">
        <f t="shared" si="0"/>
        <v>46047</v>
      </c>
    </row>
    <row r="27" spans="1:3" x14ac:dyDescent="0.25">
      <c r="A27" s="78">
        <v>46048</v>
      </c>
      <c r="B27" t="str">
        <f>_xlfn.LET(_xlpm.x, _xlfn.XLOOKUP(A27,Holidays!A:A,Holidays!B:B,""), IF(_xlpm.x="", "Working Day", _xlpm.x))</f>
        <v>NSE Holiday</v>
      </c>
      <c r="C27" s="2">
        <f t="shared" si="0"/>
        <v>46048</v>
      </c>
    </row>
    <row r="28" spans="1:3" x14ac:dyDescent="0.25">
      <c r="A28" s="78">
        <v>46049</v>
      </c>
      <c r="B28" t="str">
        <f>_xlfn.LET(_xlpm.x, _xlfn.XLOOKUP(A28,Holidays!A:A,Holidays!B:B,""), IF(_xlpm.x="", "Working Day", _xlpm.x))</f>
        <v>Working Day</v>
      </c>
      <c r="C28" s="2">
        <f t="shared" si="0"/>
        <v>46049</v>
      </c>
    </row>
    <row r="29" spans="1:3" x14ac:dyDescent="0.25">
      <c r="A29" s="78">
        <v>46050</v>
      </c>
      <c r="B29" t="str">
        <f>_xlfn.LET(_xlpm.x, _xlfn.XLOOKUP(A29,Holidays!A:A,Holidays!B:B,""), IF(_xlpm.x="", "Working Day", _xlpm.x))</f>
        <v>Working Day</v>
      </c>
      <c r="C29" s="2">
        <f t="shared" si="0"/>
        <v>46050</v>
      </c>
    </row>
    <row r="30" spans="1:3" x14ac:dyDescent="0.25">
      <c r="A30" s="78">
        <v>46051</v>
      </c>
      <c r="B30" t="str">
        <f>_xlfn.LET(_xlpm.x, _xlfn.XLOOKUP(A30,Holidays!A:A,Holidays!B:B,""), IF(_xlpm.x="", "Working Day", _xlpm.x))</f>
        <v>Working Day</v>
      </c>
      <c r="C30" s="2">
        <f t="shared" si="0"/>
        <v>46051</v>
      </c>
    </row>
    <row r="31" spans="1:3" x14ac:dyDescent="0.25">
      <c r="A31" s="78">
        <v>46052</v>
      </c>
      <c r="B31" t="str">
        <f>_xlfn.LET(_xlpm.x, _xlfn.XLOOKUP(A31,Holidays!A:A,Holidays!B:B,""), IF(_xlpm.x="", "Working Day", _xlpm.x))</f>
        <v>Working Day</v>
      </c>
      <c r="C31" s="2">
        <f t="shared" si="0"/>
        <v>46052</v>
      </c>
    </row>
    <row r="32" spans="1:3" x14ac:dyDescent="0.25">
      <c r="A32" s="78">
        <v>46053</v>
      </c>
      <c r="B32" t="str">
        <f>_xlfn.LET(_xlpm.x, _xlfn.XLOOKUP(A32,Holidays!A:A,Holidays!B:B,""), IF(_xlpm.x="", "Working Day", _xlpm.x))</f>
        <v>Saturday</v>
      </c>
      <c r="C32" s="2">
        <f t="shared" si="0"/>
        <v>46053</v>
      </c>
    </row>
    <row r="33" spans="1:3" x14ac:dyDescent="0.25">
      <c r="A33" s="78">
        <v>46054</v>
      </c>
      <c r="B33" t="str">
        <f>_xlfn.LET(_xlpm.x, _xlfn.XLOOKUP(A33,Holidays!A:A,Holidays!B:B,""), IF(_xlpm.x="", "Working Day", _xlpm.x))</f>
        <v>Sunday</v>
      </c>
      <c r="C33" s="2">
        <f t="shared" si="0"/>
        <v>46054</v>
      </c>
    </row>
    <row r="34" spans="1:3" x14ac:dyDescent="0.25">
      <c r="A34" s="78">
        <v>46055</v>
      </c>
      <c r="B34" t="str">
        <f>_xlfn.LET(_xlpm.x, _xlfn.XLOOKUP(A34,Holidays!A:A,Holidays!B:B,""), IF(_xlpm.x="", "Working Day", _xlpm.x))</f>
        <v>Working Day</v>
      </c>
      <c r="C34" s="2">
        <f t="shared" si="0"/>
        <v>46055</v>
      </c>
    </row>
    <row r="35" spans="1:3" x14ac:dyDescent="0.25">
      <c r="A35" s="78">
        <v>46056</v>
      </c>
      <c r="B35" t="str">
        <f>_xlfn.LET(_xlpm.x, _xlfn.XLOOKUP(A35,Holidays!A:A,Holidays!B:B,""), IF(_xlpm.x="", "Working Day", _xlpm.x))</f>
        <v>Working Day</v>
      </c>
      <c r="C35" s="2">
        <f t="shared" si="0"/>
        <v>46056</v>
      </c>
    </row>
    <row r="36" spans="1:3" x14ac:dyDescent="0.25">
      <c r="A36" s="78">
        <v>46057</v>
      </c>
      <c r="B36" t="str">
        <f>_xlfn.LET(_xlpm.x, _xlfn.XLOOKUP(A36,Holidays!A:A,Holidays!B:B,""), IF(_xlpm.x="", "Working Day", _xlpm.x))</f>
        <v>Working Day</v>
      </c>
      <c r="C36" s="2">
        <f t="shared" si="0"/>
        <v>46057</v>
      </c>
    </row>
    <row r="37" spans="1:3" x14ac:dyDescent="0.25">
      <c r="A37" s="78">
        <v>46058</v>
      </c>
      <c r="B37" t="str">
        <f>_xlfn.LET(_xlpm.x, _xlfn.XLOOKUP(A37,Holidays!A:A,Holidays!B:B,""), IF(_xlpm.x="", "Working Day", _xlpm.x))</f>
        <v>Working Day</v>
      </c>
      <c r="C37" s="2">
        <f t="shared" si="0"/>
        <v>46058</v>
      </c>
    </row>
    <row r="38" spans="1:3" x14ac:dyDescent="0.25">
      <c r="A38" s="78">
        <v>46059</v>
      </c>
      <c r="B38" t="str">
        <f>_xlfn.LET(_xlpm.x, _xlfn.XLOOKUP(A38,Holidays!A:A,Holidays!B:B,""), IF(_xlpm.x="", "Working Day", _xlpm.x))</f>
        <v>Working Day</v>
      </c>
      <c r="C38" s="2">
        <f t="shared" si="0"/>
        <v>46059</v>
      </c>
    </row>
    <row r="39" spans="1:3" x14ac:dyDescent="0.25">
      <c r="A39" s="78">
        <v>46060</v>
      </c>
      <c r="B39" t="str">
        <f>_xlfn.LET(_xlpm.x, _xlfn.XLOOKUP(A39,Holidays!A:A,Holidays!B:B,""), IF(_xlpm.x="", "Working Day", _xlpm.x))</f>
        <v>Saturday</v>
      </c>
      <c r="C39" s="2">
        <f t="shared" si="0"/>
        <v>46060</v>
      </c>
    </row>
    <row r="40" spans="1:3" x14ac:dyDescent="0.25">
      <c r="A40" s="78">
        <v>46061</v>
      </c>
      <c r="B40" t="str">
        <f>_xlfn.LET(_xlpm.x, _xlfn.XLOOKUP(A40,Holidays!A:A,Holidays!B:B,""), IF(_xlpm.x="", "Working Day", _xlpm.x))</f>
        <v>Sunday</v>
      </c>
      <c r="C40" s="2">
        <f t="shared" si="0"/>
        <v>46061</v>
      </c>
    </row>
    <row r="41" spans="1:3" x14ac:dyDescent="0.25">
      <c r="A41" s="78">
        <v>46062</v>
      </c>
      <c r="B41" t="str">
        <f>_xlfn.LET(_xlpm.x, _xlfn.XLOOKUP(A41,Holidays!A:A,Holidays!B:B,""), IF(_xlpm.x="", "Working Day", _xlpm.x))</f>
        <v>Working Day</v>
      </c>
      <c r="C41" s="2">
        <f t="shared" si="0"/>
        <v>46062</v>
      </c>
    </row>
    <row r="42" spans="1:3" x14ac:dyDescent="0.25">
      <c r="A42" s="78">
        <v>46063</v>
      </c>
      <c r="B42" t="str">
        <f>_xlfn.LET(_xlpm.x, _xlfn.XLOOKUP(A42,Holidays!A:A,Holidays!B:B,""), IF(_xlpm.x="", "Working Day", _xlpm.x))</f>
        <v>Working Day</v>
      </c>
      <c r="C42" s="2">
        <f t="shared" si="0"/>
        <v>46063</v>
      </c>
    </row>
    <row r="43" spans="1:3" x14ac:dyDescent="0.25">
      <c r="A43" s="78">
        <v>46064</v>
      </c>
      <c r="B43" t="str">
        <f>_xlfn.LET(_xlpm.x, _xlfn.XLOOKUP(A43,Holidays!A:A,Holidays!B:B,""), IF(_xlpm.x="", "Working Day", _xlpm.x))</f>
        <v>Working Day</v>
      </c>
      <c r="C43" s="2">
        <f t="shared" si="0"/>
        <v>46064</v>
      </c>
    </row>
    <row r="44" spans="1:3" x14ac:dyDescent="0.25">
      <c r="A44" s="78">
        <v>46065</v>
      </c>
      <c r="B44" t="str">
        <f>_xlfn.LET(_xlpm.x, _xlfn.XLOOKUP(A44,Holidays!A:A,Holidays!B:B,""), IF(_xlpm.x="", "Working Day", _xlpm.x))</f>
        <v>Working Day</v>
      </c>
      <c r="C44" s="2">
        <f t="shared" si="0"/>
        <v>46065</v>
      </c>
    </row>
    <row r="45" spans="1:3" x14ac:dyDescent="0.25">
      <c r="A45" s="78">
        <v>46066</v>
      </c>
      <c r="B45" t="str">
        <f>_xlfn.LET(_xlpm.x, _xlfn.XLOOKUP(A45,Holidays!A:A,Holidays!B:B,""), IF(_xlpm.x="", "Working Day", _xlpm.x))</f>
        <v>Working Day</v>
      </c>
      <c r="C45" s="2">
        <f t="shared" si="0"/>
        <v>46066</v>
      </c>
    </row>
    <row r="46" spans="1:3" x14ac:dyDescent="0.25">
      <c r="A46" s="78">
        <v>46067</v>
      </c>
      <c r="B46" t="str">
        <f>_xlfn.LET(_xlpm.x, _xlfn.XLOOKUP(A46,Holidays!A:A,Holidays!B:B,""), IF(_xlpm.x="", "Working Day", _xlpm.x))</f>
        <v>Saturday</v>
      </c>
      <c r="C46" s="2">
        <f t="shared" si="0"/>
        <v>46067</v>
      </c>
    </row>
    <row r="47" spans="1:3" x14ac:dyDescent="0.25">
      <c r="A47" s="78">
        <v>46068</v>
      </c>
      <c r="B47" t="str">
        <f>_xlfn.LET(_xlpm.x, _xlfn.XLOOKUP(A47,Holidays!A:A,Holidays!B:B,""), IF(_xlpm.x="", "Working Day", _xlpm.x))</f>
        <v>Sunday</v>
      </c>
      <c r="C47" s="2">
        <f t="shared" si="0"/>
        <v>46068</v>
      </c>
    </row>
    <row r="48" spans="1:3" x14ac:dyDescent="0.25">
      <c r="A48" s="78">
        <v>46069</v>
      </c>
      <c r="B48" t="str">
        <f>_xlfn.LET(_xlpm.x, _xlfn.XLOOKUP(A48,Holidays!A:A,Holidays!B:B,""), IF(_xlpm.x="", "Working Day", _xlpm.x))</f>
        <v>Working Day</v>
      </c>
      <c r="C48" s="2">
        <f t="shared" si="0"/>
        <v>46069</v>
      </c>
    </row>
    <row r="49" spans="1:3" x14ac:dyDescent="0.25">
      <c r="A49" s="78">
        <v>46070</v>
      </c>
      <c r="B49" t="str">
        <f>_xlfn.LET(_xlpm.x, _xlfn.XLOOKUP(A49,Holidays!A:A,Holidays!B:B,""), IF(_xlpm.x="", "Working Day", _xlpm.x))</f>
        <v>Working Day</v>
      </c>
      <c r="C49" s="2">
        <f t="shared" si="0"/>
        <v>46070</v>
      </c>
    </row>
    <row r="50" spans="1:3" x14ac:dyDescent="0.25">
      <c r="A50" s="78">
        <v>46071</v>
      </c>
      <c r="B50" t="str">
        <f>_xlfn.LET(_xlpm.x, _xlfn.XLOOKUP(A50,Holidays!A:A,Holidays!B:B,""), IF(_xlpm.x="", "Working Day", _xlpm.x))</f>
        <v>Working Day</v>
      </c>
      <c r="C50" s="2">
        <f t="shared" si="0"/>
        <v>46071</v>
      </c>
    </row>
    <row r="51" spans="1:3" x14ac:dyDescent="0.25">
      <c r="A51" s="78">
        <v>46072</v>
      </c>
      <c r="B51" t="str">
        <f>_xlfn.LET(_xlpm.x, _xlfn.XLOOKUP(A51,Holidays!A:A,Holidays!B:B,""), IF(_xlpm.x="", "Working Day", _xlpm.x))</f>
        <v>Working Day</v>
      </c>
      <c r="C51" s="2">
        <f t="shared" si="0"/>
        <v>46072</v>
      </c>
    </row>
    <row r="52" spans="1:3" x14ac:dyDescent="0.25">
      <c r="A52" s="78">
        <v>46073</v>
      </c>
      <c r="B52" t="str">
        <f>_xlfn.LET(_xlpm.x, _xlfn.XLOOKUP(A52,Holidays!A:A,Holidays!B:B,""), IF(_xlpm.x="", "Working Day", _xlpm.x))</f>
        <v>Working Day</v>
      </c>
      <c r="C52" s="2">
        <f t="shared" si="0"/>
        <v>46073</v>
      </c>
    </row>
    <row r="53" spans="1:3" x14ac:dyDescent="0.25">
      <c r="A53" s="78">
        <v>46074</v>
      </c>
      <c r="B53" t="str">
        <f>_xlfn.LET(_xlpm.x, _xlfn.XLOOKUP(A53,Holidays!A:A,Holidays!B:B,""), IF(_xlpm.x="", "Working Day", _xlpm.x))</f>
        <v>Saturday</v>
      </c>
      <c r="C53" s="2">
        <f t="shared" si="0"/>
        <v>46074</v>
      </c>
    </row>
    <row r="54" spans="1:3" x14ac:dyDescent="0.25">
      <c r="A54" s="78">
        <v>46075</v>
      </c>
      <c r="B54" t="str">
        <f>_xlfn.LET(_xlpm.x, _xlfn.XLOOKUP(A54,Holidays!A:A,Holidays!B:B,""), IF(_xlpm.x="", "Working Day", _xlpm.x))</f>
        <v>Sunday</v>
      </c>
      <c r="C54" s="2">
        <f t="shared" si="0"/>
        <v>46075</v>
      </c>
    </row>
    <row r="55" spans="1:3" x14ac:dyDescent="0.25">
      <c r="A55" s="78">
        <v>46076</v>
      </c>
      <c r="B55" t="str">
        <f>_xlfn.LET(_xlpm.x, _xlfn.XLOOKUP(A55,Holidays!A:A,Holidays!B:B,""), IF(_xlpm.x="", "Working Day", _xlpm.x))</f>
        <v>Working Day</v>
      </c>
      <c r="C55" s="2">
        <f t="shared" si="0"/>
        <v>46076</v>
      </c>
    </row>
    <row r="56" spans="1:3" x14ac:dyDescent="0.25">
      <c r="A56" s="78">
        <v>46077</v>
      </c>
      <c r="B56" t="str">
        <f>_xlfn.LET(_xlpm.x, _xlfn.XLOOKUP(A56,Holidays!A:A,Holidays!B:B,""), IF(_xlpm.x="", "Working Day", _xlpm.x))</f>
        <v>Working Day</v>
      </c>
      <c r="C56" s="2">
        <f t="shared" si="0"/>
        <v>46077</v>
      </c>
    </row>
    <row r="57" spans="1:3" x14ac:dyDescent="0.25">
      <c r="A57" s="78">
        <v>46078</v>
      </c>
      <c r="B57" t="str">
        <f>_xlfn.LET(_xlpm.x, _xlfn.XLOOKUP(A57,Holidays!A:A,Holidays!B:B,""), IF(_xlpm.x="", "Working Day", _xlpm.x))</f>
        <v>Working Day</v>
      </c>
      <c r="C57" s="2">
        <f t="shared" si="0"/>
        <v>46078</v>
      </c>
    </row>
    <row r="58" spans="1:3" x14ac:dyDescent="0.25">
      <c r="A58" s="78">
        <v>46079</v>
      </c>
      <c r="B58" t="str">
        <f>_xlfn.LET(_xlpm.x, _xlfn.XLOOKUP(A58,Holidays!A:A,Holidays!B:B,""), IF(_xlpm.x="", "Working Day", _xlpm.x))</f>
        <v>Working Day</v>
      </c>
      <c r="C58" s="2">
        <f t="shared" si="0"/>
        <v>46079</v>
      </c>
    </row>
    <row r="59" spans="1:3" x14ac:dyDescent="0.25">
      <c r="A59" s="78">
        <v>46080</v>
      </c>
      <c r="B59" t="str">
        <f>_xlfn.LET(_xlpm.x, _xlfn.XLOOKUP(A59,Holidays!A:A,Holidays!B:B,""), IF(_xlpm.x="", "Working Day", _xlpm.x))</f>
        <v>Working Day</v>
      </c>
      <c r="C59" s="2">
        <f t="shared" si="0"/>
        <v>46080</v>
      </c>
    </row>
    <row r="60" spans="1:3" x14ac:dyDescent="0.25">
      <c r="A60" s="78">
        <v>46081</v>
      </c>
      <c r="B60" t="str">
        <f>_xlfn.LET(_xlpm.x, _xlfn.XLOOKUP(A60,Holidays!A:A,Holidays!B:B,""), IF(_xlpm.x="", "Working Day", _xlpm.x))</f>
        <v>Saturday</v>
      </c>
      <c r="C60" s="2">
        <f t="shared" si="0"/>
        <v>46081</v>
      </c>
    </row>
    <row r="61" spans="1:3" x14ac:dyDescent="0.25">
      <c r="A61" s="78">
        <v>46082</v>
      </c>
      <c r="B61" t="str">
        <f>_xlfn.LET(_xlpm.x, _xlfn.XLOOKUP(A61,Holidays!A:A,Holidays!B:B,""), IF(_xlpm.x="", "Working Day", _xlpm.x))</f>
        <v>Sunday</v>
      </c>
      <c r="C61" s="2">
        <f t="shared" si="0"/>
        <v>46082</v>
      </c>
    </row>
    <row r="62" spans="1:3" x14ac:dyDescent="0.25">
      <c r="A62" s="78">
        <v>46083</v>
      </c>
      <c r="B62" t="str">
        <f>_xlfn.LET(_xlpm.x, _xlfn.XLOOKUP(A62,Holidays!A:A,Holidays!B:B,""), IF(_xlpm.x="", "Working Day", _xlpm.x))</f>
        <v>Working Day</v>
      </c>
      <c r="C62" s="2">
        <f t="shared" si="0"/>
        <v>46083</v>
      </c>
    </row>
    <row r="63" spans="1:3" x14ac:dyDescent="0.25">
      <c r="A63" s="78">
        <v>46084</v>
      </c>
      <c r="B63" t="str">
        <f>_xlfn.LET(_xlpm.x, _xlfn.XLOOKUP(A63,Holidays!A:A,Holidays!B:B,""), IF(_xlpm.x="", "Working Day", _xlpm.x))</f>
        <v>NSE Holiday</v>
      </c>
      <c r="C63" s="2">
        <f t="shared" si="0"/>
        <v>46084</v>
      </c>
    </row>
    <row r="64" spans="1:3" x14ac:dyDescent="0.25">
      <c r="A64" s="78">
        <v>46085</v>
      </c>
      <c r="B64" t="str">
        <f>_xlfn.LET(_xlpm.x, _xlfn.XLOOKUP(A64,Holidays!A:A,Holidays!B:B,""), IF(_xlpm.x="", "Working Day", _xlpm.x))</f>
        <v>Working Day</v>
      </c>
      <c r="C64" s="2">
        <f t="shared" si="0"/>
        <v>46085</v>
      </c>
    </row>
    <row r="65" spans="1:3" x14ac:dyDescent="0.25">
      <c r="A65" s="78">
        <v>46086</v>
      </c>
      <c r="B65" t="str">
        <f>_xlfn.LET(_xlpm.x, _xlfn.XLOOKUP(A65,Holidays!A:A,Holidays!B:B,""), IF(_xlpm.x="", "Working Day", _xlpm.x))</f>
        <v>Working Day</v>
      </c>
      <c r="C65" s="2">
        <f t="shared" si="0"/>
        <v>46086</v>
      </c>
    </row>
    <row r="66" spans="1:3" x14ac:dyDescent="0.25">
      <c r="A66" s="78">
        <v>46087</v>
      </c>
      <c r="B66" t="str">
        <f>_xlfn.LET(_xlpm.x, _xlfn.XLOOKUP(A66,Holidays!A:A,Holidays!B:B,""), IF(_xlpm.x="", "Working Day", _xlpm.x))</f>
        <v>Working Day</v>
      </c>
      <c r="C66" s="2">
        <f t="shared" si="0"/>
        <v>46087</v>
      </c>
    </row>
    <row r="67" spans="1:3" x14ac:dyDescent="0.25">
      <c r="A67" s="78">
        <v>46088</v>
      </c>
      <c r="B67" t="str">
        <f>_xlfn.LET(_xlpm.x, _xlfn.XLOOKUP(A67,Holidays!A:A,Holidays!B:B,""), IF(_xlpm.x="", "Working Day", _xlpm.x))</f>
        <v>Saturday</v>
      </c>
      <c r="C67" s="2">
        <f t="shared" ref="C67:C130" si="1">INT(A67)</f>
        <v>46088</v>
      </c>
    </row>
    <row r="68" spans="1:3" x14ac:dyDescent="0.25">
      <c r="A68" s="78">
        <v>46089</v>
      </c>
      <c r="B68" t="str">
        <f>_xlfn.LET(_xlpm.x, _xlfn.XLOOKUP(A68,Holidays!A:A,Holidays!B:B,""), IF(_xlpm.x="", "Working Day", _xlpm.x))</f>
        <v>Sunday</v>
      </c>
      <c r="C68" s="2">
        <f t="shared" si="1"/>
        <v>46089</v>
      </c>
    </row>
    <row r="69" spans="1:3" x14ac:dyDescent="0.25">
      <c r="A69" s="78">
        <v>46090</v>
      </c>
      <c r="B69" t="str">
        <f>_xlfn.LET(_xlpm.x, _xlfn.XLOOKUP(A69,Holidays!A:A,Holidays!B:B,""), IF(_xlpm.x="", "Working Day", _xlpm.x))</f>
        <v>Working Day</v>
      </c>
      <c r="C69" s="2">
        <f t="shared" si="1"/>
        <v>46090</v>
      </c>
    </row>
    <row r="70" spans="1:3" x14ac:dyDescent="0.25">
      <c r="A70" s="78">
        <v>46091</v>
      </c>
      <c r="B70" t="str">
        <f>_xlfn.LET(_xlpm.x, _xlfn.XLOOKUP(A70,Holidays!A:A,Holidays!B:B,""), IF(_xlpm.x="", "Working Day", _xlpm.x))</f>
        <v>Working Day</v>
      </c>
      <c r="C70" s="2">
        <f t="shared" si="1"/>
        <v>46091</v>
      </c>
    </row>
    <row r="71" spans="1:3" x14ac:dyDescent="0.25">
      <c r="A71" s="78">
        <v>46092</v>
      </c>
      <c r="B71" t="str">
        <f>_xlfn.LET(_xlpm.x, _xlfn.XLOOKUP(A71,Holidays!A:A,Holidays!B:B,""), IF(_xlpm.x="", "Working Day", _xlpm.x))</f>
        <v>Working Day</v>
      </c>
      <c r="C71" s="2">
        <f t="shared" si="1"/>
        <v>46092</v>
      </c>
    </row>
    <row r="72" spans="1:3" x14ac:dyDescent="0.25">
      <c r="A72" s="78">
        <v>46093</v>
      </c>
      <c r="B72" t="str">
        <f>_xlfn.LET(_xlpm.x, _xlfn.XLOOKUP(A72,Holidays!A:A,Holidays!B:B,""), IF(_xlpm.x="", "Working Day", _xlpm.x))</f>
        <v>Working Day</v>
      </c>
      <c r="C72" s="2">
        <f t="shared" si="1"/>
        <v>46093</v>
      </c>
    </row>
    <row r="73" spans="1:3" x14ac:dyDescent="0.25">
      <c r="A73" s="78">
        <v>46094</v>
      </c>
      <c r="B73" t="str">
        <f>_xlfn.LET(_xlpm.x, _xlfn.XLOOKUP(A73,Holidays!A:A,Holidays!B:B,""), IF(_xlpm.x="", "Working Day", _xlpm.x))</f>
        <v>Working Day</v>
      </c>
      <c r="C73" s="2">
        <f t="shared" si="1"/>
        <v>46094</v>
      </c>
    </row>
    <row r="74" spans="1:3" x14ac:dyDescent="0.25">
      <c r="A74" s="78">
        <v>46095</v>
      </c>
      <c r="B74" t="str">
        <f>_xlfn.LET(_xlpm.x, _xlfn.XLOOKUP(A74,Holidays!A:A,Holidays!B:B,""), IF(_xlpm.x="", "Working Day", _xlpm.x))</f>
        <v>Saturday</v>
      </c>
      <c r="C74" s="2">
        <f t="shared" si="1"/>
        <v>46095</v>
      </c>
    </row>
    <row r="75" spans="1:3" x14ac:dyDescent="0.25">
      <c r="A75" s="78">
        <v>46096</v>
      </c>
      <c r="B75" t="str">
        <f>_xlfn.LET(_xlpm.x, _xlfn.XLOOKUP(A75,Holidays!A:A,Holidays!B:B,""), IF(_xlpm.x="", "Working Day", _xlpm.x))</f>
        <v>Sunday</v>
      </c>
      <c r="C75" s="2">
        <f t="shared" si="1"/>
        <v>46096</v>
      </c>
    </row>
    <row r="76" spans="1:3" x14ac:dyDescent="0.25">
      <c r="A76" s="78">
        <v>46097</v>
      </c>
      <c r="B76" t="str">
        <f>_xlfn.LET(_xlpm.x, _xlfn.XLOOKUP(A76,Holidays!A:A,Holidays!B:B,""), IF(_xlpm.x="", "Working Day", _xlpm.x))</f>
        <v>Working Day</v>
      </c>
      <c r="C76" s="2">
        <f t="shared" si="1"/>
        <v>46097</v>
      </c>
    </row>
    <row r="77" spans="1:3" x14ac:dyDescent="0.25">
      <c r="A77" s="78">
        <v>46098</v>
      </c>
      <c r="B77" t="str">
        <f>_xlfn.LET(_xlpm.x, _xlfn.XLOOKUP(A77,Holidays!A:A,Holidays!B:B,""), IF(_xlpm.x="", "Working Day", _xlpm.x))</f>
        <v>Working Day</v>
      </c>
      <c r="C77" s="2">
        <f t="shared" si="1"/>
        <v>46098</v>
      </c>
    </row>
    <row r="78" spans="1:3" x14ac:dyDescent="0.25">
      <c r="A78" s="78">
        <v>46099</v>
      </c>
      <c r="B78" t="str">
        <f>_xlfn.LET(_xlpm.x, _xlfn.XLOOKUP(A78,Holidays!A:A,Holidays!B:B,""), IF(_xlpm.x="", "Working Day", _xlpm.x))</f>
        <v>Working Day</v>
      </c>
      <c r="C78" s="2">
        <f t="shared" si="1"/>
        <v>46099</v>
      </c>
    </row>
    <row r="79" spans="1:3" x14ac:dyDescent="0.25">
      <c r="A79" s="78">
        <v>46100</v>
      </c>
      <c r="B79" t="str">
        <f>_xlfn.LET(_xlpm.x, _xlfn.XLOOKUP(A79,Holidays!A:A,Holidays!B:B,""), IF(_xlpm.x="", "Working Day", _xlpm.x))</f>
        <v>Working Day</v>
      </c>
      <c r="C79" s="2">
        <f t="shared" si="1"/>
        <v>46100</v>
      </c>
    </row>
    <row r="80" spans="1:3" x14ac:dyDescent="0.25">
      <c r="A80" s="78">
        <v>46101</v>
      </c>
      <c r="B80" t="str">
        <f>_xlfn.LET(_xlpm.x, _xlfn.XLOOKUP(A80,Holidays!A:A,Holidays!B:B,""), IF(_xlpm.x="", "Working Day", _xlpm.x))</f>
        <v>Working Day</v>
      </c>
      <c r="C80" s="2">
        <f t="shared" si="1"/>
        <v>46101</v>
      </c>
    </row>
    <row r="81" spans="1:3" x14ac:dyDescent="0.25">
      <c r="A81" s="78">
        <v>46102</v>
      </c>
      <c r="B81" t="str">
        <f>_xlfn.LET(_xlpm.x, _xlfn.XLOOKUP(A81,Holidays!A:A,Holidays!B:B,""), IF(_xlpm.x="", "Working Day", _xlpm.x))</f>
        <v>Saturday</v>
      </c>
      <c r="C81" s="2">
        <f t="shared" si="1"/>
        <v>46102</v>
      </c>
    </row>
    <row r="82" spans="1:3" x14ac:dyDescent="0.25">
      <c r="A82" s="78">
        <v>46103</v>
      </c>
      <c r="B82" t="str">
        <f>_xlfn.LET(_xlpm.x, _xlfn.XLOOKUP(A82,Holidays!A:A,Holidays!B:B,""), IF(_xlpm.x="", "Working Day", _xlpm.x))</f>
        <v>Sunday</v>
      </c>
      <c r="C82" s="2">
        <f t="shared" si="1"/>
        <v>46103</v>
      </c>
    </row>
    <row r="83" spans="1:3" x14ac:dyDescent="0.25">
      <c r="A83" s="78">
        <v>46104</v>
      </c>
      <c r="B83" t="str">
        <f>_xlfn.LET(_xlpm.x, _xlfn.XLOOKUP(A83,Holidays!A:A,Holidays!B:B,""), IF(_xlpm.x="", "Working Day", _xlpm.x))</f>
        <v>Working Day</v>
      </c>
      <c r="C83" s="2">
        <f t="shared" si="1"/>
        <v>46104</v>
      </c>
    </row>
    <row r="84" spans="1:3" x14ac:dyDescent="0.25">
      <c r="A84" s="78">
        <v>46105</v>
      </c>
      <c r="B84" t="str">
        <f>_xlfn.LET(_xlpm.x, _xlfn.XLOOKUP(A84,Holidays!A:A,Holidays!B:B,""), IF(_xlpm.x="", "Working Day", _xlpm.x))</f>
        <v>Working Day</v>
      </c>
      <c r="C84" s="2">
        <f t="shared" si="1"/>
        <v>46105</v>
      </c>
    </row>
    <row r="85" spans="1:3" x14ac:dyDescent="0.25">
      <c r="A85" s="78">
        <v>46106</v>
      </c>
      <c r="B85" t="str">
        <f>_xlfn.LET(_xlpm.x, _xlfn.XLOOKUP(A85,Holidays!A:A,Holidays!B:B,""), IF(_xlpm.x="", "Working Day", _xlpm.x))</f>
        <v>Working Day</v>
      </c>
      <c r="C85" s="2">
        <f t="shared" si="1"/>
        <v>46106</v>
      </c>
    </row>
    <row r="86" spans="1:3" x14ac:dyDescent="0.25">
      <c r="A86" s="78">
        <v>46107</v>
      </c>
      <c r="B86" t="str">
        <f>_xlfn.LET(_xlpm.x, _xlfn.XLOOKUP(A86,Holidays!A:A,Holidays!B:B,""), IF(_xlpm.x="", "Working Day", _xlpm.x))</f>
        <v>NSE Holiday</v>
      </c>
      <c r="C86" s="2">
        <f t="shared" si="1"/>
        <v>46107</v>
      </c>
    </row>
    <row r="87" spans="1:3" x14ac:dyDescent="0.25">
      <c r="A87" s="78">
        <v>46108</v>
      </c>
      <c r="B87" t="str">
        <f>_xlfn.LET(_xlpm.x, _xlfn.XLOOKUP(A87,Holidays!A:A,Holidays!B:B,""), IF(_xlpm.x="", "Working Day", _xlpm.x))</f>
        <v>Working Day</v>
      </c>
      <c r="C87" s="2">
        <f t="shared" si="1"/>
        <v>46108</v>
      </c>
    </row>
    <row r="88" spans="1:3" x14ac:dyDescent="0.25">
      <c r="A88" s="78">
        <v>46109</v>
      </c>
      <c r="B88" t="str">
        <f>_xlfn.LET(_xlpm.x, _xlfn.XLOOKUP(A88,Holidays!A:A,Holidays!B:B,""), IF(_xlpm.x="", "Working Day", _xlpm.x))</f>
        <v>Saturday</v>
      </c>
      <c r="C88" s="2">
        <f t="shared" si="1"/>
        <v>46109</v>
      </c>
    </row>
    <row r="89" spans="1:3" x14ac:dyDescent="0.25">
      <c r="A89" s="78">
        <v>46110</v>
      </c>
      <c r="B89" t="str">
        <f>_xlfn.LET(_xlpm.x, _xlfn.XLOOKUP(A89,Holidays!A:A,Holidays!B:B,""), IF(_xlpm.x="", "Working Day", _xlpm.x))</f>
        <v>Sunday</v>
      </c>
      <c r="C89" s="2">
        <f t="shared" si="1"/>
        <v>46110</v>
      </c>
    </row>
    <row r="90" spans="1:3" x14ac:dyDescent="0.25">
      <c r="A90" s="78">
        <v>46111</v>
      </c>
      <c r="B90" t="str">
        <f>_xlfn.LET(_xlpm.x, _xlfn.XLOOKUP(A90,Holidays!A:A,Holidays!B:B,""), IF(_xlpm.x="", "Working Day", _xlpm.x))</f>
        <v>Working Day</v>
      </c>
      <c r="C90" s="2">
        <f t="shared" si="1"/>
        <v>46111</v>
      </c>
    </row>
    <row r="91" spans="1:3" x14ac:dyDescent="0.25">
      <c r="A91" s="78">
        <v>46112</v>
      </c>
      <c r="B91" t="str">
        <f>_xlfn.LET(_xlpm.x, _xlfn.XLOOKUP(A91,Holidays!A:A,Holidays!B:B,""), IF(_xlpm.x="", "Working Day", _xlpm.x))</f>
        <v>NSE Holiday</v>
      </c>
      <c r="C91" s="2">
        <f t="shared" si="1"/>
        <v>46112</v>
      </c>
    </row>
    <row r="92" spans="1:3" x14ac:dyDescent="0.25">
      <c r="A92" s="78">
        <v>46113</v>
      </c>
      <c r="B92" t="str">
        <f>_xlfn.LET(_xlpm.x, _xlfn.XLOOKUP(A92,Holidays!A:A,Holidays!B:B,""), IF(_xlpm.x="", "Working Day", _xlpm.x))</f>
        <v>Working Day</v>
      </c>
      <c r="C92" s="2">
        <f t="shared" si="1"/>
        <v>46113</v>
      </c>
    </row>
    <row r="93" spans="1:3" x14ac:dyDescent="0.25">
      <c r="A93" s="78">
        <v>46114</v>
      </c>
      <c r="B93" t="str">
        <f>_xlfn.LET(_xlpm.x, _xlfn.XLOOKUP(A93,Holidays!A:A,Holidays!B:B,""), IF(_xlpm.x="", "Working Day", _xlpm.x))</f>
        <v>Working Day</v>
      </c>
      <c r="C93" s="2">
        <f t="shared" si="1"/>
        <v>46114</v>
      </c>
    </row>
    <row r="94" spans="1:3" x14ac:dyDescent="0.25">
      <c r="A94" s="78">
        <v>46115</v>
      </c>
      <c r="B94" t="str">
        <f>_xlfn.LET(_xlpm.x, _xlfn.XLOOKUP(A94,Holidays!A:A,Holidays!B:B,""), IF(_xlpm.x="", "Working Day", _xlpm.x))</f>
        <v>NSE Holiday</v>
      </c>
      <c r="C94" s="2">
        <f t="shared" si="1"/>
        <v>46115</v>
      </c>
    </row>
    <row r="95" spans="1:3" x14ac:dyDescent="0.25">
      <c r="A95" s="78">
        <v>46116</v>
      </c>
      <c r="B95" t="str">
        <f>_xlfn.LET(_xlpm.x, _xlfn.XLOOKUP(A95,Holidays!A:A,Holidays!B:B,""), IF(_xlpm.x="", "Working Day", _xlpm.x))</f>
        <v>Saturday</v>
      </c>
      <c r="C95" s="2">
        <f t="shared" si="1"/>
        <v>46116</v>
      </c>
    </row>
    <row r="96" spans="1:3" x14ac:dyDescent="0.25">
      <c r="A96" s="78">
        <v>46117</v>
      </c>
      <c r="B96" t="str">
        <f>_xlfn.LET(_xlpm.x, _xlfn.XLOOKUP(A96,Holidays!A:A,Holidays!B:B,""), IF(_xlpm.x="", "Working Day", _xlpm.x))</f>
        <v>Sunday</v>
      </c>
      <c r="C96" s="2">
        <f t="shared" si="1"/>
        <v>46117</v>
      </c>
    </row>
    <row r="97" spans="1:3" x14ac:dyDescent="0.25">
      <c r="A97" s="78">
        <v>46118</v>
      </c>
      <c r="B97" t="str">
        <f>_xlfn.LET(_xlpm.x, _xlfn.XLOOKUP(A97,Holidays!A:A,Holidays!B:B,""), IF(_xlpm.x="", "Working Day", _xlpm.x))</f>
        <v>Working Day</v>
      </c>
      <c r="C97" s="2">
        <f t="shared" si="1"/>
        <v>46118</v>
      </c>
    </row>
    <row r="98" spans="1:3" x14ac:dyDescent="0.25">
      <c r="A98" s="78">
        <v>46119</v>
      </c>
      <c r="B98" t="str">
        <f>_xlfn.LET(_xlpm.x, _xlfn.XLOOKUP(A98,Holidays!A:A,Holidays!B:B,""), IF(_xlpm.x="", "Working Day", _xlpm.x))</f>
        <v>Working Day</v>
      </c>
      <c r="C98" s="2">
        <f t="shared" si="1"/>
        <v>46119</v>
      </c>
    </row>
    <row r="99" spans="1:3" x14ac:dyDescent="0.25">
      <c r="A99" s="78">
        <v>46120</v>
      </c>
      <c r="B99" t="str">
        <f>_xlfn.LET(_xlpm.x, _xlfn.XLOOKUP(A99,Holidays!A:A,Holidays!B:B,""), IF(_xlpm.x="", "Working Day", _xlpm.x))</f>
        <v>Working Day</v>
      </c>
      <c r="C99" s="2">
        <f t="shared" si="1"/>
        <v>46120</v>
      </c>
    </row>
    <row r="100" spans="1:3" x14ac:dyDescent="0.25">
      <c r="A100" s="78">
        <v>46121</v>
      </c>
      <c r="B100" t="str">
        <f>_xlfn.LET(_xlpm.x, _xlfn.XLOOKUP(A100,Holidays!A:A,Holidays!B:B,""), IF(_xlpm.x="", "Working Day", _xlpm.x))</f>
        <v>Working Day</v>
      </c>
      <c r="C100" s="2">
        <f t="shared" si="1"/>
        <v>46121</v>
      </c>
    </row>
    <row r="101" spans="1:3" x14ac:dyDescent="0.25">
      <c r="A101" s="78">
        <v>46122</v>
      </c>
      <c r="B101" t="str">
        <f>_xlfn.LET(_xlpm.x, _xlfn.XLOOKUP(A101,Holidays!A:A,Holidays!B:B,""), IF(_xlpm.x="", "Working Day", _xlpm.x))</f>
        <v>Working Day</v>
      </c>
      <c r="C101" s="2">
        <f t="shared" si="1"/>
        <v>46122</v>
      </c>
    </row>
    <row r="102" spans="1:3" x14ac:dyDescent="0.25">
      <c r="A102" s="78">
        <v>46123</v>
      </c>
      <c r="B102" t="str">
        <f>_xlfn.LET(_xlpm.x, _xlfn.XLOOKUP(A102,Holidays!A:A,Holidays!B:B,""), IF(_xlpm.x="", "Working Day", _xlpm.x))</f>
        <v>Saturday</v>
      </c>
      <c r="C102" s="2">
        <f t="shared" si="1"/>
        <v>46123</v>
      </c>
    </row>
    <row r="103" spans="1:3" x14ac:dyDescent="0.25">
      <c r="A103" s="78">
        <v>46124</v>
      </c>
      <c r="B103" t="str">
        <f>_xlfn.LET(_xlpm.x, _xlfn.XLOOKUP(A103,Holidays!A:A,Holidays!B:B,""), IF(_xlpm.x="", "Working Day", _xlpm.x))</f>
        <v>Sunday</v>
      </c>
      <c r="C103" s="2">
        <f t="shared" si="1"/>
        <v>46124</v>
      </c>
    </row>
    <row r="104" spans="1:3" x14ac:dyDescent="0.25">
      <c r="A104" s="78">
        <v>46125</v>
      </c>
      <c r="B104" t="str">
        <f>_xlfn.LET(_xlpm.x, _xlfn.XLOOKUP(A104,Holidays!A:A,Holidays!B:B,""), IF(_xlpm.x="", "Working Day", _xlpm.x))</f>
        <v>Working Day</v>
      </c>
      <c r="C104" s="2">
        <f t="shared" si="1"/>
        <v>46125</v>
      </c>
    </row>
    <row r="105" spans="1:3" x14ac:dyDescent="0.25">
      <c r="A105" s="78">
        <v>46126</v>
      </c>
      <c r="B105" t="str">
        <f>_xlfn.LET(_xlpm.x, _xlfn.XLOOKUP(A105,Holidays!A:A,Holidays!B:B,""), IF(_xlpm.x="", "Working Day", _xlpm.x))</f>
        <v>NSE Holiday</v>
      </c>
      <c r="C105" s="2">
        <f t="shared" si="1"/>
        <v>46126</v>
      </c>
    </row>
    <row r="106" spans="1:3" x14ac:dyDescent="0.25">
      <c r="A106" s="78">
        <v>46127</v>
      </c>
      <c r="B106" t="str">
        <f>_xlfn.LET(_xlpm.x, _xlfn.XLOOKUP(A106,Holidays!A:A,Holidays!B:B,""), IF(_xlpm.x="", "Working Day", _xlpm.x))</f>
        <v>Working Day</v>
      </c>
      <c r="C106" s="2">
        <f t="shared" si="1"/>
        <v>46127</v>
      </c>
    </row>
    <row r="107" spans="1:3" x14ac:dyDescent="0.25">
      <c r="A107" s="78">
        <v>46128</v>
      </c>
      <c r="B107" t="str">
        <f>_xlfn.LET(_xlpm.x, _xlfn.XLOOKUP(A107,Holidays!A:A,Holidays!B:B,""), IF(_xlpm.x="", "Working Day", _xlpm.x))</f>
        <v>Working Day</v>
      </c>
      <c r="C107" s="2">
        <f t="shared" si="1"/>
        <v>46128</v>
      </c>
    </row>
    <row r="108" spans="1:3" x14ac:dyDescent="0.25">
      <c r="A108" s="78">
        <v>46129</v>
      </c>
      <c r="B108" t="str">
        <f>_xlfn.LET(_xlpm.x, _xlfn.XLOOKUP(A108,Holidays!A:A,Holidays!B:B,""), IF(_xlpm.x="", "Working Day", _xlpm.x))</f>
        <v>Working Day</v>
      </c>
      <c r="C108" s="2">
        <f t="shared" si="1"/>
        <v>46129</v>
      </c>
    </row>
    <row r="109" spans="1:3" x14ac:dyDescent="0.25">
      <c r="A109" s="78">
        <v>46130</v>
      </c>
      <c r="B109" t="str">
        <f>_xlfn.LET(_xlpm.x, _xlfn.XLOOKUP(A109,Holidays!A:A,Holidays!B:B,""), IF(_xlpm.x="", "Working Day", _xlpm.x))</f>
        <v>Saturday</v>
      </c>
      <c r="C109" s="2">
        <f t="shared" si="1"/>
        <v>46130</v>
      </c>
    </row>
    <row r="110" spans="1:3" x14ac:dyDescent="0.25">
      <c r="A110" s="78">
        <v>46131</v>
      </c>
      <c r="B110" t="str">
        <f>_xlfn.LET(_xlpm.x, _xlfn.XLOOKUP(A110,Holidays!A:A,Holidays!B:B,""), IF(_xlpm.x="", "Working Day", _xlpm.x))</f>
        <v>Sunday</v>
      </c>
      <c r="C110" s="2">
        <f t="shared" si="1"/>
        <v>46131</v>
      </c>
    </row>
    <row r="111" spans="1:3" x14ac:dyDescent="0.25">
      <c r="A111" s="78">
        <v>46132</v>
      </c>
      <c r="B111" t="str">
        <f>_xlfn.LET(_xlpm.x, _xlfn.XLOOKUP(A111,Holidays!A:A,Holidays!B:B,""), IF(_xlpm.x="", "Working Day", _xlpm.x))</f>
        <v>Working Day</v>
      </c>
      <c r="C111" s="2">
        <f t="shared" si="1"/>
        <v>46132</v>
      </c>
    </row>
    <row r="112" spans="1:3" x14ac:dyDescent="0.25">
      <c r="A112" s="78">
        <v>46133</v>
      </c>
      <c r="B112" t="str">
        <f>_xlfn.LET(_xlpm.x, _xlfn.XLOOKUP(A112,Holidays!A:A,Holidays!B:B,""), IF(_xlpm.x="", "Working Day", _xlpm.x))</f>
        <v>Working Day</v>
      </c>
      <c r="C112" s="2">
        <f t="shared" si="1"/>
        <v>46133</v>
      </c>
    </row>
    <row r="113" spans="1:3" x14ac:dyDescent="0.25">
      <c r="A113" s="78">
        <v>46134</v>
      </c>
      <c r="B113" t="str">
        <f>_xlfn.LET(_xlpm.x, _xlfn.XLOOKUP(A113,Holidays!A:A,Holidays!B:B,""), IF(_xlpm.x="", "Working Day", _xlpm.x))</f>
        <v>Working Day</v>
      </c>
      <c r="C113" s="2">
        <f t="shared" si="1"/>
        <v>46134</v>
      </c>
    </row>
    <row r="114" spans="1:3" x14ac:dyDescent="0.25">
      <c r="A114" s="78">
        <v>46135</v>
      </c>
      <c r="B114" t="str">
        <f>_xlfn.LET(_xlpm.x, _xlfn.XLOOKUP(A114,Holidays!A:A,Holidays!B:B,""), IF(_xlpm.x="", "Working Day", _xlpm.x))</f>
        <v>Working Day</v>
      </c>
      <c r="C114" s="2">
        <f t="shared" si="1"/>
        <v>46135</v>
      </c>
    </row>
    <row r="115" spans="1:3" x14ac:dyDescent="0.25">
      <c r="A115" s="78">
        <v>46136</v>
      </c>
      <c r="B115" t="str">
        <f>_xlfn.LET(_xlpm.x, _xlfn.XLOOKUP(A115,Holidays!A:A,Holidays!B:B,""), IF(_xlpm.x="", "Working Day", _xlpm.x))</f>
        <v>Working Day</v>
      </c>
      <c r="C115" s="2">
        <f t="shared" si="1"/>
        <v>46136</v>
      </c>
    </row>
    <row r="116" spans="1:3" x14ac:dyDescent="0.25">
      <c r="A116" s="78">
        <v>46137</v>
      </c>
      <c r="B116" t="str">
        <f>_xlfn.LET(_xlpm.x, _xlfn.XLOOKUP(A116,Holidays!A:A,Holidays!B:B,""), IF(_xlpm.x="", "Working Day", _xlpm.x))</f>
        <v>Saturday</v>
      </c>
      <c r="C116" s="2">
        <f t="shared" si="1"/>
        <v>46137</v>
      </c>
    </row>
    <row r="117" spans="1:3" x14ac:dyDescent="0.25">
      <c r="A117" s="78">
        <v>46138</v>
      </c>
      <c r="B117" t="str">
        <f>_xlfn.LET(_xlpm.x, _xlfn.XLOOKUP(A117,Holidays!A:A,Holidays!B:B,""), IF(_xlpm.x="", "Working Day", _xlpm.x))</f>
        <v>Sunday</v>
      </c>
      <c r="C117" s="2">
        <f t="shared" si="1"/>
        <v>46138</v>
      </c>
    </row>
    <row r="118" spans="1:3" x14ac:dyDescent="0.25">
      <c r="A118" s="78">
        <v>46139</v>
      </c>
      <c r="B118" t="str">
        <f>_xlfn.LET(_xlpm.x, _xlfn.XLOOKUP(A118,Holidays!A:A,Holidays!B:B,""), IF(_xlpm.x="", "Working Day", _xlpm.x))</f>
        <v>Working Day</v>
      </c>
      <c r="C118" s="2">
        <f t="shared" si="1"/>
        <v>46139</v>
      </c>
    </row>
    <row r="119" spans="1:3" x14ac:dyDescent="0.25">
      <c r="A119" s="78">
        <v>46140</v>
      </c>
      <c r="B119" t="str">
        <f>_xlfn.LET(_xlpm.x, _xlfn.XLOOKUP(A119,Holidays!A:A,Holidays!B:B,""), IF(_xlpm.x="", "Working Day", _xlpm.x))</f>
        <v>Working Day</v>
      </c>
      <c r="C119" s="2">
        <f t="shared" si="1"/>
        <v>46140</v>
      </c>
    </row>
    <row r="120" spans="1:3" x14ac:dyDescent="0.25">
      <c r="A120" s="78">
        <v>46141</v>
      </c>
      <c r="B120" t="str">
        <f>_xlfn.LET(_xlpm.x, _xlfn.XLOOKUP(A120,Holidays!A:A,Holidays!B:B,""), IF(_xlpm.x="", "Working Day", _xlpm.x))</f>
        <v>Working Day</v>
      </c>
      <c r="C120" s="2">
        <f t="shared" si="1"/>
        <v>46141</v>
      </c>
    </row>
    <row r="121" spans="1:3" x14ac:dyDescent="0.25">
      <c r="A121" s="78">
        <v>46142</v>
      </c>
      <c r="B121" t="str">
        <f>_xlfn.LET(_xlpm.x, _xlfn.XLOOKUP(A121,Holidays!A:A,Holidays!B:B,""), IF(_xlpm.x="", "Working Day", _xlpm.x))</f>
        <v>Working Day</v>
      </c>
      <c r="C121" s="2">
        <f t="shared" si="1"/>
        <v>46142</v>
      </c>
    </row>
    <row r="122" spans="1:3" x14ac:dyDescent="0.25">
      <c r="A122" s="78">
        <v>46143</v>
      </c>
      <c r="B122" t="str">
        <f>_xlfn.LET(_xlpm.x, _xlfn.XLOOKUP(A122,Holidays!A:A,Holidays!B:B,""), IF(_xlpm.x="", "Working Day", _xlpm.x))</f>
        <v>NSE Holiday</v>
      </c>
      <c r="C122" s="2">
        <f t="shared" si="1"/>
        <v>46143</v>
      </c>
    </row>
    <row r="123" spans="1:3" x14ac:dyDescent="0.25">
      <c r="A123" s="78">
        <v>46144</v>
      </c>
      <c r="B123" t="str">
        <f>_xlfn.LET(_xlpm.x, _xlfn.XLOOKUP(A123,Holidays!A:A,Holidays!B:B,""), IF(_xlpm.x="", "Working Day", _xlpm.x))</f>
        <v>Saturday</v>
      </c>
      <c r="C123" s="2">
        <f t="shared" si="1"/>
        <v>46144</v>
      </c>
    </row>
    <row r="124" spans="1:3" x14ac:dyDescent="0.25">
      <c r="A124" s="78">
        <v>46145</v>
      </c>
      <c r="B124" t="str">
        <f>_xlfn.LET(_xlpm.x, _xlfn.XLOOKUP(A124,Holidays!A:A,Holidays!B:B,""), IF(_xlpm.x="", "Working Day", _xlpm.x))</f>
        <v>Sunday</v>
      </c>
      <c r="C124" s="2">
        <f t="shared" si="1"/>
        <v>46145</v>
      </c>
    </row>
    <row r="125" spans="1:3" x14ac:dyDescent="0.25">
      <c r="A125" s="78">
        <v>46146</v>
      </c>
      <c r="B125" t="str">
        <f>_xlfn.LET(_xlpm.x, _xlfn.XLOOKUP(A125,Holidays!A:A,Holidays!B:B,""), IF(_xlpm.x="", "Working Day", _xlpm.x))</f>
        <v>Working Day</v>
      </c>
      <c r="C125" s="2">
        <f t="shared" si="1"/>
        <v>46146</v>
      </c>
    </row>
    <row r="126" spans="1:3" x14ac:dyDescent="0.25">
      <c r="A126" s="78">
        <v>46147</v>
      </c>
      <c r="B126" t="str">
        <f>_xlfn.LET(_xlpm.x, _xlfn.XLOOKUP(A126,Holidays!A:A,Holidays!B:B,""), IF(_xlpm.x="", "Working Day", _xlpm.x))</f>
        <v>Working Day</v>
      </c>
      <c r="C126" s="2">
        <f t="shared" si="1"/>
        <v>46147</v>
      </c>
    </row>
    <row r="127" spans="1:3" x14ac:dyDescent="0.25">
      <c r="A127" s="78">
        <v>46148</v>
      </c>
      <c r="B127" t="str">
        <f>_xlfn.LET(_xlpm.x, _xlfn.XLOOKUP(A127,Holidays!A:A,Holidays!B:B,""), IF(_xlpm.x="", "Working Day", _xlpm.x))</f>
        <v>Working Day</v>
      </c>
      <c r="C127" s="2">
        <f t="shared" si="1"/>
        <v>46148</v>
      </c>
    </row>
    <row r="128" spans="1:3" x14ac:dyDescent="0.25">
      <c r="A128" s="78">
        <v>46149</v>
      </c>
      <c r="B128" t="str">
        <f>_xlfn.LET(_xlpm.x, _xlfn.XLOOKUP(A128,Holidays!A:A,Holidays!B:B,""), IF(_xlpm.x="", "Working Day", _xlpm.x))</f>
        <v>Working Day</v>
      </c>
      <c r="C128" s="2">
        <f t="shared" si="1"/>
        <v>46149</v>
      </c>
    </row>
    <row r="129" spans="1:3" x14ac:dyDescent="0.25">
      <c r="A129" s="78">
        <v>46150</v>
      </c>
      <c r="B129" t="str">
        <f>_xlfn.LET(_xlpm.x, _xlfn.XLOOKUP(A129,Holidays!A:A,Holidays!B:B,""), IF(_xlpm.x="", "Working Day", _xlpm.x))</f>
        <v>Working Day</v>
      </c>
      <c r="C129" s="2">
        <f t="shared" si="1"/>
        <v>46150</v>
      </c>
    </row>
    <row r="130" spans="1:3" x14ac:dyDescent="0.25">
      <c r="A130" s="78">
        <v>46151</v>
      </c>
      <c r="B130" t="str">
        <f>_xlfn.LET(_xlpm.x, _xlfn.XLOOKUP(A130,Holidays!A:A,Holidays!B:B,""), IF(_xlpm.x="", "Working Day", _xlpm.x))</f>
        <v>Saturday</v>
      </c>
      <c r="C130" s="2">
        <f t="shared" si="1"/>
        <v>46151</v>
      </c>
    </row>
    <row r="131" spans="1:3" x14ac:dyDescent="0.25">
      <c r="A131" s="78">
        <v>46152</v>
      </c>
      <c r="B131" t="str">
        <f>_xlfn.LET(_xlpm.x, _xlfn.XLOOKUP(A131,Holidays!A:A,Holidays!B:B,""), IF(_xlpm.x="", "Working Day", _xlpm.x))</f>
        <v>Sunday</v>
      </c>
      <c r="C131" s="2">
        <f t="shared" ref="C131:C194" si="2">INT(A131)</f>
        <v>46152</v>
      </c>
    </row>
    <row r="132" spans="1:3" x14ac:dyDescent="0.25">
      <c r="A132" s="78">
        <v>46153</v>
      </c>
      <c r="B132" t="str">
        <f>_xlfn.LET(_xlpm.x, _xlfn.XLOOKUP(A132,Holidays!A:A,Holidays!B:B,""), IF(_xlpm.x="", "Working Day", _xlpm.x))</f>
        <v>Working Day</v>
      </c>
      <c r="C132" s="2">
        <f t="shared" si="2"/>
        <v>46153</v>
      </c>
    </row>
    <row r="133" spans="1:3" x14ac:dyDescent="0.25">
      <c r="A133" s="78">
        <v>46154</v>
      </c>
      <c r="B133" t="str">
        <f>_xlfn.LET(_xlpm.x, _xlfn.XLOOKUP(A133,Holidays!A:A,Holidays!B:B,""), IF(_xlpm.x="", "Working Day", _xlpm.x))</f>
        <v>Working Day</v>
      </c>
      <c r="C133" s="2">
        <f t="shared" si="2"/>
        <v>46154</v>
      </c>
    </row>
    <row r="134" spans="1:3" x14ac:dyDescent="0.25">
      <c r="A134" s="78">
        <v>46155</v>
      </c>
      <c r="B134" t="str">
        <f>_xlfn.LET(_xlpm.x, _xlfn.XLOOKUP(A134,Holidays!A:A,Holidays!B:B,""), IF(_xlpm.x="", "Working Day", _xlpm.x))</f>
        <v>Working Day</v>
      </c>
      <c r="C134" s="2">
        <f t="shared" si="2"/>
        <v>46155</v>
      </c>
    </row>
    <row r="135" spans="1:3" x14ac:dyDescent="0.25">
      <c r="A135" s="78">
        <v>46156</v>
      </c>
      <c r="B135" t="str">
        <f>_xlfn.LET(_xlpm.x, _xlfn.XLOOKUP(A135,Holidays!A:A,Holidays!B:B,""), IF(_xlpm.x="", "Working Day", _xlpm.x))</f>
        <v>Working Day</v>
      </c>
      <c r="C135" s="2">
        <f t="shared" si="2"/>
        <v>46156</v>
      </c>
    </row>
    <row r="136" spans="1:3" x14ac:dyDescent="0.25">
      <c r="A136" s="78">
        <v>46157</v>
      </c>
      <c r="B136" t="str">
        <f>_xlfn.LET(_xlpm.x, _xlfn.XLOOKUP(A136,Holidays!A:A,Holidays!B:B,""), IF(_xlpm.x="", "Working Day", _xlpm.x))</f>
        <v>Working Day</v>
      </c>
      <c r="C136" s="2">
        <f t="shared" si="2"/>
        <v>46157</v>
      </c>
    </row>
    <row r="137" spans="1:3" x14ac:dyDescent="0.25">
      <c r="A137" s="78">
        <v>46158</v>
      </c>
      <c r="B137" t="str">
        <f>_xlfn.LET(_xlpm.x, _xlfn.XLOOKUP(A137,Holidays!A:A,Holidays!B:B,""), IF(_xlpm.x="", "Working Day", _xlpm.x))</f>
        <v>Saturday</v>
      </c>
      <c r="C137" s="2">
        <f t="shared" si="2"/>
        <v>46158</v>
      </c>
    </row>
    <row r="138" spans="1:3" x14ac:dyDescent="0.25">
      <c r="A138" s="78">
        <v>46159</v>
      </c>
      <c r="B138" t="str">
        <f>_xlfn.LET(_xlpm.x, _xlfn.XLOOKUP(A138,Holidays!A:A,Holidays!B:B,""), IF(_xlpm.x="", "Working Day", _xlpm.x))</f>
        <v>Sunday</v>
      </c>
      <c r="C138" s="2">
        <f t="shared" si="2"/>
        <v>46159</v>
      </c>
    </row>
    <row r="139" spans="1:3" x14ac:dyDescent="0.25">
      <c r="A139" s="78">
        <v>46160</v>
      </c>
      <c r="B139" t="str">
        <f>_xlfn.LET(_xlpm.x, _xlfn.XLOOKUP(A139,Holidays!A:A,Holidays!B:B,""), IF(_xlpm.x="", "Working Day", _xlpm.x))</f>
        <v>Working Day</v>
      </c>
      <c r="C139" s="2">
        <f t="shared" si="2"/>
        <v>46160</v>
      </c>
    </row>
    <row r="140" spans="1:3" x14ac:dyDescent="0.25">
      <c r="A140" s="78">
        <v>46161</v>
      </c>
      <c r="B140" t="str">
        <f>_xlfn.LET(_xlpm.x, _xlfn.XLOOKUP(A140,Holidays!A:A,Holidays!B:B,""), IF(_xlpm.x="", "Working Day", _xlpm.x))</f>
        <v>Working Day</v>
      </c>
      <c r="C140" s="2">
        <f t="shared" si="2"/>
        <v>46161</v>
      </c>
    </row>
    <row r="141" spans="1:3" x14ac:dyDescent="0.25">
      <c r="A141" s="78">
        <v>46162</v>
      </c>
      <c r="B141" t="str">
        <f>_xlfn.LET(_xlpm.x, _xlfn.XLOOKUP(A141,Holidays!A:A,Holidays!B:B,""), IF(_xlpm.x="", "Working Day", _xlpm.x))</f>
        <v>Working Day</v>
      </c>
      <c r="C141" s="2">
        <f t="shared" si="2"/>
        <v>46162</v>
      </c>
    </row>
    <row r="142" spans="1:3" x14ac:dyDescent="0.25">
      <c r="A142" s="78">
        <v>46163</v>
      </c>
      <c r="B142" t="str">
        <f>_xlfn.LET(_xlpm.x, _xlfn.XLOOKUP(A142,Holidays!A:A,Holidays!B:B,""), IF(_xlpm.x="", "Working Day", _xlpm.x))</f>
        <v>Working Day</v>
      </c>
      <c r="C142" s="2">
        <f t="shared" si="2"/>
        <v>46163</v>
      </c>
    </row>
    <row r="143" spans="1:3" x14ac:dyDescent="0.25">
      <c r="A143" s="78">
        <v>46164</v>
      </c>
      <c r="B143" t="str">
        <f>_xlfn.LET(_xlpm.x, _xlfn.XLOOKUP(A143,Holidays!A:A,Holidays!B:B,""), IF(_xlpm.x="", "Working Day", _xlpm.x))</f>
        <v>Working Day</v>
      </c>
      <c r="C143" s="2">
        <f t="shared" si="2"/>
        <v>46164</v>
      </c>
    </row>
    <row r="144" spans="1:3" x14ac:dyDescent="0.25">
      <c r="A144" s="78">
        <v>46165</v>
      </c>
      <c r="B144" t="str">
        <f>_xlfn.LET(_xlpm.x, _xlfn.XLOOKUP(A144,Holidays!A:A,Holidays!B:B,""), IF(_xlpm.x="", "Working Day", _xlpm.x))</f>
        <v>Saturday</v>
      </c>
      <c r="C144" s="2">
        <f t="shared" si="2"/>
        <v>46165</v>
      </c>
    </row>
    <row r="145" spans="1:3" x14ac:dyDescent="0.25">
      <c r="A145" s="78">
        <v>46166</v>
      </c>
      <c r="B145" t="str">
        <f>_xlfn.LET(_xlpm.x, _xlfn.XLOOKUP(A145,Holidays!A:A,Holidays!B:B,""), IF(_xlpm.x="", "Working Day", _xlpm.x))</f>
        <v>Sunday</v>
      </c>
      <c r="C145" s="2">
        <f t="shared" si="2"/>
        <v>46166</v>
      </c>
    </row>
    <row r="146" spans="1:3" x14ac:dyDescent="0.25">
      <c r="A146" s="78">
        <v>46167</v>
      </c>
      <c r="B146" t="str">
        <f>_xlfn.LET(_xlpm.x, _xlfn.XLOOKUP(A146,Holidays!A:A,Holidays!B:B,""), IF(_xlpm.x="", "Working Day", _xlpm.x))</f>
        <v>Working Day</v>
      </c>
      <c r="C146" s="2">
        <f t="shared" si="2"/>
        <v>46167</v>
      </c>
    </row>
    <row r="147" spans="1:3" x14ac:dyDescent="0.25">
      <c r="A147" s="78">
        <v>46168</v>
      </c>
      <c r="B147" t="str">
        <f>_xlfn.LET(_xlpm.x, _xlfn.XLOOKUP(A147,Holidays!A:A,Holidays!B:B,""), IF(_xlpm.x="", "Working Day", _xlpm.x))</f>
        <v>Working Day</v>
      </c>
      <c r="C147" s="2">
        <f t="shared" si="2"/>
        <v>46168</v>
      </c>
    </row>
    <row r="148" spans="1:3" x14ac:dyDescent="0.25">
      <c r="A148" s="78">
        <v>46169</v>
      </c>
      <c r="B148" t="str">
        <f>_xlfn.LET(_xlpm.x, _xlfn.XLOOKUP(A148,Holidays!A:A,Holidays!B:B,""), IF(_xlpm.x="", "Working Day", _xlpm.x))</f>
        <v>Working Day</v>
      </c>
      <c r="C148" s="2">
        <f t="shared" si="2"/>
        <v>46169</v>
      </c>
    </row>
    <row r="149" spans="1:3" x14ac:dyDescent="0.25">
      <c r="A149" s="78">
        <v>46170</v>
      </c>
      <c r="B149" t="str">
        <f>_xlfn.LET(_xlpm.x, _xlfn.XLOOKUP(A149,Holidays!A:A,Holidays!B:B,""), IF(_xlpm.x="", "Working Day", _xlpm.x))</f>
        <v>NSE Holiday</v>
      </c>
      <c r="C149" s="2">
        <f t="shared" si="2"/>
        <v>46170</v>
      </c>
    </row>
    <row r="150" spans="1:3" x14ac:dyDescent="0.25">
      <c r="A150" s="78">
        <v>46171</v>
      </c>
      <c r="B150" t="str">
        <f>_xlfn.LET(_xlpm.x, _xlfn.XLOOKUP(A150,Holidays!A:A,Holidays!B:B,""), IF(_xlpm.x="", "Working Day", _xlpm.x))</f>
        <v>Working Day</v>
      </c>
      <c r="C150" s="2">
        <f t="shared" si="2"/>
        <v>46171</v>
      </c>
    </row>
    <row r="151" spans="1:3" x14ac:dyDescent="0.25">
      <c r="A151" s="78">
        <v>46172</v>
      </c>
      <c r="B151" t="str">
        <f>_xlfn.LET(_xlpm.x, _xlfn.XLOOKUP(A151,Holidays!A:A,Holidays!B:B,""), IF(_xlpm.x="", "Working Day", _xlpm.x))</f>
        <v>Saturday</v>
      </c>
      <c r="C151" s="2">
        <f t="shared" si="2"/>
        <v>46172</v>
      </c>
    </row>
    <row r="152" spans="1:3" x14ac:dyDescent="0.25">
      <c r="A152" s="78">
        <v>46173</v>
      </c>
      <c r="B152" t="str">
        <f>_xlfn.LET(_xlpm.x, _xlfn.XLOOKUP(A152,Holidays!A:A,Holidays!B:B,""), IF(_xlpm.x="", "Working Day", _xlpm.x))</f>
        <v>Sunday</v>
      </c>
      <c r="C152" s="2">
        <f t="shared" si="2"/>
        <v>46173</v>
      </c>
    </row>
    <row r="153" spans="1:3" x14ac:dyDescent="0.25">
      <c r="A153" s="78">
        <v>46174</v>
      </c>
      <c r="B153" t="str">
        <f>_xlfn.LET(_xlpm.x, _xlfn.XLOOKUP(A153,Holidays!A:A,Holidays!B:B,""), IF(_xlpm.x="", "Working Day", _xlpm.x))</f>
        <v>Working Day</v>
      </c>
      <c r="C153" s="2">
        <f t="shared" si="2"/>
        <v>46174</v>
      </c>
    </row>
    <row r="154" spans="1:3" x14ac:dyDescent="0.25">
      <c r="A154" s="78">
        <v>46175</v>
      </c>
      <c r="B154" t="str">
        <f>_xlfn.LET(_xlpm.x, _xlfn.XLOOKUP(A154,Holidays!A:A,Holidays!B:B,""), IF(_xlpm.x="", "Working Day", _xlpm.x))</f>
        <v>Working Day</v>
      </c>
      <c r="C154" s="2">
        <f t="shared" si="2"/>
        <v>46175</v>
      </c>
    </row>
    <row r="155" spans="1:3" x14ac:dyDescent="0.25">
      <c r="A155" s="78">
        <v>46176</v>
      </c>
      <c r="B155" t="str">
        <f>_xlfn.LET(_xlpm.x, _xlfn.XLOOKUP(A155,Holidays!A:A,Holidays!B:B,""), IF(_xlpm.x="", "Working Day", _xlpm.x))</f>
        <v>Working Day</v>
      </c>
      <c r="C155" s="2">
        <f t="shared" si="2"/>
        <v>46176</v>
      </c>
    </row>
    <row r="156" spans="1:3" x14ac:dyDescent="0.25">
      <c r="A156" s="78">
        <v>46177</v>
      </c>
      <c r="B156" t="str">
        <f>_xlfn.LET(_xlpm.x, _xlfn.XLOOKUP(A156,Holidays!A:A,Holidays!B:B,""), IF(_xlpm.x="", "Working Day", _xlpm.x))</f>
        <v>Working Day</v>
      </c>
      <c r="C156" s="2">
        <f t="shared" si="2"/>
        <v>46177</v>
      </c>
    </row>
    <row r="157" spans="1:3" x14ac:dyDescent="0.25">
      <c r="A157" s="78">
        <v>46178</v>
      </c>
      <c r="B157" t="str">
        <f>_xlfn.LET(_xlpm.x, _xlfn.XLOOKUP(A157,Holidays!A:A,Holidays!B:B,""), IF(_xlpm.x="", "Working Day", _xlpm.x))</f>
        <v>Working Day</v>
      </c>
      <c r="C157" s="2">
        <f t="shared" si="2"/>
        <v>46178</v>
      </c>
    </row>
    <row r="158" spans="1:3" x14ac:dyDescent="0.25">
      <c r="A158" s="78">
        <v>46179</v>
      </c>
      <c r="B158" t="str">
        <f>_xlfn.LET(_xlpm.x, _xlfn.XLOOKUP(A158,Holidays!A:A,Holidays!B:B,""), IF(_xlpm.x="", "Working Day", _xlpm.x))</f>
        <v>Saturday</v>
      </c>
      <c r="C158" s="2">
        <f t="shared" si="2"/>
        <v>46179</v>
      </c>
    </row>
    <row r="159" spans="1:3" x14ac:dyDescent="0.25">
      <c r="A159" s="78">
        <v>46180</v>
      </c>
      <c r="B159" t="str">
        <f>_xlfn.LET(_xlpm.x, _xlfn.XLOOKUP(A159,Holidays!A:A,Holidays!B:B,""), IF(_xlpm.x="", "Working Day", _xlpm.x))</f>
        <v>Sunday</v>
      </c>
      <c r="C159" s="2">
        <f t="shared" si="2"/>
        <v>46180</v>
      </c>
    </row>
    <row r="160" spans="1:3" x14ac:dyDescent="0.25">
      <c r="A160" s="78">
        <v>46181</v>
      </c>
      <c r="B160" t="str">
        <f>_xlfn.LET(_xlpm.x, _xlfn.XLOOKUP(A160,Holidays!A:A,Holidays!B:B,""), IF(_xlpm.x="", "Working Day", _xlpm.x))</f>
        <v>Working Day</v>
      </c>
      <c r="C160" s="2">
        <f t="shared" si="2"/>
        <v>46181</v>
      </c>
    </row>
    <row r="161" spans="1:3" x14ac:dyDescent="0.25">
      <c r="A161" s="78">
        <v>46182</v>
      </c>
      <c r="B161" t="str">
        <f>_xlfn.LET(_xlpm.x, _xlfn.XLOOKUP(A161,Holidays!A:A,Holidays!B:B,""), IF(_xlpm.x="", "Working Day", _xlpm.x))</f>
        <v>Working Day</v>
      </c>
      <c r="C161" s="2">
        <f t="shared" si="2"/>
        <v>46182</v>
      </c>
    </row>
    <row r="162" spans="1:3" x14ac:dyDescent="0.25">
      <c r="A162" s="78">
        <v>46183</v>
      </c>
      <c r="B162" t="str">
        <f>_xlfn.LET(_xlpm.x, _xlfn.XLOOKUP(A162,Holidays!A:A,Holidays!B:B,""), IF(_xlpm.x="", "Working Day", _xlpm.x))</f>
        <v>Working Day</v>
      </c>
      <c r="C162" s="2">
        <f t="shared" si="2"/>
        <v>46183</v>
      </c>
    </row>
    <row r="163" spans="1:3" x14ac:dyDescent="0.25">
      <c r="A163" s="78">
        <v>46184</v>
      </c>
      <c r="B163" t="str">
        <f>_xlfn.LET(_xlpm.x, _xlfn.XLOOKUP(A163,Holidays!A:A,Holidays!B:B,""), IF(_xlpm.x="", "Working Day", _xlpm.x))</f>
        <v>Working Day</v>
      </c>
      <c r="C163" s="2">
        <f t="shared" si="2"/>
        <v>46184</v>
      </c>
    </row>
    <row r="164" spans="1:3" x14ac:dyDescent="0.25">
      <c r="A164" s="78">
        <v>46185</v>
      </c>
      <c r="B164" t="str">
        <f>_xlfn.LET(_xlpm.x, _xlfn.XLOOKUP(A164,Holidays!A:A,Holidays!B:B,""), IF(_xlpm.x="", "Working Day", _xlpm.x))</f>
        <v>Working Day</v>
      </c>
      <c r="C164" s="2">
        <f t="shared" si="2"/>
        <v>46185</v>
      </c>
    </row>
    <row r="165" spans="1:3" x14ac:dyDescent="0.25">
      <c r="A165" s="78">
        <v>46186</v>
      </c>
      <c r="B165" t="str">
        <f>_xlfn.LET(_xlpm.x, _xlfn.XLOOKUP(A165,Holidays!A:A,Holidays!B:B,""), IF(_xlpm.x="", "Working Day", _xlpm.x))</f>
        <v>Saturday</v>
      </c>
      <c r="C165" s="2">
        <f t="shared" si="2"/>
        <v>46186</v>
      </c>
    </row>
    <row r="166" spans="1:3" x14ac:dyDescent="0.25">
      <c r="A166" s="78">
        <v>46187</v>
      </c>
      <c r="B166" t="str">
        <f>_xlfn.LET(_xlpm.x, _xlfn.XLOOKUP(A166,Holidays!A:A,Holidays!B:B,""), IF(_xlpm.x="", "Working Day", _xlpm.x))</f>
        <v>Sunday</v>
      </c>
      <c r="C166" s="2">
        <f t="shared" si="2"/>
        <v>46187</v>
      </c>
    </row>
    <row r="167" spans="1:3" x14ac:dyDescent="0.25">
      <c r="A167" s="78">
        <v>46188</v>
      </c>
      <c r="B167" t="str">
        <f>_xlfn.LET(_xlpm.x, _xlfn.XLOOKUP(A167,Holidays!A:A,Holidays!B:B,""), IF(_xlpm.x="", "Working Day", _xlpm.x))</f>
        <v>Working Day</v>
      </c>
      <c r="C167" s="2">
        <f t="shared" si="2"/>
        <v>46188</v>
      </c>
    </row>
    <row r="168" spans="1:3" x14ac:dyDescent="0.25">
      <c r="A168" s="78">
        <v>46189</v>
      </c>
      <c r="B168" t="str">
        <f>_xlfn.LET(_xlpm.x, _xlfn.XLOOKUP(A168,Holidays!A:A,Holidays!B:B,""), IF(_xlpm.x="", "Working Day", _xlpm.x))</f>
        <v>Working Day</v>
      </c>
      <c r="C168" s="2">
        <f t="shared" si="2"/>
        <v>46189</v>
      </c>
    </row>
    <row r="169" spans="1:3" x14ac:dyDescent="0.25">
      <c r="A169" s="78">
        <v>46190</v>
      </c>
      <c r="B169" t="str">
        <f>_xlfn.LET(_xlpm.x, _xlfn.XLOOKUP(A169,Holidays!A:A,Holidays!B:B,""), IF(_xlpm.x="", "Working Day", _xlpm.x))</f>
        <v>Working Day</v>
      </c>
      <c r="C169" s="2">
        <f t="shared" si="2"/>
        <v>46190</v>
      </c>
    </row>
    <row r="170" spans="1:3" x14ac:dyDescent="0.25">
      <c r="A170" s="78">
        <v>46191</v>
      </c>
      <c r="B170" t="str">
        <f>_xlfn.LET(_xlpm.x, _xlfn.XLOOKUP(A170,Holidays!A:A,Holidays!B:B,""), IF(_xlpm.x="", "Working Day", _xlpm.x))</f>
        <v>Working Day</v>
      </c>
      <c r="C170" s="2">
        <f t="shared" si="2"/>
        <v>46191</v>
      </c>
    </row>
    <row r="171" spans="1:3" x14ac:dyDescent="0.25">
      <c r="A171" s="78">
        <v>46192</v>
      </c>
      <c r="B171" t="str">
        <f>_xlfn.LET(_xlpm.x, _xlfn.XLOOKUP(A171,Holidays!A:A,Holidays!B:B,""), IF(_xlpm.x="", "Working Day", _xlpm.x))</f>
        <v>Working Day</v>
      </c>
      <c r="C171" s="2">
        <f t="shared" si="2"/>
        <v>46192</v>
      </c>
    </row>
    <row r="172" spans="1:3" x14ac:dyDescent="0.25">
      <c r="A172" s="78">
        <v>46193</v>
      </c>
      <c r="B172" t="str">
        <f>_xlfn.LET(_xlpm.x, _xlfn.XLOOKUP(A172,Holidays!A:A,Holidays!B:B,""), IF(_xlpm.x="", "Working Day", _xlpm.x))</f>
        <v>Saturday</v>
      </c>
      <c r="C172" s="2">
        <f t="shared" si="2"/>
        <v>46193</v>
      </c>
    </row>
    <row r="173" spans="1:3" x14ac:dyDescent="0.25">
      <c r="A173" s="78">
        <v>46194</v>
      </c>
      <c r="B173" t="str">
        <f>_xlfn.LET(_xlpm.x, _xlfn.XLOOKUP(A173,Holidays!A:A,Holidays!B:B,""), IF(_xlpm.x="", "Working Day", _xlpm.x))</f>
        <v>Sunday</v>
      </c>
      <c r="C173" s="2">
        <f t="shared" si="2"/>
        <v>46194</v>
      </c>
    </row>
    <row r="174" spans="1:3" x14ac:dyDescent="0.25">
      <c r="A174" s="78">
        <v>46195</v>
      </c>
      <c r="B174" t="str">
        <f>_xlfn.LET(_xlpm.x, _xlfn.XLOOKUP(A174,Holidays!A:A,Holidays!B:B,""), IF(_xlpm.x="", "Working Day", _xlpm.x))</f>
        <v>Working Day</v>
      </c>
      <c r="C174" s="2">
        <f t="shared" si="2"/>
        <v>46195</v>
      </c>
    </row>
    <row r="175" spans="1:3" x14ac:dyDescent="0.25">
      <c r="A175" s="78">
        <v>46196</v>
      </c>
      <c r="B175" t="str">
        <f>_xlfn.LET(_xlpm.x, _xlfn.XLOOKUP(A175,Holidays!A:A,Holidays!B:B,""), IF(_xlpm.x="", "Working Day", _xlpm.x))</f>
        <v>Working Day</v>
      </c>
      <c r="C175" s="2">
        <f t="shared" si="2"/>
        <v>46196</v>
      </c>
    </row>
    <row r="176" spans="1:3" x14ac:dyDescent="0.25">
      <c r="A176" s="78">
        <v>46197</v>
      </c>
      <c r="B176" t="str">
        <f>_xlfn.LET(_xlpm.x, _xlfn.XLOOKUP(A176,Holidays!A:A,Holidays!B:B,""), IF(_xlpm.x="", "Working Day", _xlpm.x))</f>
        <v>Working Day</v>
      </c>
      <c r="C176" s="2">
        <f t="shared" si="2"/>
        <v>46197</v>
      </c>
    </row>
    <row r="177" spans="1:3" x14ac:dyDescent="0.25">
      <c r="A177" s="78">
        <v>46198</v>
      </c>
      <c r="B177" t="str">
        <f>_xlfn.LET(_xlpm.x, _xlfn.XLOOKUP(A177,Holidays!A:A,Holidays!B:B,""), IF(_xlpm.x="", "Working Day", _xlpm.x))</f>
        <v>Working Day</v>
      </c>
      <c r="C177" s="2">
        <f t="shared" si="2"/>
        <v>46198</v>
      </c>
    </row>
    <row r="178" spans="1:3" x14ac:dyDescent="0.25">
      <c r="A178" s="78">
        <v>46199</v>
      </c>
      <c r="B178" t="str">
        <f>_xlfn.LET(_xlpm.x, _xlfn.XLOOKUP(A178,Holidays!A:A,Holidays!B:B,""), IF(_xlpm.x="", "Working Day", _xlpm.x))</f>
        <v>NSE Holiday</v>
      </c>
      <c r="C178" s="2">
        <f t="shared" si="2"/>
        <v>46199</v>
      </c>
    </row>
    <row r="179" spans="1:3" x14ac:dyDescent="0.25">
      <c r="A179" s="78">
        <v>46200</v>
      </c>
      <c r="B179" t="str">
        <f>_xlfn.LET(_xlpm.x, _xlfn.XLOOKUP(A179,Holidays!A:A,Holidays!B:B,""), IF(_xlpm.x="", "Working Day", _xlpm.x))</f>
        <v>Saturday</v>
      </c>
      <c r="C179" s="2">
        <f t="shared" si="2"/>
        <v>46200</v>
      </c>
    </row>
    <row r="180" spans="1:3" x14ac:dyDescent="0.25">
      <c r="A180" s="78">
        <v>46201</v>
      </c>
      <c r="B180" t="str">
        <f>_xlfn.LET(_xlpm.x, _xlfn.XLOOKUP(A180,Holidays!A:A,Holidays!B:B,""), IF(_xlpm.x="", "Working Day", _xlpm.x))</f>
        <v>Sunday</v>
      </c>
      <c r="C180" s="2">
        <f t="shared" si="2"/>
        <v>46201</v>
      </c>
    </row>
    <row r="181" spans="1:3" x14ac:dyDescent="0.25">
      <c r="A181" s="78">
        <v>46202</v>
      </c>
      <c r="B181" t="str">
        <f>_xlfn.LET(_xlpm.x, _xlfn.XLOOKUP(A181,Holidays!A:A,Holidays!B:B,""), IF(_xlpm.x="", "Working Day", _xlpm.x))</f>
        <v>Working Day</v>
      </c>
      <c r="C181" s="2">
        <f t="shared" si="2"/>
        <v>46202</v>
      </c>
    </row>
    <row r="182" spans="1:3" x14ac:dyDescent="0.25">
      <c r="A182" s="78">
        <v>46203</v>
      </c>
      <c r="B182" t="str">
        <f>_xlfn.LET(_xlpm.x, _xlfn.XLOOKUP(A182,Holidays!A:A,Holidays!B:B,""), IF(_xlpm.x="", "Working Day", _xlpm.x))</f>
        <v>Working Day</v>
      </c>
      <c r="C182" s="2">
        <f t="shared" si="2"/>
        <v>46203</v>
      </c>
    </row>
    <row r="183" spans="1:3" x14ac:dyDescent="0.25">
      <c r="A183" s="78">
        <v>46204</v>
      </c>
      <c r="B183" t="str">
        <f>_xlfn.LET(_xlpm.x, _xlfn.XLOOKUP(A183,Holidays!A:A,Holidays!B:B,""), IF(_xlpm.x="", "Working Day", _xlpm.x))</f>
        <v>Working Day</v>
      </c>
      <c r="C183" s="2">
        <f t="shared" si="2"/>
        <v>46204</v>
      </c>
    </row>
    <row r="184" spans="1:3" x14ac:dyDescent="0.25">
      <c r="A184" s="78">
        <v>46205</v>
      </c>
      <c r="B184" t="str">
        <f>_xlfn.LET(_xlpm.x, _xlfn.XLOOKUP(A184,Holidays!A:A,Holidays!B:B,""), IF(_xlpm.x="", "Working Day", _xlpm.x))</f>
        <v>Working Day</v>
      </c>
      <c r="C184" s="2">
        <f t="shared" si="2"/>
        <v>46205</v>
      </c>
    </row>
    <row r="185" spans="1:3" x14ac:dyDescent="0.25">
      <c r="A185" s="78">
        <v>46206</v>
      </c>
      <c r="B185" t="str">
        <f>_xlfn.LET(_xlpm.x, _xlfn.XLOOKUP(A185,Holidays!A:A,Holidays!B:B,""), IF(_xlpm.x="", "Working Day", _xlpm.x))</f>
        <v>Working Day</v>
      </c>
      <c r="C185" s="2">
        <f t="shared" si="2"/>
        <v>46206</v>
      </c>
    </row>
    <row r="186" spans="1:3" x14ac:dyDescent="0.25">
      <c r="A186" s="78">
        <v>46207</v>
      </c>
      <c r="B186" t="str">
        <f>_xlfn.LET(_xlpm.x, _xlfn.XLOOKUP(A186,Holidays!A:A,Holidays!B:B,""), IF(_xlpm.x="", "Working Day", _xlpm.x))</f>
        <v>Saturday</v>
      </c>
      <c r="C186" s="2">
        <f t="shared" si="2"/>
        <v>46207</v>
      </c>
    </row>
    <row r="187" spans="1:3" x14ac:dyDescent="0.25">
      <c r="A187" s="78">
        <v>46208</v>
      </c>
      <c r="B187" t="str">
        <f>_xlfn.LET(_xlpm.x, _xlfn.XLOOKUP(A187,Holidays!A:A,Holidays!B:B,""), IF(_xlpm.x="", "Working Day", _xlpm.x))</f>
        <v>Sunday</v>
      </c>
      <c r="C187" s="2">
        <f t="shared" si="2"/>
        <v>46208</v>
      </c>
    </row>
    <row r="188" spans="1:3" x14ac:dyDescent="0.25">
      <c r="A188" s="78">
        <v>46209</v>
      </c>
      <c r="B188" t="str">
        <f>_xlfn.LET(_xlpm.x, _xlfn.XLOOKUP(A188,Holidays!A:A,Holidays!B:B,""), IF(_xlpm.x="", "Working Day", _xlpm.x))</f>
        <v>Working Day</v>
      </c>
      <c r="C188" s="2">
        <f t="shared" si="2"/>
        <v>46209</v>
      </c>
    </row>
    <row r="189" spans="1:3" x14ac:dyDescent="0.25">
      <c r="A189" s="78">
        <v>46210</v>
      </c>
      <c r="B189" t="str">
        <f>_xlfn.LET(_xlpm.x, _xlfn.XLOOKUP(A189,Holidays!A:A,Holidays!B:B,""), IF(_xlpm.x="", "Working Day", _xlpm.x))</f>
        <v>Working Day</v>
      </c>
      <c r="C189" s="2">
        <f t="shared" si="2"/>
        <v>46210</v>
      </c>
    </row>
    <row r="190" spans="1:3" x14ac:dyDescent="0.25">
      <c r="A190" s="78">
        <v>46211</v>
      </c>
      <c r="B190" t="str">
        <f>_xlfn.LET(_xlpm.x, _xlfn.XLOOKUP(A190,Holidays!A:A,Holidays!B:B,""), IF(_xlpm.x="", "Working Day", _xlpm.x))</f>
        <v>Working Day</v>
      </c>
      <c r="C190" s="2">
        <f t="shared" si="2"/>
        <v>46211</v>
      </c>
    </row>
    <row r="191" spans="1:3" x14ac:dyDescent="0.25">
      <c r="A191" s="78">
        <v>46212</v>
      </c>
      <c r="B191" t="str">
        <f>_xlfn.LET(_xlpm.x, _xlfn.XLOOKUP(A191,Holidays!A:A,Holidays!B:B,""), IF(_xlpm.x="", "Working Day", _xlpm.x))</f>
        <v>Working Day</v>
      </c>
      <c r="C191" s="2">
        <f t="shared" si="2"/>
        <v>46212</v>
      </c>
    </row>
    <row r="192" spans="1:3" x14ac:dyDescent="0.25">
      <c r="A192" s="78">
        <v>46213</v>
      </c>
      <c r="B192" t="str">
        <f>_xlfn.LET(_xlpm.x, _xlfn.XLOOKUP(A192,Holidays!A:A,Holidays!B:B,""), IF(_xlpm.x="", "Working Day", _xlpm.x))</f>
        <v>Working Day</v>
      </c>
      <c r="C192" s="2">
        <f t="shared" si="2"/>
        <v>46213</v>
      </c>
    </row>
    <row r="193" spans="1:3" x14ac:dyDescent="0.25">
      <c r="A193" s="78">
        <v>46214</v>
      </c>
      <c r="B193" t="str">
        <f>_xlfn.LET(_xlpm.x, _xlfn.XLOOKUP(A193,Holidays!A:A,Holidays!B:B,""), IF(_xlpm.x="", "Working Day", _xlpm.x))</f>
        <v>Saturday</v>
      </c>
      <c r="C193" s="2">
        <f t="shared" si="2"/>
        <v>46214</v>
      </c>
    </row>
    <row r="194" spans="1:3" x14ac:dyDescent="0.25">
      <c r="A194" s="78">
        <v>46215</v>
      </c>
      <c r="B194" t="str">
        <f>_xlfn.LET(_xlpm.x, _xlfn.XLOOKUP(A194,Holidays!A:A,Holidays!B:B,""), IF(_xlpm.x="", "Working Day", _xlpm.x))</f>
        <v>Sunday</v>
      </c>
      <c r="C194" s="2">
        <f t="shared" si="2"/>
        <v>46215</v>
      </c>
    </row>
    <row r="195" spans="1:3" x14ac:dyDescent="0.25">
      <c r="A195" s="78">
        <v>46216</v>
      </c>
      <c r="B195" t="str">
        <f>_xlfn.LET(_xlpm.x, _xlfn.XLOOKUP(A195,Holidays!A:A,Holidays!B:B,""), IF(_xlpm.x="", "Working Day", _xlpm.x))</f>
        <v>Working Day</v>
      </c>
      <c r="C195" s="2">
        <f t="shared" ref="C195:C258" si="3">INT(A195)</f>
        <v>46216</v>
      </c>
    </row>
    <row r="196" spans="1:3" x14ac:dyDescent="0.25">
      <c r="A196" s="78">
        <v>46217</v>
      </c>
      <c r="B196" t="str">
        <f>_xlfn.LET(_xlpm.x, _xlfn.XLOOKUP(A196,Holidays!A:A,Holidays!B:B,""), IF(_xlpm.x="", "Working Day", _xlpm.x))</f>
        <v>Working Day</v>
      </c>
      <c r="C196" s="2">
        <f t="shared" si="3"/>
        <v>46217</v>
      </c>
    </row>
    <row r="197" spans="1:3" x14ac:dyDescent="0.25">
      <c r="A197" s="78">
        <v>46218</v>
      </c>
      <c r="B197" t="str">
        <f>_xlfn.LET(_xlpm.x, _xlfn.XLOOKUP(A197,Holidays!A:A,Holidays!B:B,""), IF(_xlpm.x="", "Working Day", _xlpm.x))</f>
        <v>Working Day</v>
      </c>
      <c r="C197" s="2">
        <f t="shared" si="3"/>
        <v>46218</v>
      </c>
    </row>
    <row r="198" spans="1:3" x14ac:dyDescent="0.25">
      <c r="A198" s="78">
        <v>46219</v>
      </c>
      <c r="B198" t="str">
        <f>_xlfn.LET(_xlpm.x, _xlfn.XLOOKUP(A198,Holidays!A:A,Holidays!B:B,""), IF(_xlpm.x="", "Working Day", _xlpm.x))</f>
        <v>Working Day</v>
      </c>
      <c r="C198" s="2">
        <f t="shared" si="3"/>
        <v>46219</v>
      </c>
    </row>
    <row r="199" spans="1:3" x14ac:dyDescent="0.25">
      <c r="A199" s="78">
        <v>46220</v>
      </c>
      <c r="B199" t="str">
        <f>_xlfn.LET(_xlpm.x, _xlfn.XLOOKUP(A199,Holidays!A:A,Holidays!B:B,""), IF(_xlpm.x="", "Working Day", _xlpm.x))</f>
        <v>Working Day</v>
      </c>
      <c r="C199" s="2">
        <f t="shared" si="3"/>
        <v>46220</v>
      </c>
    </row>
    <row r="200" spans="1:3" x14ac:dyDescent="0.25">
      <c r="A200" s="78">
        <v>46221</v>
      </c>
      <c r="B200" t="str">
        <f>_xlfn.LET(_xlpm.x, _xlfn.XLOOKUP(A200,Holidays!A:A,Holidays!B:B,""), IF(_xlpm.x="", "Working Day", _xlpm.x))</f>
        <v>Saturday</v>
      </c>
      <c r="C200" s="2">
        <f t="shared" si="3"/>
        <v>46221</v>
      </c>
    </row>
    <row r="201" spans="1:3" x14ac:dyDescent="0.25">
      <c r="A201" s="78">
        <v>46222</v>
      </c>
      <c r="B201" t="str">
        <f>_xlfn.LET(_xlpm.x, _xlfn.XLOOKUP(A201,Holidays!A:A,Holidays!B:B,""), IF(_xlpm.x="", "Working Day", _xlpm.x))</f>
        <v>Sunday</v>
      </c>
      <c r="C201" s="2">
        <f t="shared" si="3"/>
        <v>46222</v>
      </c>
    </row>
    <row r="202" spans="1:3" x14ac:dyDescent="0.25">
      <c r="A202" s="78">
        <v>46223</v>
      </c>
      <c r="B202" t="str">
        <f>_xlfn.LET(_xlpm.x, _xlfn.XLOOKUP(A202,Holidays!A:A,Holidays!B:B,""), IF(_xlpm.x="", "Working Day", _xlpm.x))</f>
        <v>Working Day</v>
      </c>
      <c r="C202" s="2">
        <f t="shared" si="3"/>
        <v>46223</v>
      </c>
    </row>
    <row r="203" spans="1:3" x14ac:dyDescent="0.25">
      <c r="A203" s="78">
        <v>46224</v>
      </c>
      <c r="B203" t="str">
        <f>_xlfn.LET(_xlpm.x, _xlfn.XLOOKUP(A203,Holidays!A:A,Holidays!B:B,""), IF(_xlpm.x="", "Working Day", _xlpm.x))</f>
        <v>Working Day</v>
      </c>
      <c r="C203" s="2">
        <f t="shared" si="3"/>
        <v>46224</v>
      </c>
    </row>
    <row r="204" spans="1:3" x14ac:dyDescent="0.25">
      <c r="A204" s="78">
        <v>46225</v>
      </c>
      <c r="B204" t="str">
        <f>_xlfn.LET(_xlpm.x, _xlfn.XLOOKUP(A204,Holidays!A:A,Holidays!B:B,""), IF(_xlpm.x="", "Working Day", _xlpm.x))</f>
        <v>Working Day</v>
      </c>
      <c r="C204" s="2">
        <f t="shared" si="3"/>
        <v>46225</v>
      </c>
    </row>
    <row r="205" spans="1:3" x14ac:dyDescent="0.25">
      <c r="A205" s="78">
        <v>46226</v>
      </c>
      <c r="B205" t="str">
        <f>_xlfn.LET(_xlpm.x, _xlfn.XLOOKUP(A205,Holidays!A:A,Holidays!B:B,""), IF(_xlpm.x="", "Working Day", _xlpm.x))</f>
        <v>Working Day</v>
      </c>
      <c r="C205" s="2">
        <f t="shared" si="3"/>
        <v>46226</v>
      </c>
    </row>
    <row r="206" spans="1:3" x14ac:dyDescent="0.25">
      <c r="A206" s="78">
        <v>46227</v>
      </c>
      <c r="B206" t="str">
        <f>_xlfn.LET(_xlpm.x, _xlfn.XLOOKUP(A206,Holidays!A:A,Holidays!B:B,""), IF(_xlpm.x="", "Working Day", _xlpm.x))</f>
        <v>Working Day</v>
      </c>
      <c r="C206" s="2">
        <f t="shared" si="3"/>
        <v>46227</v>
      </c>
    </row>
    <row r="207" spans="1:3" x14ac:dyDescent="0.25">
      <c r="A207" s="78">
        <v>46228</v>
      </c>
      <c r="B207" t="str">
        <f>_xlfn.LET(_xlpm.x, _xlfn.XLOOKUP(A207,Holidays!A:A,Holidays!B:B,""), IF(_xlpm.x="", "Working Day", _xlpm.x))</f>
        <v>Saturday</v>
      </c>
      <c r="C207" s="2">
        <f t="shared" si="3"/>
        <v>46228</v>
      </c>
    </row>
    <row r="208" spans="1:3" x14ac:dyDescent="0.25">
      <c r="A208" s="78">
        <v>46229</v>
      </c>
      <c r="B208" t="str">
        <f>_xlfn.LET(_xlpm.x, _xlfn.XLOOKUP(A208,Holidays!A:A,Holidays!B:B,""), IF(_xlpm.x="", "Working Day", _xlpm.x))</f>
        <v>Sunday</v>
      </c>
      <c r="C208" s="2">
        <f t="shared" si="3"/>
        <v>46229</v>
      </c>
    </row>
    <row r="209" spans="1:3" x14ac:dyDescent="0.25">
      <c r="A209" s="78">
        <v>46230</v>
      </c>
      <c r="B209" t="str">
        <f>_xlfn.LET(_xlpm.x, _xlfn.XLOOKUP(A209,Holidays!A:A,Holidays!B:B,""), IF(_xlpm.x="", "Working Day", _xlpm.x))</f>
        <v>Working Day</v>
      </c>
      <c r="C209" s="2">
        <f t="shared" si="3"/>
        <v>46230</v>
      </c>
    </row>
    <row r="210" spans="1:3" x14ac:dyDescent="0.25">
      <c r="A210" s="78">
        <v>46231</v>
      </c>
      <c r="B210" t="str">
        <f>_xlfn.LET(_xlpm.x, _xlfn.XLOOKUP(A210,Holidays!A:A,Holidays!B:B,""), IF(_xlpm.x="", "Working Day", _xlpm.x))</f>
        <v>Working Day</v>
      </c>
      <c r="C210" s="2">
        <f t="shared" si="3"/>
        <v>46231</v>
      </c>
    </row>
    <row r="211" spans="1:3" x14ac:dyDescent="0.25">
      <c r="A211" s="78">
        <v>46232</v>
      </c>
      <c r="B211" t="str">
        <f>_xlfn.LET(_xlpm.x, _xlfn.XLOOKUP(A211,Holidays!A:A,Holidays!B:B,""), IF(_xlpm.x="", "Working Day", _xlpm.x))</f>
        <v>Working Day</v>
      </c>
      <c r="C211" s="2">
        <f t="shared" si="3"/>
        <v>46232</v>
      </c>
    </row>
    <row r="212" spans="1:3" x14ac:dyDescent="0.25">
      <c r="A212" s="78">
        <v>46233</v>
      </c>
      <c r="B212" t="str">
        <f>_xlfn.LET(_xlpm.x, _xlfn.XLOOKUP(A212,Holidays!A:A,Holidays!B:B,""), IF(_xlpm.x="", "Working Day", _xlpm.x))</f>
        <v>Working Day</v>
      </c>
      <c r="C212" s="2">
        <f t="shared" si="3"/>
        <v>46233</v>
      </c>
    </row>
    <row r="213" spans="1:3" x14ac:dyDescent="0.25">
      <c r="A213" s="78">
        <v>46234</v>
      </c>
      <c r="B213" t="str">
        <f>_xlfn.LET(_xlpm.x, _xlfn.XLOOKUP(A213,Holidays!A:A,Holidays!B:B,""), IF(_xlpm.x="", "Working Day", _xlpm.x))</f>
        <v>Working Day</v>
      </c>
      <c r="C213" s="2">
        <f t="shared" si="3"/>
        <v>46234</v>
      </c>
    </row>
    <row r="214" spans="1:3" x14ac:dyDescent="0.25">
      <c r="A214" s="78">
        <v>46235</v>
      </c>
      <c r="B214" t="str">
        <f>_xlfn.LET(_xlpm.x, _xlfn.XLOOKUP(A214,Holidays!A:A,Holidays!B:B,""), IF(_xlpm.x="", "Working Day", _xlpm.x))</f>
        <v>Saturday</v>
      </c>
      <c r="C214" s="2">
        <f t="shared" si="3"/>
        <v>46235</v>
      </c>
    </row>
    <row r="215" spans="1:3" x14ac:dyDescent="0.25">
      <c r="A215" s="78">
        <v>46236</v>
      </c>
      <c r="B215" t="str">
        <f>_xlfn.LET(_xlpm.x, _xlfn.XLOOKUP(A215,Holidays!A:A,Holidays!B:B,""), IF(_xlpm.x="", "Working Day", _xlpm.x))</f>
        <v>Sunday</v>
      </c>
      <c r="C215" s="2">
        <f t="shared" si="3"/>
        <v>46236</v>
      </c>
    </row>
    <row r="216" spans="1:3" x14ac:dyDescent="0.25">
      <c r="A216" s="78">
        <v>46237</v>
      </c>
      <c r="B216" t="str">
        <f>_xlfn.LET(_xlpm.x, _xlfn.XLOOKUP(A216,Holidays!A:A,Holidays!B:B,""), IF(_xlpm.x="", "Working Day", _xlpm.x))</f>
        <v>Working Day</v>
      </c>
      <c r="C216" s="2">
        <f t="shared" si="3"/>
        <v>46237</v>
      </c>
    </row>
    <row r="217" spans="1:3" x14ac:dyDescent="0.25">
      <c r="A217" s="78">
        <v>46238</v>
      </c>
      <c r="B217" t="str">
        <f>_xlfn.LET(_xlpm.x, _xlfn.XLOOKUP(A217,Holidays!A:A,Holidays!B:B,""), IF(_xlpm.x="", "Working Day", _xlpm.x))</f>
        <v>Working Day</v>
      </c>
      <c r="C217" s="2">
        <f t="shared" si="3"/>
        <v>46238</v>
      </c>
    </row>
    <row r="218" spans="1:3" x14ac:dyDescent="0.25">
      <c r="A218" s="78">
        <v>46239</v>
      </c>
      <c r="B218" t="str">
        <f>_xlfn.LET(_xlpm.x, _xlfn.XLOOKUP(A218,Holidays!A:A,Holidays!B:B,""), IF(_xlpm.x="", "Working Day", _xlpm.x))</f>
        <v>Working Day</v>
      </c>
      <c r="C218" s="2">
        <f t="shared" si="3"/>
        <v>46239</v>
      </c>
    </row>
    <row r="219" spans="1:3" x14ac:dyDescent="0.25">
      <c r="A219" s="78">
        <v>46240</v>
      </c>
      <c r="B219" t="str">
        <f>_xlfn.LET(_xlpm.x, _xlfn.XLOOKUP(A219,Holidays!A:A,Holidays!B:B,""), IF(_xlpm.x="", "Working Day", _xlpm.x))</f>
        <v>Working Day</v>
      </c>
      <c r="C219" s="2">
        <f t="shared" si="3"/>
        <v>46240</v>
      </c>
    </row>
    <row r="220" spans="1:3" x14ac:dyDescent="0.25">
      <c r="A220" s="78">
        <v>46241</v>
      </c>
      <c r="B220" t="str">
        <f>_xlfn.LET(_xlpm.x, _xlfn.XLOOKUP(A220,Holidays!A:A,Holidays!B:B,""), IF(_xlpm.x="", "Working Day", _xlpm.x))</f>
        <v>Working Day</v>
      </c>
      <c r="C220" s="2">
        <f t="shared" si="3"/>
        <v>46241</v>
      </c>
    </row>
    <row r="221" spans="1:3" x14ac:dyDescent="0.25">
      <c r="A221" s="78">
        <v>46242</v>
      </c>
      <c r="B221" t="str">
        <f>_xlfn.LET(_xlpm.x, _xlfn.XLOOKUP(A221,Holidays!A:A,Holidays!B:B,""), IF(_xlpm.x="", "Working Day", _xlpm.x))</f>
        <v>Saturday</v>
      </c>
      <c r="C221" s="2">
        <f t="shared" si="3"/>
        <v>46242</v>
      </c>
    </row>
    <row r="222" spans="1:3" x14ac:dyDescent="0.25">
      <c r="A222" s="78">
        <v>46243</v>
      </c>
      <c r="B222" t="str">
        <f>_xlfn.LET(_xlpm.x, _xlfn.XLOOKUP(A222,Holidays!A:A,Holidays!B:B,""), IF(_xlpm.x="", "Working Day", _xlpm.x))</f>
        <v>Sunday</v>
      </c>
      <c r="C222" s="2">
        <f t="shared" si="3"/>
        <v>46243</v>
      </c>
    </row>
    <row r="223" spans="1:3" x14ac:dyDescent="0.25">
      <c r="A223" s="78">
        <v>46244</v>
      </c>
      <c r="B223" t="str">
        <f>_xlfn.LET(_xlpm.x, _xlfn.XLOOKUP(A223,Holidays!A:A,Holidays!B:B,""), IF(_xlpm.x="", "Working Day", _xlpm.x))</f>
        <v>Working Day</v>
      </c>
      <c r="C223" s="2">
        <f t="shared" si="3"/>
        <v>46244</v>
      </c>
    </row>
    <row r="224" spans="1:3" x14ac:dyDescent="0.25">
      <c r="A224" s="78">
        <v>46245</v>
      </c>
      <c r="B224" t="str">
        <f>_xlfn.LET(_xlpm.x, _xlfn.XLOOKUP(A224,Holidays!A:A,Holidays!B:B,""), IF(_xlpm.x="", "Working Day", _xlpm.x))</f>
        <v>Working Day</v>
      </c>
      <c r="C224" s="2">
        <f t="shared" si="3"/>
        <v>46245</v>
      </c>
    </row>
    <row r="225" spans="1:3" x14ac:dyDescent="0.25">
      <c r="A225" s="78">
        <v>46246</v>
      </c>
      <c r="B225" t="str">
        <f>_xlfn.LET(_xlpm.x, _xlfn.XLOOKUP(A225,Holidays!A:A,Holidays!B:B,""), IF(_xlpm.x="", "Working Day", _xlpm.x))</f>
        <v>Working Day</v>
      </c>
      <c r="C225" s="2">
        <f t="shared" si="3"/>
        <v>46246</v>
      </c>
    </row>
    <row r="226" spans="1:3" x14ac:dyDescent="0.25">
      <c r="A226" s="78">
        <v>46247</v>
      </c>
      <c r="B226" t="str">
        <f>_xlfn.LET(_xlpm.x, _xlfn.XLOOKUP(A226,Holidays!A:A,Holidays!B:B,""), IF(_xlpm.x="", "Working Day", _xlpm.x))</f>
        <v>Working Day</v>
      </c>
      <c r="C226" s="2">
        <f t="shared" si="3"/>
        <v>46247</v>
      </c>
    </row>
    <row r="227" spans="1:3" x14ac:dyDescent="0.25">
      <c r="A227" s="78">
        <v>46248</v>
      </c>
      <c r="B227" t="str">
        <f>_xlfn.LET(_xlpm.x, _xlfn.XLOOKUP(A227,Holidays!A:A,Holidays!B:B,""), IF(_xlpm.x="", "Working Day", _xlpm.x))</f>
        <v>Working Day</v>
      </c>
      <c r="C227" s="2">
        <f t="shared" si="3"/>
        <v>46248</v>
      </c>
    </row>
    <row r="228" spans="1:3" x14ac:dyDescent="0.25">
      <c r="A228" s="78">
        <v>46249</v>
      </c>
      <c r="B228" t="str">
        <f>_xlfn.LET(_xlpm.x, _xlfn.XLOOKUP(A228,Holidays!A:A,Holidays!B:B,""), IF(_xlpm.x="", "Working Day", _xlpm.x))</f>
        <v>Saturday</v>
      </c>
      <c r="C228" s="2">
        <f t="shared" si="3"/>
        <v>46249</v>
      </c>
    </row>
    <row r="229" spans="1:3" x14ac:dyDescent="0.25">
      <c r="A229" s="78">
        <v>46250</v>
      </c>
      <c r="B229" t="str">
        <f>_xlfn.LET(_xlpm.x, _xlfn.XLOOKUP(A229,Holidays!A:A,Holidays!B:B,""), IF(_xlpm.x="", "Working Day", _xlpm.x))</f>
        <v>Sunday</v>
      </c>
      <c r="C229" s="2">
        <f t="shared" si="3"/>
        <v>46250</v>
      </c>
    </row>
    <row r="230" spans="1:3" x14ac:dyDescent="0.25">
      <c r="A230" s="78">
        <v>46251</v>
      </c>
      <c r="B230" t="str">
        <f>_xlfn.LET(_xlpm.x, _xlfn.XLOOKUP(A230,Holidays!A:A,Holidays!B:B,""), IF(_xlpm.x="", "Working Day", _xlpm.x))</f>
        <v>Working Day</v>
      </c>
      <c r="C230" s="2">
        <f t="shared" si="3"/>
        <v>46251</v>
      </c>
    </row>
    <row r="231" spans="1:3" x14ac:dyDescent="0.25">
      <c r="A231" s="78">
        <v>46252</v>
      </c>
      <c r="B231" t="str">
        <f>_xlfn.LET(_xlpm.x, _xlfn.XLOOKUP(A231,Holidays!A:A,Holidays!B:B,""), IF(_xlpm.x="", "Working Day", _xlpm.x))</f>
        <v>Working Day</v>
      </c>
      <c r="C231" s="2">
        <f t="shared" si="3"/>
        <v>46252</v>
      </c>
    </row>
    <row r="232" spans="1:3" x14ac:dyDescent="0.25">
      <c r="A232" s="78">
        <v>46253</v>
      </c>
      <c r="B232" t="str">
        <f>_xlfn.LET(_xlpm.x, _xlfn.XLOOKUP(A232,Holidays!A:A,Holidays!B:B,""), IF(_xlpm.x="", "Working Day", _xlpm.x))</f>
        <v>Working Day</v>
      </c>
      <c r="C232" s="2">
        <f t="shared" si="3"/>
        <v>46253</v>
      </c>
    </row>
    <row r="233" spans="1:3" x14ac:dyDescent="0.25">
      <c r="A233" s="78">
        <v>46254</v>
      </c>
      <c r="B233" t="str">
        <f>_xlfn.LET(_xlpm.x, _xlfn.XLOOKUP(A233,Holidays!A:A,Holidays!B:B,""), IF(_xlpm.x="", "Working Day", _xlpm.x))</f>
        <v>Working Day</v>
      </c>
      <c r="C233" s="2">
        <f t="shared" si="3"/>
        <v>46254</v>
      </c>
    </row>
    <row r="234" spans="1:3" x14ac:dyDescent="0.25">
      <c r="A234" s="78">
        <v>46255</v>
      </c>
      <c r="B234" t="str">
        <f>_xlfn.LET(_xlpm.x, _xlfn.XLOOKUP(A234,Holidays!A:A,Holidays!B:B,""), IF(_xlpm.x="", "Working Day", _xlpm.x))</f>
        <v>Working Day</v>
      </c>
      <c r="C234" s="2">
        <f t="shared" si="3"/>
        <v>46255</v>
      </c>
    </row>
    <row r="235" spans="1:3" x14ac:dyDescent="0.25">
      <c r="A235" s="78">
        <v>46256</v>
      </c>
      <c r="B235" t="str">
        <f>_xlfn.LET(_xlpm.x, _xlfn.XLOOKUP(A235,Holidays!A:A,Holidays!B:B,""), IF(_xlpm.x="", "Working Day", _xlpm.x))</f>
        <v>Saturday</v>
      </c>
      <c r="C235" s="2">
        <f t="shared" si="3"/>
        <v>46256</v>
      </c>
    </row>
    <row r="236" spans="1:3" x14ac:dyDescent="0.25">
      <c r="A236" s="78">
        <v>46257</v>
      </c>
      <c r="B236" t="str">
        <f>_xlfn.LET(_xlpm.x, _xlfn.XLOOKUP(A236,Holidays!A:A,Holidays!B:B,""), IF(_xlpm.x="", "Working Day", _xlpm.x))</f>
        <v>Sunday</v>
      </c>
      <c r="C236" s="2">
        <f t="shared" si="3"/>
        <v>46257</v>
      </c>
    </row>
    <row r="237" spans="1:3" x14ac:dyDescent="0.25">
      <c r="A237" s="78">
        <v>46258</v>
      </c>
      <c r="B237" t="str">
        <f>_xlfn.LET(_xlpm.x, _xlfn.XLOOKUP(A237,Holidays!A:A,Holidays!B:B,""), IF(_xlpm.x="", "Working Day", _xlpm.x))</f>
        <v>Working Day</v>
      </c>
      <c r="C237" s="2">
        <f t="shared" si="3"/>
        <v>46258</v>
      </c>
    </row>
    <row r="238" spans="1:3" x14ac:dyDescent="0.25">
      <c r="A238" s="78">
        <v>46259</v>
      </c>
      <c r="B238" t="str">
        <f>_xlfn.LET(_xlpm.x, _xlfn.XLOOKUP(A238,Holidays!A:A,Holidays!B:B,""), IF(_xlpm.x="", "Working Day", _xlpm.x))</f>
        <v>Working Day</v>
      </c>
      <c r="C238" s="2">
        <f t="shared" si="3"/>
        <v>46259</v>
      </c>
    </row>
    <row r="239" spans="1:3" x14ac:dyDescent="0.25">
      <c r="A239" s="78">
        <v>46260</v>
      </c>
      <c r="B239" t="str">
        <f>_xlfn.LET(_xlpm.x, _xlfn.XLOOKUP(A239,Holidays!A:A,Holidays!B:B,""), IF(_xlpm.x="", "Working Day", _xlpm.x))</f>
        <v>Working Day</v>
      </c>
      <c r="C239" s="2">
        <f t="shared" si="3"/>
        <v>46260</v>
      </c>
    </row>
    <row r="240" spans="1:3" x14ac:dyDescent="0.25">
      <c r="A240" s="78">
        <v>46261</v>
      </c>
      <c r="B240" t="str">
        <f>_xlfn.LET(_xlpm.x, _xlfn.XLOOKUP(A240,Holidays!A:A,Holidays!B:B,""), IF(_xlpm.x="", "Working Day", _xlpm.x))</f>
        <v>Working Day</v>
      </c>
      <c r="C240" s="2">
        <f t="shared" si="3"/>
        <v>46261</v>
      </c>
    </row>
    <row r="241" spans="1:3" x14ac:dyDescent="0.25">
      <c r="A241" s="78">
        <v>46262</v>
      </c>
      <c r="B241" t="str">
        <f>_xlfn.LET(_xlpm.x, _xlfn.XLOOKUP(A241,Holidays!A:A,Holidays!B:B,""), IF(_xlpm.x="", "Working Day", _xlpm.x))</f>
        <v>Working Day</v>
      </c>
      <c r="C241" s="2">
        <f t="shared" si="3"/>
        <v>46262</v>
      </c>
    </row>
    <row r="242" spans="1:3" x14ac:dyDescent="0.25">
      <c r="A242" s="78">
        <v>46263</v>
      </c>
      <c r="B242" t="str">
        <f>_xlfn.LET(_xlpm.x, _xlfn.XLOOKUP(A242,Holidays!A:A,Holidays!B:B,""), IF(_xlpm.x="", "Working Day", _xlpm.x))</f>
        <v>Saturday</v>
      </c>
      <c r="C242" s="2">
        <f t="shared" si="3"/>
        <v>46263</v>
      </c>
    </row>
    <row r="243" spans="1:3" x14ac:dyDescent="0.25">
      <c r="A243" s="78">
        <v>46264</v>
      </c>
      <c r="B243" t="str">
        <f>_xlfn.LET(_xlpm.x, _xlfn.XLOOKUP(A243,Holidays!A:A,Holidays!B:B,""), IF(_xlpm.x="", "Working Day", _xlpm.x))</f>
        <v>Sunday</v>
      </c>
      <c r="C243" s="2">
        <f t="shared" si="3"/>
        <v>46264</v>
      </c>
    </row>
    <row r="244" spans="1:3" x14ac:dyDescent="0.25">
      <c r="A244" s="78">
        <v>46265</v>
      </c>
      <c r="B244" t="str">
        <f>_xlfn.LET(_xlpm.x, _xlfn.XLOOKUP(A244,Holidays!A:A,Holidays!B:B,""), IF(_xlpm.x="", "Working Day", _xlpm.x))</f>
        <v>Working Day</v>
      </c>
      <c r="C244" s="2">
        <f t="shared" si="3"/>
        <v>46265</v>
      </c>
    </row>
    <row r="245" spans="1:3" x14ac:dyDescent="0.25">
      <c r="A245" s="78">
        <v>46266</v>
      </c>
      <c r="B245" t="str">
        <f>_xlfn.LET(_xlpm.x, _xlfn.XLOOKUP(A245,Holidays!A:A,Holidays!B:B,""), IF(_xlpm.x="", "Working Day", _xlpm.x))</f>
        <v>Working Day</v>
      </c>
      <c r="C245" s="2">
        <f t="shared" si="3"/>
        <v>46266</v>
      </c>
    </row>
    <row r="246" spans="1:3" x14ac:dyDescent="0.25">
      <c r="A246" s="78">
        <v>46267</v>
      </c>
      <c r="B246" t="str">
        <f>_xlfn.LET(_xlpm.x, _xlfn.XLOOKUP(A246,Holidays!A:A,Holidays!B:B,""), IF(_xlpm.x="", "Working Day", _xlpm.x))</f>
        <v>Working Day</v>
      </c>
      <c r="C246" s="2">
        <f t="shared" si="3"/>
        <v>46267</v>
      </c>
    </row>
    <row r="247" spans="1:3" x14ac:dyDescent="0.25">
      <c r="A247" s="78">
        <v>46268</v>
      </c>
      <c r="B247" t="str">
        <f>_xlfn.LET(_xlpm.x, _xlfn.XLOOKUP(A247,Holidays!A:A,Holidays!B:B,""), IF(_xlpm.x="", "Working Day", _xlpm.x))</f>
        <v>Working Day</v>
      </c>
      <c r="C247" s="2">
        <f t="shared" si="3"/>
        <v>46268</v>
      </c>
    </row>
    <row r="248" spans="1:3" x14ac:dyDescent="0.25">
      <c r="A248" s="78">
        <v>46269</v>
      </c>
      <c r="B248" t="str">
        <f>_xlfn.LET(_xlpm.x, _xlfn.XLOOKUP(A248,Holidays!A:A,Holidays!B:B,""), IF(_xlpm.x="", "Working Day", _xlpm.x))</f>
        <v>Working Day</v>
      </c>
      <c r="C248" s="2">
        <f t="shared" si="3"/>
        <v>46269</v>
      </c>
    </row>
    <row r="249" spans="1:3" x14ac:dyDescent="0.25">
      <c r="A249" s="78">
        <v>46270</v>
      </c>
      <c r="B249" t="str">
        <f>_xlfn.LET(_xlpm.x, _xlfn.XLOOKUP(A249,Holidays!A:A,Holidays!B:B,""), IF(_xlpm.x="", "Working Day", _xlpm.x))</f>
        <v>Saturday</v>
      </c>
      <c r="C249" s="2">
        <f t="shared" si="3"/>
        <v>46270</v>
      </c>
    </row>
    <row r="250" spans="1:3" x14ac:dyDescent="0.25">
      <c r="A250" s="78">
        <v>46271</v>
      </c>
      <c r="B250" t="str">
        <f>_xlfn.LET(_xlpm.x, _xlfn.XLOOKUP(A250,Holidays!A:A,Holidays!B:B,""), IF(_xlpm.x="", "Working Day", _xlpm.x))</f>
        <v>Sunday</v>
      </c>
      <c r="C250" s="2">
        <f t="shared" si="3"/>
        <v>46271</v>
      </c>
    </row>
    <row r="251" spans="1:3" x14ac:dyDescent="0.25">
      <c r="A251" s="78">
        <v>46272</v>
      </c>
      <c r="B251" t="str">
        <f>_xlfn.LET(_xlpm.x, _xlfn.XLOOKUP(A251,Holidays!A:A,Holidays!B:B,""), IF(_xlpm.x="", "Working Day", _xlpm.x))</f>
        <v>Working Day</v>
      </c>
      <c r="C251" s="2">
        <f t="shared" si="3"/>
        <v>46272</v>
      </c>
    </row>
    <row r="252" spans="1:3" x14ac:dyDescent="0.25">
      <c r="A252" s="78">
        <v>46273</v>
      </c>
      <c r="B252" t="str">
        <f>_xlfn.LET(_xlpm.x, _xlfn.XLOOKUP(A252,Holidays!A:A,Holidays!B:B,""), IF(_xlpm.x="", "Working Day", _xlpm.x))</f>
        <v>Working Day</v>
      </c>
      <c r="C252" s="2">
        <f t="shared" si="3"/>
        <v>46273</v>
      </c>
    </row>
    <row r="253" spans="1:3" x14ac:dyDescent="0.25">
      <c r="A253" s="78">
        <v>46274</v>
      </c>
      <c r="B253" t="str">
        <f>_xlfn.LET(_xlpm.x, _xlfn.XLOOKUP(A253,Holidays!A:A,Holidays!B:B,""), IF(_xlpm.x="", "Working Day", _xlpm.x))</f>
        <v>Working Day</v>
      </c>
      <c r="C253" s="2">
        <f t="shared" si="3"/>
        <v>46274</v>
      </c>
    </row>
    <row r="254" spans="1:3" x14ac:dyDescent="0.25">
      <c r="A254" s="78">
        <v>46275</v>
      </c>
      <c r="B254" t="str">
        <f>_xlfn.LET(_xlpm.x, _xlfn.XLOOKUP(A254,Holidays!A:A,Holidays!B:B,""), IF(_xlpm.x="", "Working Day", _xlpm.x))</f>
        <v>Working Day</v>
      </c>
      <c r="C254" s="2">
        <f t="shared" si="3"/>
        <v>46275</v>
      </c>
    </row>
    <row r="255" spans="1:3" x14ac:dyDescent="0.25">
      <c r="A255" s="78">
        <v>46276</v>
      </c>
      <c r="B255" t="str">
        <f>_xlfn.LET(_xlpm.x, _xlfn.XLOOKUP(A255,Holidays!A:A,Holidays!B:B,""), IF(_xlpm.x="", "Working Day", _xlpm.x))</f>
        <v>Working Day</v>
      </c>
      <c r="C255" s="2">
        <f t="shared" si="3"/>
        <v>46276</v>
      </c>
    </row>
    <row r="256" spans="1:3" x14ac:dyDescent="0.25">
      <c r="A256" s="78">
        <v>46277</v>
      </c>
      <c r="B256" t="str">
        <f>_xlfn.LET(_xlpm.x, _xlfn.XLOOKUP(A256,Holidays!A:A,Holidays!B:B,""), IF(_xlpm.x="", "Working Day", _xlpm.x))</f>
        <v>Saturday</v>
      </c>
      <c r="C256" s="2">
        <f t="shared" si="3"/>
        <v>46277</v>
      </c>
    </row>
    <row r="257" spans="1:3" x14ac:dyDescent="0.25">
      <c r="A257" s="78">
        <v>46278</v>
      </c>
      <c r="B257" t="str">
        <f>_xlfn.LET(_xlpm.x, _xlfn.XLOOKUP(A257,Holidays!A:A,Holidays!B:B,""), IF(_xlpm.x="", "Working Day", _xlpm.x))</f>
        <v>Sunday</v>
      </c>
      <c r="C257" s="2">
        <f t="shared" si="3"/>
        <v>46278</v>
      </c>
    </row>
    <row r="258" spans="1:3" x14ac:dyDescent="0.25">
      <c r="A258" s="78">
        <v>46279</v>
      </c>
      <c r="B258" t="str">
        <f>_xlfn.LET(_xlpm.x, _xlfn.XLOOKUP(A258,Holidays!A:A,Holidays!B:B,""), IF(_xlpm.x="", "Working Day", _xlpm.x))</f>
        <v>NSE Holiday</v>
      </c>
      <c r="C258" s="2">
        <f t="shared" si="3"/>
        <v>46279</v>
      </c>
    </row>
    <row r="259" spans="1:3" x14ac:dyDescent="0.25">
      <c r="A259" s="78">
        <v>46280</v>
      </c>
      <c r="B259" t="str">
        <f>_xlfn.LET(_xlpm.x, _xlfn.XLOOKUP(A259,Holidays!A:A,Holidays!B:B,""), IF(_xlpm.x="", "Working Day", _xlpm.x))</f>
        <v>Working Day</v>
      </c>
      <c r="C259" s="2">
        <f t="shared" ref="C259:C322" si="4">INT(A259)</f>
        <v>46280</v>
      </c>
    </row>
    <row r="260" spans="1:3" x14ac:dyDescent="0.25">
      <c r="A260" s="78">
        <v>46281</v>
      </c>
      <c r="B260" t="str">
        <f>_xlfn.LET(_xlpm.x, _xlfn.XLOOKUP(A260,Holidays!A:A,Holidays!B:B,""), IF(_xlpm.x="", "Working Day", _xlpm.x))</f>
        <v>Working Day</v>
      </c>
      <c r="C260" s="2">
        <f t="shared" si="4"/>
        <v>46281</v>
      </c>
    </row>
    <row r="261" spans="1:3" x14ac:dyDescent="0.25">
      <c r="A261" s="78">
        <v>46282</v>
      </c>
      <c r="B261" t="str">
        <f>_xlfn.LET(_xlpm.x, _xlfn.XLOOKUP(A261,Holidays!A:A,Holidays!B:B,""), IF(_xlpm.x="", "Working Day", _xlpm.x))</f>
        <v>Working Day</v>
      </c>
      <c r="C261" s="2">
        <f t="shared" si="4"/>
        <v>46282</v>
      </c>
    </row>
    <row r="262" spans="1:3" x14ac:dyDescent="0.25">
      <c r="A262" s="78">
        <v>46283</v>
      </c>
      <c r="B262" t="str">
        <f>_xlfn.LET(_xlpm.x, _xlfn.XLOOKUP(A262,Holidays!A:A,Holidays!B:B,""), IF(_xlpm.x="", "Working Day", _xlpm.x))</f>
        <v>Working Day</v>
      </c>
      <c r="C262" s="2">
        <f t="shared" si="4"/>
        <v>46283</v>
      </c>
    </row>
    <row r="263" spans="1:3" x14ac:dyDescent="0.25">
      <c r="A263" s="78">
        <v>46284</v>
      </c>
      <c r="B263" t="str">
        <f>_xlfn.LET(_xlpm.x, _xlfn.XLOOKUP(A263,Holidays!A:A,Holidays!B:B,""), IF(_xlpm.x="", "Working Day", _xlpm.x))</f>
        <v>Saturday</v>
      </c>
      <c r="C263" s="2">
        <f t="shared" si="4"/>
        <v>46284</v>
      </c>
    </row>
    <row r="264" spans="1:3" x14ac:dyDescent="0.25">
      <c r="A264" s="78">
        <v>46285</v>
      </c>
      <c r="B264" t="str">
        <f>_xlfn.LET(_xlpm.x, _xlfn.XLOOKUP(A264,Holidays!A:A,Holidays!B:B,""), IF(_xlpm.x="", "Working Day", _xlpm.x))</f>
        <v>Sunday</v>
      </c>
      <c r="C264" s="2">
        <f t="shared" si="4"/>
        <v>46285</v>
      </c>
    </row>
    <row r="265" spans="1:3" x14ac:dyDescent="0.25">
      <c r="A265" s="78">
        <v>46286</v>
      </c>
      <c r="B265" t="str">
        <f>_xlfn.LET(_xlpm.x, _xlfn.XLOOKUP(A265,Holidays!A:A,Holidays!B:B,""), IF(_xlpm.x="", "Working Day", _xlpm.x))</f>
        <v>Working Day</v>
      </c>
      <c r="C265" s="2">
        <f t="shared" si="4"/>
        <v>46286</v>
      </c>
    </row>
    <row r="266" spans="1:3" x14ac:dyDescent="0.25">
      <c r="A266" s="78">
        <v>46287</v>
      </c>
      <c r="B266" t="str">
        <f>_xlfn.LET(_xlpm.x, _xlfn.XLOOKUP(A266,Holidays!A:A,Holidays!B:B,""), IF(_xlpm.x="", "Working Day", _xlpm.x))</f>
        <v>Working Day</v>
      </c>
      <c r="C266" s="2">
        <f t="shared" si="4"/>
        <v>46287</v>
      </c>
    </row>
    <row r="267" spans="1:3" x14ac:dyDescent="0.25">
      <c r="A267" s="78">
        <v>46288</v>
      </c>
      <c r="B267" t="str">
        <f>_xlfn.LET(_xlpm.x, _xlfn.XLOOKUP(A267,Holidays!A:A,Holidays!B:B,""), IF(_xlpm.x="", "Working Day", _xlpm.x))</f>
        <v>Working Day</v>
      </c>
      <c r="C267" s="2">
        <f t="shared" si="4"/>
        <v>46288</v>
      </c>
    </row>
    <row r="268" spans="1:3" x14ac:dyDescent="0.25">
      <c r="A268" s="78">
        <v>46289</v>
      </c>
      <c r="B268" t="str">
        <f>_xlfn.LET(_xlpm.x, _xlfn.XLOOKUP(A268,Holidays!A:A,Holidays!B:B,""), IF(_xlpm.x="", "Working Day", _xlpm.x))</f>
        <v>Working Day</v>
      </c>
      <c r="C268" s="2">
        <f t="shared" si="4"/>
        <v>46289</v>
      </c>
    </row>
    <row r="269" spans="1:3" x14ac:dyDescent="0.25">
      <c r="A269" s="78">
        <v>46290</v>
      </c>
      <c r="B269" t="str">
        <f>_xlfn.LET(_xlpm.x, _xlfn.XLOOKUP(A269,Holidays!A:A,Holidays!B:B,""), IF(_xlpm.x="", "Working Day", _xlpm.x))</f>
        <v>Working Day</v>
      </c>
      <c r="C269" s="2">
        <f t="shared" si="4"/>
        <v>46290</v>
      </c>
    </row>
    <row r="270" spans="1:3" x14ac:dyDescent="0.25">
      <c r="A270" s="78">
        <v>46291</v>
      </c>
      <c r="B270" t="str">
        <f>_xlfn.LET(_xlpm.x, _xlfn.XLOOKUP(A270,Holidays!A:A,Holidays!B:B,""), IF(_xlpm.x="", "Working Day", _xlpm.x))</f>
        <v>Saturday</v>
      </c>
      <c r="C270" s="2">
        <f t="shared" si="4"/>
        <v>46291</v>
      </c>
    </row>
    <row r="271" spans="1:3" x14ac:dyDescent="0.25">
      <c r="A271" s="78">
        <v>46292</v>
      </c>
      <c r="B271" t="str">
        <f>_xlfn.LET(_xlpm.x, _xlfn.XLOOKUP(A271,Holidays!A:A,Holidays!B:B,""), IF(_xlpm.x="", "Working Day", _xlpm.x))</f>
        <v>Sunday</v>
      </c>
      <c r="C271" s="2">
        <f t="shared" si="4"/>
        <v>46292</v>
      </c>
    </row>
    <row r="272" spans="1:3" x14ac:dyDescent="0.25">
      <c r="A272" s="78">
        <v>46293</v>
      </c>
      <c r="B272" t="str">
        <f>_xlfn.LET(_xlpm.x, _xlfn.XLOOKUP(A272,Holidays!A:A,Holidays!B:B,""), IF(_xlpm.x="", "Working Day", _xlpm.x))</f>
        <v>Working Day</v>
      </c>
      <c r="C272" s="2">
        <f t="shared" si="4"/>
        <v>46293</v>
      </c>
    </row>
    <row r="273" spans="1:3" x14ac:dyDescent="0.25">
      <c r="A273" s="78">
        <v>46294</v>
      </c>
      <c r="B273" t="str">
        <f>_xlfn.LET(_xlpm.x, _xlfn.XLOOKUP(A273,Holidays!A:A,Holidays!B:B,""), IF(_xlpm.x="", "Working Day", _xlpm.x))</f>
        <v>Working Day</v>
      </c>
      <c r="C273" s="2">
        <f t="shared" si="4"/>
        <v>46294</v>
      </c>
    </row>
    <row r="274" spans="1:3" x14ac:dyDescent="0.25">
      <c r="A274" s="78">
        <v>46295</v>
      </c>
      <c r="B274" t="str">
        <f>_xlfn.LET(_xlpm.x, _xlfn.XLOOKUP(A274,Holidays!A:A,Holidays!B:B,""), IF(_xlpm.x="", "Working Day", _xlpm.x))</f>
        <v>Working Day</v>
      </c>
      <c r="C274" s="2">
        <f t="shared" si="4"/>
        <v>46295</v>
      </c>
    </row>
    <row r="275" spans="1:3" x14ac:dyDescent="0.25">
      <c r="A275" s="78">
        <v>46296</v>
      </c>
      <c r="B275" t="str">
        <f>_xlfn.LET(_xlpm.x, _xlfn.XLOOKUP(A275,Holidays!A:A,Holidays!B:B,""), IF(_xlpm.x="", "Working Day", _xlpm.x))</f>
        <v>Working Day</v>
      </c>
      <c r="C275" s="2">
        <f t="shared" si="4"/>
        <v>46296</v>
      </c>
    </row>
    <row r="276" spans="1:3" x14ac:dyDescent="0.25">
      <c r="A276" s="78">
        <v>46297</v>
      </c>
      <c r="B276" t="str">
        <f>_xlfn.LET(_xlpm.x, _xlfn.XLOOKUP(A276,Holidays!A:A,Holidays!B:B,""), IF(_xlpm.x="", "Working Day", _xlpm.x))</f>
        <v>NSE Holiday</v>
      </c>
      <c r="C276" s="2">
        <f t="shared" si="4"/>
        <v>46297</v>
      </c>
    </row>
    <row r="277" spans="1:3" x14ac:dyDescent="0.25">
      <c r="A277" s="78">
        <v>46298</v>
      </c>
      <c r="B277" t="str">
        <f>_xlfn.LET(_xlpm.x, _xlfn.XLOOKUP(A277,Holidays!A:A,Holidays!B:B,""), IF(_xlpm.x="", "Working Day", _xlpm.x))</f>
        <v>Saturday</v>
      </c>
      <c r="C277" s="2">
        <f t="shared" si="4"/>
        <v>46298</v>
      </c>
    </row>
    <row r="278" spans="1:3" x14ac:dyDescent="0.25">
      <c r="A278" s="78">
        <v>46299</v>
      </c>
      <c r="B278" t="str">
        <f>_xlfn.LET(_xlpm.x, _xlfn.XLOOKUP(A278,Holidays!A:A,Holidays!B:B,""), IF(_xlpm.x="", "Working Day", _xlpm.x))</f>
        <v>Sunday</v>
      </c>
      <c r="C278" s="2">
        <f t="shared" si="4"/>
        <v>46299</v>
      </c>
    </row>
    <row r="279" spans="1:3" x14ac:dyDescent="0.25">
      <c r="A279" s="78">
        <v>46300</v>
      </c>
      <c r="B279" t="str">
        <f>_xlfn.LET(_xlpm.x, _xlfn.XLOOKUP(A279,Holidays!A:A,Holidays!B:B,""), IF(_xlpm.x="", "Working Day", _xlpm.x))</f>
        <v>Working Day</v>
      </c>
      <c r="C279" s="2">
        <f t="shared" si="4"/>
        <v>46300</v>
      </c>
    </row>
    <row r="280" spans="1:3" x14ac:dyDescent="0.25">
      <c r="A280" s="78">
        <v>46301</v>
      </c>
      <c r="B280" t="str">
        <f>_xlfn.LET(_xlpm.x, _xlfn.XLOOKUP(A280,Holidays!A:A,Holidays!B:B,""), IF(_xlpm.x="", "Working Day", _xlpm.x))</f>
        <v>Working Day</v>
      </c>
      <c r="C280" s="2">
        <f t="shared" si="4"/>
        <v>46301</v>
      </c>
    </row>
    <row r="281" spans="1:3" x14ac:dyDescent="0.25">
      <c r="A281" s="78">
        <v>46302</v>
      </c>
      <c r="B281" t="str">
        <f>_xlfn.LET(_xlpm.x, _xlfn.XLOOKUP(A281,Holidays!A:A,Holidays!B:B,""), IF(_xlpm.x="", "Working Day", _xlpm.x))</f>
        <v>Working Day</v>
      </c>
      <c r="C281" s="2">
        <f t="shared" si="4"/>
        <v>46302</v>
      </c>
    </row>
    <row r="282" spans="1:3" x14ac:dyDescent="0.25">
      <c r="A282" s="78">
        <v>46303</v>
      </c>
      <c r="B282" t="str">
        <f>_xlfn.LET(_xlpm.x, _xlfn.XLOOKUP(A282,Holidays!A:A,Holidays!B:B,""), IF(_xlpm.x="", "Working Day", _xlpm.x))</f>
        <v>Working Day</v>
      </c>
      <c r="C282" s="2">
        <f t="shared" si="4"/>
        <v>46303</v>
      </c>
    </row>
    <row r="283" spans="1:3" x14ac:dyDescent="0.25">
      <c r="A283" s="78">
        <v>46304</v>
      </c>
      <c r="B283" t="str">
        <f>_xlfn.LET(_xlpm.x, _xlfn.XLOOKUP(A283,Holidays!A:A,Holidays!B:B,""), IF(_xlpm.x="", "Working Day", _xlpm.x))</f>
        <v>Working Day</v>
      </c>
      <c r="C283" s="2">
        <f t="shared" si="4"/>
        <v>46304</v>
      </c>
    </row>
    <row r="284" spans="1:3" x14ac:dyDescent="0.25">
      <c r="A284" s="78">
        <v>46305</v>
      </c>
      <c r="B284" t="str">
        <f>_xlfn.LET(_xlpm.x, _xlfn.XLOOKUP(A284,Holidays!A:A,Holidays!B:B,""), IF(_xlpm.x="", "Working Day", _xlpm.x))</f>
        <v>Saturday</v>
      </c>
      <c r="C284" s="2">
        <f t="shared" si="4"/>
        <v>46305</v>
      </c>
    </row>
    <row r="285" spans="1:3" x14ac:dyDescent="0.25">
      <c r="A285" s="78">
        <v>46306</v>
      </c>
      <c r="B285" t="str">
        <f>_xlfn.LET(_xlpm.x, _xlfn.XLOOKUP(A285,Holidays!A:A,Holidays!B:B,""), IF(_xlpm.x="", "Working Day", _xlpm.x))</f>
        <v>Sunday</v>
      </c>
      <c r="C285" s="2">
        <f t="shared" si="4"/>
        <v>46306</v>
      </c>
    </row>
    <row r="286" spans="1:3" x14ac:dyDescent="0.25">
      <c r="A286" s="78">
        <v>46307</v>
      </c>
      <c r="B286" t="str">
        <f>_xlfn.LET(_xlpm.x, _xlfn.XLOOKUP(A286,Holidays!A:A,Holidays!B:B,""), IF(_xlpm.x="", "Working Day", _xlpm.x))</f>
        <v>Working Day</v>
      </c>
      <c r="C286" s="2">
        <f t="shared" si="4"/>
        <v>46307</v>
      </c>
    </row>
    <row r="287" spans="1:3" x14ac:dyDescent="0.25">
      <c r="A287" s="78">
        <v>46308</v>
      </c>
      <c r="B287" t="str">
        <f>_xlfn.LET(_xlpm.x, _xlfn.XLOOKUP(A287,Holidays!A:A,Holidays!B:B,""), IF(_xlpm.x="", "Working Day", _xlpm.x))</f>
        <v>Working Day</v>
      </c>
      <c r="C287" s="2">
        <f t="shared" si="4"/>
        <v>46308</v>
      </c>
    </row>
    <row r="288" spans="1:3" x14ac:dyDescent="0.25">
      <c r="A288" s="78">
        <v>46309</v>
      </c>
      <c r="B288" t="str">
        <f>_xlfn.LET(_xlpm.x, _xlfn.XLOOKUP(A288,Holidays!A:A,Holidays!B:B,""), IF(_xlpm.x="", "Working Day", _xlpm.x))</f>
        <v>Working Day</v>
      </c>
      <c r="C288" s="2">
        <f t="shared" si="4"/>
        <v>46309</v>
      </c>
    </row>
    <row r="289" spans="1:3" x14ac:dyDescent="0.25">
      <c r="A289" s="78">
        <v>46310</v>
      </c>
      <c r="B289" t="str">
        <f>_xlfn.LET(_xlpm.x, _xlfn.XLOOKUP(A289,Holidays!A:A,Holidays!B:B,""), IF(_xlpm.x="", "Working Day", _xlpm.x))</f>
        <v>Working Day</v>
      </c>
      <c r="C289" s="2">
        <f t="shared" si="4"/>
        <v>46310</v>
      </c>
    </row>
    <row r="290" spans="1:3" x14ac:dyDescent="0.25">
      <c r="A290" s="78">
        <v>46311</v>
      </c>
      <c r="B290" t="str">
        <f>_xlfn.LET(_xlpm.x, _xlfn.XLOOKUP(A290,Holidays!A:A,Holidays!B:B,""), IF(_xlpm.x="", "Working Day", _xlpm.x))</f>
        <v>Working Day</v>
      </c>
      <c r="C290" s="2">
        <f t="shared" si="4"/>
        <v>46311</v>
      </c>
    </row>
    <row r="291" spans="1:3" x14ac:dyDescent="0.25">
      <c r="A291" s="78">
        <v>46312</v>
      </c>
      <c r="B291" t="str">
        <f>_xlfn.LET(_xlpm.x, _xlfn.XLOOKUP(A291,Holidays!A:A,Holidays!B:B,""), IF(_xlpm.x="", "Working Day", _xlpm.x))</f>
        <v>Saturday</v>
      </c>
      <c r="C291" s="2">
        <f t="shared" si="4"/>
        <v>46312</v>
      </c>
    </row>
    <row r="292" spans="1:3" x14ac:dyDescent="0.25">
      <c r="A292" s="78">
        <v>46313</v>
      </c>
      <c r="B292" t="str">
        <f>_xlfn.LET(_xlpm.x, _xlfn.XLOOKUP(A292,Holidays!A:A,Holidays!B:B,""), IF(_xlpm.x="", "Working Day", _xlpm.x))</f>
        <v>Sunday</v>
      </c>
      <c r="C292" s="2">
        <f t="shared" si="4"/>
        <v>46313</v>
      </c>
    </row>
    <row r="293" spans="1:3" x14ac:dyDescent="0.25">
      <c r="A293" s="78">
        <v>46314</v>
      </c>
      <c r="B293" t="str">
        <f>_xlfn.LET(_xlpm.x, _xlfn.XLOOKUP(A293,Holidays!A:A,Holidays!B:B,""), IF(_xlpm.x="", "Working Day", _xlpm.x))</f>
        <v>Working Day</v>
      </c>
      <c r="C293" s="2">
        <f t="shared" si="4"/>
        <v>46314</v>
      </c>
    </row>
    <row r="294" spans="1:3" x14ac:dyDescent="0.25">
      <c r="A294" s="78">
        <v>46315</v>
      </c>
      <c r="B294" t="str">
        <f>_xlfn.LET(_xlpm.x, _xlfn.XLOOKUP(A294,Holidays!A:A,Holidays!B:B,""), IF(_xlpm.x="", "Working Day", _xlpm.x))</f>
        <v>NSE Holiday</v>
      </c>
      <c r="C294" s="2">
        <f t="shared" si="4"/>
        <v>46315</v>
      </c>
    </row>
    <row r="295" spans="1:3" x14ac:dyDescent="0.25">
      <c r="A295" s="78">
        <v>46316</v>
      </c>
      <c r="B295" t="str">
        <f>_xlfn.LET(_xlpm.x, _xlfn.XLOOKUP(A295,Holidays!A:A,Holidays!B:B,""), IF(_xlpm.x="", "Working Day", _xlpm.x))</f>
        <v>Working Day</v>
      </c>
      <c r="C295" s="2">
        <f t="shared" si="4"/>
        <v>46316</v>
      </c>
    </row>
    <row r="296" spans="1:3" x14ac:dyDescent="0.25">
      <c r="A296" s="78">
        <v>46317</v>
      </c>
      <c r="B296" t="str">
        <f>_xlfn.LET(_xlpm.x, _xlfn.XLOOKUP(A296,Holidays!A:A,Holidays!B:B,""), IF(_xlpm.x="", "Working Day", _xlpm.x))</f>
        <v>Working Day</v>
      </c>
      <c r="C296" s="2">
        <f t="shared" si="4"/>
        <v>46317</v>
      </c>
    </row>
    <row r="297" spans="1:3" x14ac:dyDescent="0.25">
      <c r="A297" s="78">
        <v>46318</v>
      </c>
      <c r="B297" t="str">
        <f>_xlfn.LET(_xlpm.x, _xlfn.XLOOKUP(A297,Holidays!A:A,Holidays!B:B,""), IF(_xlpm.x="", "Working Day", _xlpm.x))</f>
        <v>Working Day</v>
      </c>
      <c r="C297" s="2">
        <f t="shared" si="4"/>
        <v>46318</v>
      </c>
    </row>
    <row r="298" spans="1:3" x14ac:dyDescent="0.25">
      <c r="A298" s="78">
        <v>46319</v>
      </c>
      <c r="B298" t="str">
        <f>_xlfn.LET(_xlpm.x, _xlfn.XLOOKUP(A298,Holidays!A:A,Holidays!B:B,""), IF(_xlpm.x="", "Working Day", _xlpm.x))</f>
        <v>Saturday</v>
      </c>
      <c r="C298" s="2">
        <f t="shared" si="4"/>
        <v>46319</v>
      </c>
    </row>
    <row r="299" spans="1:3" x14ac:dyDescent="0.25">
      <c r="A299" s="78">
        <v>46320</v>
      </c>
      <c r="B299" t="str">
        <f>_xlfn.LET(_xlpm.x, _xlfn.XLOOKUP(A299,Holidays!A:A,Holidays!B:B,""), IF(_xlpm.x="", "Working Day", _xlpm.x))</f>
        <v>Sunday</v>
      </c>
      <c r="C299" s="2">
        <f t="shared" si="4"/>
        <v>46320</v>
      </c>
    </row>
    <row r="300" spans="1:3" x14ac:dyDescent="0.25">
      <c r="A300" s="78">
        <v>46321</v>
      </c>
      <c r="B300" t="str">
        <f>_xlfn.LET(_xlpm.x, _xlfn.XLOOKUP(A300,Holidays!A:A,Holidays!B:B,""), IF(_xlpm.x="", "Working Day", _xlpm.x))</f>
        <v>Working Day</v>
      </c>
      <c r="C300" s="2">
        <f t="shared" si="4"/>
        <v>46321</v>
      </c>
    </row>
    <row r="301" spans="1:3" x14ac:dyDescent="0.25">
      <c r="A301" s="78">
        <v>46322</v>
      </c>
      <c r="B301" t="str">
        <f>_xlfn.LET(_xlpm.x, _xlfn.XLOOKUP(A301,Holidays!A:A,Holidays!B:B,""), IF(_xlpm.x="", "Working Day", _xlpm.x))</f>
        <v>Working Day</v>
      </c>
      <c r="C301" s="2">
        <f t="shared" si="4"/>
        <v>46322</v>
      </c>
    </row>
    <row r="302" spans="1:3" x14ac:dyDescent="0.25">
      <c r="A302" s="78">
        <v>46323</v>
      </c>
      <c r="B302" t="str">
        <f>_xlfn.LET(_xlpm.x, _xlfn.XLOOKUP(A302,Holidays!A:A,Holidays!B:B,""), IF(_xlpm.x="", "Working Day", _xlpm.x))</f>
        <v>Working Day</v>
      </c>
      <c r="C302" s="2">
        <f t="shared" si="4"/>
        <v>46323</v>
      </c>
    </row>
    <row r="303" spans="1:3" x14ac:dyDescent="0.25">
      <c r="A303" s="78">
        <v>46324</v>
      </c>
      <c r="B303" t="str">
        <f>_xlfn.LET(_xlpm.x, _xlfn.XLOOKUP(A303,Holidays!A:A,Holidays!B:B,""), IF(_xlpm.x="", "Working Day", _xlpm.x))</f>
        <v>Working Day</v>
      </c>
      <c r="C303" s="2">
        <f t="shared" si="4"/>
        <v>46324</v>
      </c>
    </row>
    <row r="304" spans="1:3" x14ac:dyDescent="0.25">
      <c r="A304" s="78">
        <v>46325</v>
      </c>
      <c r="B304" t="str">
        <f>_xlfn.LET(_xlpm.x, _xlfn.XLOOKUP(A304,Holidays!A:A,Holidays!B:B,""), IF(_xlpm.x="", "Working Day", _xlpm.x))</f>
        <v>Working Day</v>
      </c>
      <c r="C304" s="2">
        <f t="shared" si="4"/>
        <v>46325</v>
      </c>
    </row>
    <row r="305" spans="1:3" x14ac:dyDescent="0.25">
      <c r="A305" s="78">
        <v>46326</v>
      </c>
      <c r="B305" t="str">
        <f>_xlfn.LET(_xlpm.x, _xlfn.XLOOKUP(A305,Holidays!A:A,Holidays!B:B,""), IF(_xlpm.x="", "Working Day", _xlpm.x))</f>
        <v>Saturday</v>
      </c>
      <c r="C305" s="2">
        <f t="shared" si="4"/>
        <v>46326</v>
      </c>
    </row>
    <row r="306" spans="1:3" x14ac:dyDescent="0.25">
      <c r="A306" s="78">
        <v>46327</v>
      </c>
      <c r="B306" t="str">
        <f>_xlfn.LET(_xlpm.x, _xlfn.XLOOKUP(A306,Holidays!A:A,Holidays!B:B,""), IF(_xlpm.x="", "Working Day", _xlpm.x))</f>
        <v>Sunday</v>
      </c>
      <c r="C306" s="2">
        <f t="shared" si="4"/>
        <v>46327</v>
      </c>
    </row>
    <row r="307" spans="1:3" x14ac:dyDescent="0.25">
      <c r="A307" s="78">
        <v>46328</v>
      </c>
      <c r="B307" t="str">
        <f>_xlfn.LET(_xlpm.x, _xlfn.XLOOKUP(A307,Holidays!A:A,Holidays!B:B,""), IF(_xlpm.x="", "Working Day", _xlpm.x))</f>
        <v>Working Day</v>
      </c>
      <c r="C307" s="2">
        <f t="shared" si="4"/>
        <v>46328</v>
      </c>
    </row>
    <row r="308" spans="1:3" x14ac:dyDescent="0.25">
      <c r="A308" s="78">
        <v>46329</v>
      </c>
      <c r="B308" t="str">
        <f>_xlfn.LET(_xlpm.x, _xlfn.XLOOKUP(A308,Holidays!A:A,Holidays!B:B,""), IF(_xlpm.x="", "Working Day", _xlpm.x))</f>
        <v>Working Day</v>
      </c>
      <c r="C308" s="2">
        <f t="shared" si="4"/>
        <v>46329</v>
      </c>
    </row>
    <row r="309" spans="1:3" x14ac:dyDescent="0.25">
      <c r="A309" s="78">
        <v>46330</v>
      </c>
      <c r="B309" t="str">
        <f>_xlfn.LET(_xlpm.x, _xlfn.XLOOKUP(A309,Holidays!A:A,Holidays!B:B,""), IF(_xlpm.x="", "Working Day", _xlpm.x))</f>
        <v>Working Day</v>
      </c>
      <c r="C309" s="2">
        <f t="shared" si="4"/>
        <v>46330</v>
      </c>
    </row>
    <row r="310" spans="1:3" x14ac:dyDescent="0.25">
      <c r="A310" s="78">
        <v>46331</v>
      </c>
      <c r="B310" t="str">
        <f>_xlfn.LET(_xlpm.x, _xlfn.XLOOKUP(A310,Holidays!A:A,Holidays!B:B,""), IF(_xlpm.x="", "Working Day", _xlpm.x))</f>
        <v>Working Day</v>
      </c>
      <c r="C310" s="2">
        <f t="shared" si="4"/>
        <v>46331</v>
      </c>
    </row>
    <row r="311" spans="1:3" x14ac:dyDescent="0.25">
      <c r="A311" s="78">
        <v>46332</v>
      </c>
      <c r="B311" t="str">
        <f>_xlfn.LET(_xlpm.x, _xlfn.XLOOKUP(A311,Holidays!A:A,Holidays!B:B,""), IF(_xlpm.x="", "Working Day", _xlpm.x))</f>
        <v>Working Day</v>
      </c>
      <c r="C311" s="2">
        <f t="shared" si="4"/>
        <v>46332</v>
      </c>
    </row>
    <row r="312" spans="1:3" x14ac:dyDescent="0.25">
      <c r="A312" s="78">
        <v>46333</v>
      </c>
      <c r="B312" t="str">
        <f>_xlfn.LET(_xlpm.x, _xlfn.XLOOKUP(A312,Holidays!A:A,Holidays!B:B,""), IF(_xlpm.x="", "Working Day", _xlpm.x))</f>
        <v>Saturday</v>
      </c>
      <c r="C312" s="2">
        <f t="shared" si="4"/>
        <v>46333</v>
      </c>
    </row>
    <row r="313" spans="1:3" x14ac:dyDescent="0.25">
      <c r="A313" s="78">
        <v>46334</v>
      </c>
      <c r="B313" t="str">
        <f>_xlfn.LET(_xlpm.x, _xlfn.XLOOKUP(A313,Holidays!A:A,Holidays!B:B,""), IF(_xlpm.x="", "Working Day", _xlpm.x))</f>
        <v>Sunday</v>
      </c>
      <c r="C313" s="2">
        <f t="shared" si="4"/>
        <v>46334</v>
      </c>
    </row>
    <row r="314" spans="1:3" x14ac:dyDescent="0.25">
      <c r="A314" s="78">
        <v>46335</v>
      </c>
      <c r="B314" t="str">
        <f>_xlfn.LET(_xlpm.x, _xlfn.XLOOKUP(A314,Holidays!A:A,Holidays!B:B,""), IF(_xlpm.x="", "Working Day", _xlpm.x))</f>
        <v>Working Day</v>
      </c>
      <c r="C314" s="2">
        <f t="shared" si="4"/>
        <v>46335</v>
      </c>
    </row>
    <row r="315" spans="1:3" x14ac:dyDescent="0.25">
      <c r="A315" s="78">
        <v>46336</v>
      </c>
      <c r="B315" t="str">
        <f>_xlfn.LET(_xlpm.x, _xlfn.XLOOKUP(A315,Holidays!A:A,Holidays!B:B,""), IF(_xlpm.x="", "Working Day", _xlpm.x))</f>
        <v>NSE Holiday</v>
      </c>
      <c r="C315" s="2">
        <f t="shared" si="4"/>
        <v>46336</v>
      </c>
    </row>
    <row r="316" spans="1:3" x14ac:dyDescent="0.25">
      <c r="A316" s="78">
        <v>46337</v>
      </c>
      <c r="B316" t="str">
        <f>_xlfn.LET(_xlpm.x, _xlfn.XLOOKUP(A316,Holidays!A:A,Holidays!B:B,""), IF(_xlpm.x="", "Working Day", _xlpm.x))</f>
        <v>Working Day</v>
      </c>
      <c r="C316" s="2">
        <f t="shared" si="4"/>
        <v>46337</v>
      </c>
    </row>
    <row r="317" spans="1:3" x14ac:dyDescent="0.25">
      <c r="A317" s="78">
        <v>46338</v>
      </c>
      <c r="B317" t="str">
        <f>_xlfn.LET(_xlpm.x, _xlfn.XLOOKUP(A317,Holidays!A:A,Holidays!B:B,""), IF(_xlpm.x="", "Working Day", _xlpm.x))</f>
        <v>Working Day</v>
      </c>
      <c r="C317" s="2">
        <f t="shared" si="4"/>
        <v>46338</v>
      </c>
    </row>
    <row r="318" spans="1:3" x14ac:dyDescent="0.25">
      <c r="A318" s="78">
        <v>46339</v>
      </c>
      <c r="B318" t="str">
        <f>_xlfn.LET(_xlpm.x, _xlfn.XLOOKUP(A318,Holidays!A:A,Holidays!B:B,""), IF(_xlpm.x="", "Working Day", _xlpm.x))</f>
        <v>Working Day</v>
      </c>
      <c r="C318" s="2">
        <f t="shared" si="4"/>
        <v>46339</v>
      </c>
    </row>
    <row r="319" spans="1:3" x14ac:dyDescent="0.25">
      <c r="A319" s="78">
        <v>46340</v>
      </c>
      <c r="B319" t="str">
        <f>_xlfn.LET(_xlpm.x, _xlfn.XLOOKUP(A319,Holidays!A:A,Holidays!B:B,""), IF(_xlpm.x="", "Working Day", _xlpm.x))</f>
        <v>Saturday</v>
      </c>
      <c r="C319" s="2">
        <f t="shared" si="4"/>
        <v>46340</v>
      </c>
    </row>
    <row r="320" spans="1:3" x14ac:dyDescent="0.25">
      <c r="A320" s="78">
        <v>46341</v>
      </c>
      <c r="B320" t="str">
        <f>_xlfn.LET(_xlpm.x, _xlfn.XLOOKUP(A320,Holidays!A:A,Holidays!B:B,""), IF(_xlpm.x="", "Working Day", _xlpm.x))</f>
        <v>Sunday</v>
      </c>
      <c r="C320" s="2">
        <f t="shared" si="4"/>
        <v>46341</v>
      </c>
    </row>
    <row r="321" spans="1:3" x14ac:dyDescent="0.25">
      <c r="A321" s="78">
        <v>46342</v>
      </c>
      <c r="B321" t="str">
        <f>_xlfn.LET(_xlpm.x, _xlfn.XLOOKUP(A321,Holidays!A:A,Holidays!B:B,""), IF(_xlpm.x="", "Working Day", _xlpm.x))</f>
        <v>Working Day</v>
      </c>
      <c r="C321" s="2">
        <f t="shared" si="4"/>
        <v>46342</v>
      </c>
    </row>
    <row r="322" spans="1:3" x14ac:dyDescent="0.25">
      <c r="A322" s="78">
        <v>46343</v>
      </c>
      <c r="B322" t="str">
        <f>_xlfn.LET(_xlpm.x, _xlfn.XLOOKUP(A322,Holidays!A:A,Holidays!B:B,""), IF(_xlpm.x="", "Working Day", _xlpm.x))</f>
        <v>Working Day</v>
      </c>
      <c r="C322" s="2">
        <f t="shared" si="4"/>
        <v>46343</v>
      </c>
    </row>
    <row r="323" spans="1:3" x14ac:dyDescent="0.25">
      <c r="A323" s="78">
        <v>46344</v>
      </c>
      <c r="B323" t="str">
        <f>_xlfn.LET(_xlpm.x, _xlfn.XLOOKUP(A323,Holidays!A:A,Holidays!B:B,""), IF(_xlpm.x="", "Working Day", _xlpm.x))</f>
        <v>Working Day</v>
      </c>
      <c r="C323" s="2">
        <f t="shared" ref="C323:C366" si="5">INT(A323)</f>
        <v>46344</v>
      </c>
    </row>
    <row r="324" spans="1:3" x14ac:dyDescent="0.25">
      <c r="A324" s="78">
        <v>46345</v>
      </c>
      <c r="B324" t="str">
        <f>_xlfn.LET(_xlpm.x, _xlfn.XLOOKUP(A324,Holidays!A:A,Holidays!B:B,""), IF(_xlpm.x="", "Working Day", _xlpm.x))</f>
        <v>Working Day</v>
      </c>
      <c r="C324" s="2">
        <f t="shared" si="5"/>
        <v>46345</v>
      </c>
    </row>
    <row r="325" spans="1:3" x14ac:dyDescent="0.25">
      <c r="A325" s="78">
        <v>46346</v>
      </c>
      <c r="B325" t="str">
        <f>_xlfn.LET(_xlpm.x, _xlfn.XLOOKUP(A325,Holidays!A:A,Holidays!B:B,""), IF(_xlpm.x="", "Working Day", _xlpm.x))</f>
        <v>Working Day</v>
      </c>
      <c r="C325" s="2">
        <f t="shared" si="5"/>
        <v>46346</v>
      </c>
    </row>
    <row r="326" spans="1:3" x14ac:dyDescent="0.25">
      <c r="A326" s="78">
        <v>46347</v>
      </c>
      <c r="B326" t="str">
        <f>_xlfn.LET(_xlpm.x, _xlfn.XLOOKUP(A326,Holidays!A:A,Holidays!B:B,""), IF(_xlpm.x="", "Working Day", _xlpm.x))</f>
        <v>Saturday</v>
      </c>
      <c r="C326" s="2">
        <f t="shared" si="5"/>
        <v>46347</v>
      </c>
    </row>
    <row r="327" spans="1:3" x14ac:dyDescent="0.25">
      <c r="A327" s="78">
        <v>46348</v>
      </c>
      <c r="B327" t="str">
        <f>_xlfn.LET(_xlpm.x, _xlfn.XLOOKUP(A327,Holidays!A:A,Holidays!B:B,""), IF(_xlpm.x="", "Working Day", _xlpm.x))</f>
        <v>Sunday</v>
      </c>
      <c r="C327" s="2">
        <f t="shared" si="5"/>
        <v>46348</v>
      </c>
    </row>
    <row r="328" spans="1:3" x14ac:dyDescent="0.25">
      <c r="A328" s="78">
        <v>46349</v>
      </c>
      <c r="B328" t="str">
        <f>_xlfn.LET(_xlpm.x, _xlfn.XLOOKUP(A328,Holidays!A:A,Holidays!B:B,""), IF(_xlpm.x="", "Working Day", _xlpm.x))</f>
        <v>Working Day</v>
      </c>
      <c r="C328" s="2">
        <f t="shared" si="5"/>
        <v>46349</v>
      </c>
    </row>
    <row r="329" spans="1:3" x14ac:dyDescent="0.25">
      <c r="A329" s="78">
        <v>46350</v>
      </c>
      <c r="B329" t="str">
        <f>_xlfn.LET(_xlpm.x, _xlfn.XLOOKUP(A329,Holidays!A:A,Holidays!B:B,""), IF(_xlpm.x="", "Working Day", _xlpm.x))</f>
        <v>NSE Holiday</v>
      </c>
      <c r="C329" s="2">
        <f t="shared" si="5"/>
        <v>46350</v>
      </c>
    </row>
    <row r="330" spans="1:3" x14ac:dyDescent="0.25">
      <c r="A330" s="78">
        <v>46351</v>
      </c>
      <c r="B330" t="str">
        <f>_xlfn.LET(_xlpm.x, _xlfn.XLOOKUP(A330,Holidays!A:A,Holidays!B:B,""), IF(_xlpm.x="", "Working Day", _xlpm.x))</f>
        <v>Working Day</v>
      </c>
      <c r="C330" s="2">
        <f t="shared" si="5"/>
        <v>46351</v>
      </c>
    </row>
    <row r="331" spans="1:3" x14ac:dyDescent="0.25">
      <c r="A331" s="78">
        <v>46352</v>
      </c>
      <c r="B331" t="str">
        <f>_xlfn.LET(_xlpm.x, _xlfn.XLOOKUP(A331,Holidays!A:A,Holidays!B:B,""), IF(_xlpm.x="", "Working Day", _xlpm.x))</f>
        <v>Working Day</v>
      </c>
      <c r="C331" s="2">
        <f t="shared" si="5"/>
        <v>46352</v>
      </c>
    </row>
    <row r="332" spans="1:3" x14ac:dyDescent="0.25">
      <c r="A332" s="78">
        <v>46353</v>
      </c>
      <c r="B332" t="str">
        <f>_xlfn.LET(_xlpm.x, _xlfn.XLOOKUP(A332,Holidays!A:A,Holidays!B:B,""), IF(_xlpm.x="", "Working Day", _xlpm.x))</f>
        <v>Working Day</v>
      </c>
      <c r="C332" s="2">
        <f t="shared" si="5"/>
        <v>46353</v>
      </c>
    </row>
    <row r="333" spans="1:3" x14ac:dyDescent="0.25">
      <c r="A333" s="78">
        <v>46354</v>
      </c>
      <c r="B333" t="str">
        <f>_xlfn.LET(_xlpm.x, _xlfn.XLOOKUP(A333,Holidays!A:A,Holidays!B:B,""), IF(_xlpm.x="", "Working Day", _xlpm.x))</f>
        <v>Saturday</v>
      </c>
      <c r="C333" s="2">
        <f t="shared" si="5"/>
        <v>46354</v>
      </c>
    </row>
    <row r="334" spans="1:3" x14ac:dyDescent="0.25">
      <c r="A334" s="78">
        <v>46355</v>
      </c>
      <c r="B334" t="str">
        <f>_xlfn.LET(_xlpm.x, _xlfn.XLOOKUP(A334,Holidays!A:A,Holidays!B:B,""), IF(_xlpm.x="", "Working Day", _xlpm.x))</f>
        <v>Sunday</v>
      </c>
      <c r="C334" s="2">
        <f t="shared" si="5"/>
        <v>46355</v>
      </c>
    </row>
    <row r="335" spans="1:3" x14ac:dyDescent="0.25">
      <c r="A335" s="78">
        <v>46356</v>
      </c>
      <c r="B335" t="str">
        <f>_xlfn.LET(_xlpm.x, _xlfn.XLOOKUP(A335,Holidays!A:A,Holidays!B:B,""), IF(_xlpm.x="", "Working Day", _xlpm.x))</f>
        <v>Working Day</v>
      </c>
      <c r="C335" s="2">
        <f t="shared" si="5"/>
        <v>46356</v>
      </c>
    </row>
    <row r="336" spans="1:3" x14ac:dyDescent="0.25">
      <c r="A336" s="78">
        <v>46357</v>
      </c>
      <c r="B336" t="str">
        <f>_xlfn.LET(_xlpm.x, _xlfn.XLOOKUP(A336,Holidays!A:A,Holidays!B:B,""), IF(_xlpm.x="", "Working Day", _xlpm.x))</f>
        <v>Working Day</v>
      </c>
      <c r="C336" s="2">
        <f t="shared" si="5"/>
        <v>46357</v>
      </c>
    </row>
    <row r="337" spans="1:3" x14ac:dyDescent="0.25">
      <c r="A337" s="78">
        <v>46358</v>
      </c>
      <c r="B337" t="str">
        <f>_xlfn.LET(_xlpm.x, _xlfn.XLOOKUP(A337,Holidays!A:A,Holidays!B:B,""), IF(_xlpm.x="", "Working Day", _xlpm.x))</f>
        <v>Working Day</v>
      </c>
      <c r="C337" s="2">
        <f t="shared" si="5"/>
        <v>46358</v>
      </c>
    </row>
    <row r="338" spans="1:3" x14ac:dyDescent="0.25">
      <c r="A338" s="78">
        <v>46359</v>
      </c>
      <c r="B338" t="str">
        <f>_xlfn.LET(_xlpm.x, _xlfn.XLOOKUP(A338,Holidays!A:A,Holidays!B:B,""), IF(_xlpm.x="", "Working Day", _xlpm.x))</f>
        <v>Working Day</v>
      </c>
      <c r="C338" s="2">
        <f t="shared" si="5"/>
        <v>46359</v>
      </c>
    </row>
    <row r="339" spans="1:3" x14ac:dyDescent="0.25">
      <c r="A339" s="78">
        <v>46360</v>
      </c>
      <c r="B339" t="str">
        <f>_xlfn.LET(_xlpm.x, _xlfn.XLOOKUP(A339,Holidays!A:A,Holidays!B:B,""), IF(_xlpm.x="", "Working Day", _xlpm.x))</f>
        <v>Working Day</v>
      </c>
      <c r="C339" s="2">
        <f t="shared" si="5"/>
        <v>46360</v>
      </c>
    </row>
    <row r="340" spans="1:3" x14ac:dyDescent="0.25">
      <c r="A340" s="78">
        <v>46361</v>
      </c>
      <c r="B340" t="str">
        <f>_xlfn.LET(_xlpm.x, _xlfn.XLOOKUP(A340,Holidays!A:A,Holidays!B:B,""), IF(_xlpm.x="", "Working Day", _xlpm.x))</f>
        <v>Saturday</v>
      </c>
      <c r="C340" s="2">
        <f t="shared" si="5"/>
        <v>46361</v>
      </c>
    </row>
    <row r="341" spans="1:3" x14ac:dyDescent="0.25">
      <c r="A341" s="78">
        <v>46362</v>
      </c>
      <c r="B341" t="str">
        <f>_xlfn.LET(_xlpm.x, _xlfn.XLOOKUP(A341,Holidays!A:A,Holidays!B:B,""), IF(_xlpm.x="", "Working Day", _xlpm.x))</f>
        <v>Sunday</v>
      </c>
      <c r="C341" s="2">
        <f t="shared" si="5"/>
        <v>46362</v>
      </c>
    </row>
    <row r="342" spans="1:3" x14ac:dyDescent="0.25">
      <c r="A342" s="78">
        <v>46363</v>
      </c>
      <c r="B342" t="str">
        <f>_xlfn.LET(_xlpm.x, _xlfn.XLOOKUP(A342,Holidays!A:A,Holidays!B:B,""), IF(_xlpm.x="", "Working Day", _xlpm.x))</f>
        <v>Working Day</v>
      </c>
      <c r="C342" s="2">
        <f t="shared" si="5"/>
        <v>46363</v>
      </c>
    </row>
    <row r="343" spans="1:3" x14ac:dyDescent="0.25">
      <c r="A343" s="78">
        <v>46364</v>
      </c>
      <c r="B343" t="str">
        <f>_xlfn.LET(_xlpm.x, _xlfn.XLOOKUP(A343,Holidays!A:A,Holidays!B:B,""), IF(_xlpm.x="", "Working Day", _xlpm.x))</f>
        <v>Working Day</v>
      </c>
      <c r="C343" s="2">
        <f t="shared" si="5"/>
        <v>46364</v>
      </c>
    </row>
    <row r="344" spans="1:3" x14ac:dyDescent="0.25">
      <c r="A344" s="78">
        <v>46365</v>
      </c>
      <c r="B344" t="str">
        <f>_xlfn.LET(_xlpm.x, _xlfn.XLOOKUP(A344,Holidays!A:A,Holidays!B:B,""), IF(_xlpm.x="", "Working Day", _xlpm.x))</f>
        <v>Working Day</v>
      </c>
      <c r="C344" s="2">
        <f t="shared" si="5"/>
        <v>46365</v>
      </c>
    </row>
    <row r="345" spans="1:3" x14ac:dyDescent="0.25">
      <c r="A345" s="78">
        <v>46366</v>
      </c>
      <c r="B345" t="str">
        <f>_xlfn.LET(_xlpm.x, _xlfn.XLOOKUP(A345,Holidays!A:A,Holidays!B:B,""), IF(_xlpm.x="", "Working Day", _xlpm.x))</f>
        <v>Working Day</v>
      </c>
      <c r="C345" s="2">
        <f t="shared" si="5"/>
        <v>46366</v>
      </c>
    </row>
    <row r="346" spans="1:3" x14ac:dyDescent="0.25">
      <c r="A346" s="78">
        <v>46367</v>
      </c>
      <c r="B346" t="str">
        <f>_xlfn.LET(_xlpm.x, _xlfn.XLOOKUP(A346,Holidays!A:A,Holidays!B:B,""), IF(_xlpm.x="", "Working Day", _xlpm.x))</f>
        <v>Working Day</v>
      </c>
      <c r="C346" s="2">
        <f t="shared" si="5"/>
        <v>46367</v>
      </c>
    </row>
    <row r="347" spans="1:3" x14ac:dyDescent="0.25">
      <c r="A347" s="78">
        <v>46368</v>
      </c>
      <c r="B347" t="str">
        <f>_xlfn.LET(_xlpm.x, _xlfn.XLOOKUP(A347,Holidays!A:A,Holidays!B:B,""), IF(_xlpm.x="", "Working Day", _xlpm.x))</f>
        <v>Saturday</v>
      </c>
      <c r="C347" s="2">
        <f t="shared" si="5"/>
        <v>46368</v>
      </c>
    </row>
    <row r="348" spans="1:3" x14ac:dyDescent="0.25">
      <c r="A348" s="78">
        <v>46369</v>
      </c>
      <c r="B348" t="str">
        <f>_xlfn.LET(_xlpm.x, _xlfn.XLOOKUP(A348,Holidays!A:A,Holidays!B:B,""), IF(_xlpm.x="", "Working Day", _xlpm.x))</f>
        <v>Sunday</v>
      </c>
      <c r="C348" s="2">
        <f t="shared" si="5"/>
        <v>46369</v>
      </c>
    </row>
    <row r="349" spans="1:3" x14ac:dyDescent="0.25">
      <c r="A349" s="78">
        <v>46370</v>
      </c>
      <c r="B349" t="str">
        <f>_xlfn.LET(_xlpm.x, _xlfn.XLOOKUP(A349,Holidays!A:A,Holidays!B:B,""), IF(_xlpm.x="", "Working Day", _xlpm.x))</f>
        <v>Working Day</v>
      </c>
      <c r="C349" s="2">
        <f t="shared" si="5"/>
        <v>46370</v>
      </c>
    </row>
    <row r="350" spans="1:3" x14ac:dyDescent="0.25">
      <c r="A350" s="78">
        <v>46371</v>
      </c>
      <c r="B350" t="str">
        <f>_xlfn.LET(_xlpm.x, _xlfn.XLOOKUP(A350,Holidays!A:A,Holidays!B:B,""), IF(_xlpm.x="", "Working Day", _xlpm.x))</f>
        <v>Working Day</v>
      </c>
      <c r="C350" s="2">
        <f t="shared" si="5"/>
        <v>46371</v>
      </c>
    </row>
    <row r="351" spans="1:3" x14ac:dyDescent="0.25">
      <c r="A351" s="78">
        <v>46372</v>
      </c>
      <c r="B351" t="str">
        <f>_xlfn.LET(_xlpm.x, _xlfn.XLOOKUP(A351,Holidays!A:A,Holidays!B:B,""), IF(_xlpm.x="", "Working Day", _xlpm.x))</f>
        <v>Working Day</v>
      </c>
      <c r="C351" s="2">
        <f t="shared" si="5"/>
        <v>46372</v>
      </c>
    </row>
    <row r="352" spans="1:3" x14ac:dyDescent="0.25">
      <c r="A352" s="78">
        <v>46373</v>
      </c>
      <c r="B352" t="str">
        <f>_xlfn.LET(_xlpm.x, _xlfn.XLOOKUP(A352,Holidays!A:A,Holidays!B:B,""), IF(_xlpm.x="", "Working Day", _xlpm.x))</f>
        <v>Working Day</v>
      </c>
      <c r="C352" s="2">
        <f t="shared" si="5"/>
        <v>46373</v>
      </c>
    </row>
    <row r="353" spans="1:3" x14ac:dyDescent="0.25">
      <c r="A353" s="78">
        <v>46374</v>
      </c>
      <c r="B353" t="str">
        <f>_xlfn.LET(_xlpm.x, _xlfn.XLOOKUP(A353,Holidays!A:A,Holidays!B:B,""), IF(_xlpm.x="", "Working Day", _xlpm.x))</f>
        <v>Working Day</v>
      </c>
      <c r="C353" s="2">
        <f t="shared" si="5"/>
        <v>46374</v>
      </c>
    </row>
    <row r="354" spans="1:3" x14ac:dyDescent="0.25">
      <c r="A354" s="78">
        <v>46375</v>
      </c>
      <c r="B354" t="str">
        <f>_xlfn.LET(_xlpm.x, _xlfn.XLOOKUP(A354,Holidays!A:A,Holidays!B:B,""), IF(_xlpm.x="", "Working Day", _xlpm.x))</f>
        <v>Saturday</v>
      </c>
      <c r="C354" s="2">
        <f t="shared" si="5"/>
        <v>46375</v>
      </c>
    </row>
    <row r="355" spans="1:3" x14ac:dyDescent="0.25">
      <c r="A355" s="78">
        <v>46376</v>
      </c>
      <c r="B355" t="str">
        <f>_xlfn.LET(_xlpm.x, _xlfn.XLOOKUP(A355,Holidays!A:A,Holidays!B:B,""), IF(_xlpm.x="", "Working Day", _xlpm.x))</f>
        <v>Sunday</v>
      </c>
      <c r="C355" s="2">
        <f t="shared" si="5"/>
        <v>46376</v>
      </c>
    </row>
    <row r="356" spans="1:3" x14ac:dyDescent="0.25">
      <c r="A356" s="78">
        <v>46377</v>
      </c>
      <c r="B356" t="str">
        <f>_xlfn.LET(_xlpm.x, _xlfn.XLOOKUP(A356,Holidays!A:A,Holidays!B:B,""), IF(_xlpm.x="", "Working Day", _xlpm.x))</f>
        <v>Working Day</v>
      </c>
      <c r="C356" s="2">
        <f t="shared" si="5"/>
        <v>46377</v>
      </c>
    </row>
    <row r="357" spans="1:3" x14ac:dyDescent="0.25">
      <c r="A357" s="78">
        <v>46378</v>
      </c>
      <c r="B357" t="str">
        <f>_xlfn.LET(_xlpm.x, _xlfn.XLOOKUP(A357,Holidays!A:A,Holidays!B:B,""), IF(_xlpm.x="", "Working Day", _xlpm.x))</f>
        <v>Working Day</v>
      </c>
      <c r="C357" s="2">
        <f t="shared" si="5"/>
        <v>46378</v>
      </c>
    </row>
    <row r="358" spans="1:3" x14ac:dyDescent="0.25">
      <c r="A358" s="78">
        <v>46379</v>
      </c>
      <c r="B358" t="str">
        <f>_xlfn.LET(_xlpm.x, _xlfn.XLOOKUP(A358,Holidays!A:A,Holidays!B:B,""), IF(_xlpm.x="", "Working Day", _xlpm.x))</f>
        <v>Working Day</v>
      </c>
      <c r="C358" s="2">
        <f t="shared" si="5"/>
        <v>46379</v>
      </c>
    </row>
    <row r="359" spans="1:3" x14ac:dyDescent="0.25">
      <c r="A359" s="78">
        <v>46380</v>
      </c>
      <c r="B359" t="str">
        <f>_xlfn.LET(_xlpm.x, _xlfn.XLOOKUP(A359,Holidays!A:A,Holidays!B:B,""), IF(_xlpm.x="", "Working Day", _xlpm.x))</f>
        <v>Working Day</v>
      </c>
      <c r="C359" s="2">
        <f t="shared" si="5"/>
        <v>46380</v>
      </c>
    </row>
    <row r="360" spans="1:3" x14ac:dyDescent="0.25">
      <c r="A360" s="78">
        <v>46381</v>
      </c>
      <c r="B360" t="str">
        <f>_xlfn.LET(_xlpm.x, _xlfn.XLOOKUP(A360,Holidays!A:A,Holidays!B:B,""), IF(_xlpm.x="", "Working Day", _xlpm.x))</f>
        <v>NSE Holiday</v>
      </c>
      <c r="C360" s="2">
        <f t="shared" si="5"/>
        <v>46381</v>
      </c>
    </row>
    <row r="361" spans="1:3" x14ac:dyDescent="0.25">
      <c r="A361" s="78">
        <v>46382</v>
      </c>
      <c r="B361" t="str">
        <f>_xlfn.LET(_xlpm.x, _xlfn.XLOOKUP(A361,Holidays!A:A,Holidays!B:B,""), IF(_xlpm.x="", "Working Day", _xlpm.x))</f>
        <v>Saturday</v>
      </c>
      <c r="C361" s="2">
        <f t="shared" si="5"/>
        <v>46382</v>
      </c>
    </row>
    <row r="362" spans="1:3" x14ac:dyDescent="0.25">
      <c r="A362" s="78">
        <v>46383</v>
      </c>
      <c r="B362" t="str">
        <f>_xlfn.LET(_xlpm.x, _xlfn.XLOOKUP(A362,Holidays!A:A,Holidays!B:B,""), IF(_xlpm.x="", "Working Day", _xlpm.x))</f>
        <v>Sunday</v>
      </c>
      <c r="C362" s="2">
        <f t="shared" si="5"/>
        <v>46383</v>
      </c>
    </row>
    <row r="363" spans="1:3" x14ac:dyDescent="0.25">
      <c r="A363" s="78">
        <v>46384</v>
      </c>
      <c r="B363" t="str">
        <f>_xlfn.LET(_xlpm.x, _xlfn.XLOOKUP(A363,Holidays!A:A,Holidays!B:B,""), IF(_xlpm.x="", "Working Day", _xlpm.x))</f>
        <v>Working Day</v>
      </c>
      <c r="C363" s="2">
        <f t="shared" si="5"/>
        <v>46384</v>
      </c>
    </row>
    <row r="364" spans="1:3" x14ac:dyDescent="0.25">
      <c r="A364" s="78">
        <v>46385</v>
      </c>
      <c r="B364" t="str">
        <f>_xlfn.LET(_xlpm.x, _xlfn.XLOOKUP(A364,Holidays!A:A,Holidays!B:B,""), IF(_xlpm.x="", "Working Day", _xlpm.x))</f>
        <v>Working Day</v>
      </c>
      <c r="C364" s="2">
        <f t="shared" si="5"/>
        <v>46385</v>
      </c>
    </row>
    <row r="365" spans="1:3" x14ac:dyDescent="0.25">
      <c r="A365" s="78">
        <v>46386</v>
      </c>
      <c r="B365" t="str">
        <f>_xlfn.LET(_xlpm.x, _xlfn.XLOOKUP(A365,Holidays!A:A,Holidays!B:B,""), IF(_xlpm.x="", "Working Day", _xlpm.x))</f>
        <v>Working Day</v>
      </c>
      <c r="C365" s="2">
        <f t="shared" si="5"/>
        <v>46386</v>
      </c>
    </row>
    <row r="366" spans="1:3" x14ac:dyDescent="0.25">
      <c r="A366" s="78">
        <v>46387</v>
      </c>
      <c r="B366" t="str">
        <f>_xlfn.LET(_xlpm.x, _xlfn.XLOOKUP(A366,Holidays!A:A,Holidays!B:B,""), IF(_xlpm.x="", "Working Day", _xlpm.x))</f>
        <v>Working Day</v>
      </c>
      <c r="C366" s="2">
        <f t="shared" si="5"/>
        <v>46387</v>
      </c>
    </row>
  </sheetData>
  <autoFilter ref="A1:C366" xr:uid="{C6E5DC3F-8C44-4740-BE50-8FAADC9CFDE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26ED-B6F4-44DE-A029-92E77B0AE553}">
  <dimension ref="A1:B120"/>
  <sheetViews>
    <sheetView workbookViewId="0">
      <selection activeCell="C1" sqref="C1:C1048576"/>
    </sheetView>
  </sheetViews>
  <sheetFormatPr defaultRowHeight="15" x14ac:dyDescent="0.25"/>
  <cols>
    <col min="1" max="1" width="19.28515625" bestFit="1" customWidth="1"/>
  </cols>
  <sheetData>
    <row r="1" spans="1:2" x14ac:dyDescent="0.25">
      <c r="A1" s="73" t="s">
        <v>1440</v>
      </c>
      <c r="B1" s="73" t="s">
        <v>1782</v>
      </c>
    </row>
    <row r="2" spans="1:2" x14ac:dyDescent="0.25">
      <c r="A2" s="76">
        <v>46025</v>
      </c>
      <c r="B2" s="1" t="s">
        <v>1783</v>
      </c>
    </row>
    <row r="3" spans="1:2" x14ac:dyDescent="0.25">
      <c r="A3" s="76">
        <v>46026</v>
      </c>
      <c r="B3" s="1" t="s">
        <v>1784</v>
      </c>
    </row>
    <row r="4" spans="1:2" x14ac:dyDescent="0.25">
      <c r="A4" s="76">
        <v>46032</v>
      </c>
      <c r="B4" s="1" t="s">
        <v>1783</v>
      </c>
    </row>
    <row r="5" spans="1:2" x14ac:dyDescent="0.25">
      <c r="A5" s="76">
        <v>46033</v>
      </c>
      <c r="B5" s="1" t="s">
        <v>1784</v>
      </c>
    </row>
    <row r="6" spans="1:2" x14ac:dyDescent="0.25">
      <c r="A6" s="76">
        <v>46039</v>
      </c>
      <c r="B6" s="1" t="s">
        <v>1783</v>
      </c>
    </row>
    <row r="7" spans="1:2" x14ac:dyDescent="0.25">
      <c r="A7" s="76">
        <v>46040</v>
      </c>
      <c r="B7" s="1" t="s">
        <v>1784</v>
      </c>
    </row>
    <row r="8" spans="1:2" x14ac:dyDescent="0.25">
      <c r="A8" s="76">
        <v>46046</v>
      </c>
      <c r="B8" s="1" t="s">
        <v>1783</v>
      </c>
    </row>
    <row r="9" spans="1:2" x14ac:dyDescent="0.25">
      <c r="A9" s="76">
        <v>46047</v>
      </c>
      <c r="B9" s="1" t="s">
        <v>1784</v>
      </c>
    </row>
    <row r="10" spans="1:2" x14ac:dyDescent="0.25">
      <c r="A10" s="76">
        <v>46048</v>
      </c>
      <c r="B10" s="1" t="s">
        <v>1785</v>
      </c>
    </row>
    <row r="11" spans="1:2" x14ac:dyDescent="0.25">
      <c r="A11" s="76">
        <v>46053</v>
      </c>
      <c r="B11" s="1" t="s">
        <v>1783</v>
      </c>
    </row>
    <row r="12" spans="1:2" x14ac:dyDescent="0.25">
      <c r="A12" s="76">
        <v>46054</v>
      </c>
      <c r="B12" s="1" t="s">
        <v>1784</v>
      </c>
    </row>
    <row r="13" spans="1:2" x14ac:dyDescent="0.25">
      <c r="A13" s="76">
        <v>46060</v>
      </c>
      <c r="B13" s="1" t="s">
        <v>1783</v>
      </c>
    </row>
    <row r="14" spans="1:2" x14ac:dyDescent="0.25">
      <c r="A14" s="76">
        <v>46061</v>
      </c>
      <c r="B14" s="1" t="s">
        <v>1784</v>
      </c>
    </row>
    <row r="15" spans="1:2" x14ac:dyDescent="0.25">
      <c r="A15" s="76">
        <v>46067</v>
      </c>
      <c r="B15" s="1" t="s">
        <v>1783</v>
      </c>
    </row>
    <row r="16" spans="1:2" x14ac:dyDescent="0.25">
      <c r="A16" s="76">
        <v>46068</v>
      </c>
      <c r="B16" s="1" t="s">
        <v>1784</v>
      </c>
    </row>
    <row r="17" spans="1:2" x14ac:dyDescent="0.25">
      <c r="A17" s="76">
        <v>46074</v>
      </c>
      <c r="B17" s="1" t="s">
        <v>1783</v>
      </c>
    </row>
    <row r="18" spans="1:2" x14ac:dyDescent="0.25">
      <c r="A18" s="76">
        <v>46075</v>
      </c>
      <c r="B18" s="1" t="s">
        <v>1784</v>
      </c>
    </row>
    <row r="19" spans="1:2" x14ac:dyDescent="0.25">
      <c r="A19" s="76">
        <v>46081</v>
      </c>
      <c r="B19" s="1" t="s">
        <v>1783</v>
      </c>
    </row>
    <row r="20" spans="1:2" x14ac:dyDescent="0.25">
      <c r="A20" s="76">
        <v>46082</v>
      </c>
      <c r="B20" s="1" t="s">
        <v>1784</v>
      </c>
    </row>
    <row r="21" spans="1:2" x14ac:dyDescent="0.25">
      <c r="A21" s="76">
        <v>46084</v>
      </c>
      <c r="B21" s="1" t="s">
        <v>1785</v>
      </c>
    </row>
    <row r="22" spans="1:2" x14ac:dyDescent="0.25">
      <c r="A22" s="76">
        <v>46088</v>
      </c>
      <c r="B22" s="1" t="s">
        <v>1783</v>
      </c>
    </row>
    <row r="23" spans="1:2" x14ac:dyDescent="0.25">
      <c r="A23" s="76">
        <v>46089</v>
      </c>
      <c r="B23" s="1" t="s">
        <v>1784</v>
      </c>
    </row>
    <row r="24" spans="1:2" x14ac:dyDescent="0.25">
      <c r="A24" s="76">
        <v>46095</v>
      </c>
      <c r="B24" s="1" t="s">
        <v>1783</v>
      </c>
    </row>
    <row r="25" spans="1:2" x14ac:dyDescent="0.25">
      <c r="A25" s="76">
        <v>46096</v>
      </c>
      <c r="B25" s="1" t="s">
        <v>1784</v>
      </c>
    </row>
    <row r="26" spans="1:2" x14ac:dyDescent="0.25">
      <c r="A26" s="76">
        <v>46102</v>
      </c>
      <c r="B26" s="1" t="s">
        <v>1783</v>
      </c>
    </row>
    <row r="27" spans="1:2" x14ac:dyDescent="0.25">
      <c r="A27" s="76">
        <v>46103</v>
      </c>
      <c r="B27" s="1" t="s">
        <v>1784</v>
      </c>
    </row>
    <row r="28" spans="1:2" x14ac:dyDescent="0.25">
      <c r="A28" s="76">
        <v>46107</v>
      </c>
      <c r="B28" s="1" t="s">
        <v>1785</v>
      </c>
    </row>
    <row r="29" spans="1:2" x14ac:dyDescent="0.25">
      <c r="A29" s="76">
        <v>46109</v>
      </c>
      <c r="B29" s="1" t="s">
        <v>1783</v>
      </c>
    </row>
    <row r="30" spans="1:2" x14ac:dyDescent="0.25">
      <c r="A30" s="76">
        <v>46110</v>
      </c>
      <c r="B30" s="1" t="s">
        <v>1784</v>
      </c>
    </row>
    <row r="31" spans="1:2" x14ac:dyDescent="0.25">
      <c r="A31" s="76">
        <v>46112</v>
      </c>
      <c r="B31" s="1" t="s">
        <v>1785</v>
      </c>
    </row>
    <row r="32" spans="1:2" x14ac:dyDescent="0.25">
      <c r="A32" s="76">
        <v>46115</v>
      </c>
      <c r="B32" s="1" t="s">
        <v>1785</v>
      </c>
    </row>
    <row r="33" spans="1:2" x14ac:dyDescent="0.25">
      <c r="A33" s="76">
        <v>46116</v>
      </c>
      <c r="B33" s="1" t="s">
        <v>1783</v>
      </c>
    </row>
    <row r="34" spans="1:2" x14ac:dyDescent="0.25">
      <c r="A34" s="76">
        <v>46117</v>
      </c>
      <c r="B34" s="1" t="s">
        <v>1784</v>
      </c>
    </row>
    <row r="35" spans="1:2" x14ac:dyDescent="0.25">
      <c r="A35" s="76">
        <v>46123</v>
      </c>
      <c r="B35" s="1" t="s">
        <v>1783</v>
      </c>
    </row>
    <row r="36" spans="1:2" x14ac:dyDescent="0.25">
      <c r="A36" s="76">
        <v>46124</v>
      </c>
      <c r="B36" s="1" t="s">
        <v>1784</v>
      </c>
    </row>
    <row r="37" spans="1:2" x14ac:dyDescent="0.25">
      <c r="A37" s="76">
        <v>46126</v>
      </c>
      <c r="B37" s="1" t="s">
        <v>1785</v>
      </c>
    </row>
    <row r="38" spans="1:2" x14ac:dyDescent="0.25">
      <c r="A38" s="76">
        <v>46130</v>
      </c>
      <c r="B38" s="1" t="s">
        <v>1783</v>
      </c>
    </row>
    <row r="39" spans="1:2" x14ac:dyDescent="0.25">
      <c r="A39" s="76">
        <v>46131</v>
      </c>
      <c r="B39" s="1" t="s">
        <v>1784</v>
      </c>
    </row>
    <row r="40" spans="1:2" x14ac:dyDescent="0.25">
      <c r="A40" s="76">
        <v>46137</v>
      </c>
      <c r="B40" s="1" t="s">
        <v>1783</v>
      </c>
    </row>
    <row r="41" spans="1:2" x14ac:dyDescent="0.25">
      <c r="A41" s="76">
        <v>46138</v>
      </c>
      <c r="B41" s="1" t="s">
        <v>1784</v>
      </c>
    </row>
    <row r="42" spans="1:2" x14ac:dyDescent="0.25">
      <c r="A42" s="76">
        <v>46143</v>
      </c>
      <c r="B42" s="1" t="s">
        <v>1785</v>
      </c>
    </row>
    <row r="43" spans="1:2" x14ac:dyDescent="0.25">
      <c r="A43" s="76">
        <v>46144</v>
      </c>
      <c r="B43" s="1" t="s">
        <v>1783</v>
      </c>
    </row>
    <row r="44" spans="1:2" x14ac:dyDescent="0.25">
      <c r="A44" s="76">
        <v>46145</v>
      </c>
      <c r="B44" s="1" t="s">
        <v>1784</v>
      </c>
    </row>
    <row r="45" spans="1:2" x14ac:dyDescent="0.25">
      <c r="A45" s="76">
        <v>46151</v>
      </c>
      <c r="B45" s="1" t="s">
        <v>1783</v>
      </c>
    </row>
    <row r="46" spans="1:2" x14ac:dyDescent="0.25">
      <c r="A46" s="76">
        <v>46152</v>
      </c>
      <c r="B46" s="1" t="s">
        <v>1784</v>
      </c>
    </row>
    <row r="47" spans="1:2" x14ac:dyDescent="0.25">
      <c r="A47" s="76">
        <v>46158</v>
      </c>
      <c r="B47" s="1" t="s">
        <v>1783</v>
      </c>
    </row>
    <row r="48" spans="1:2" x14ac:dyDescent="0.25">
      <c r="A48" s="76">
        <v>46159</v>
      </c>
      <c r="B48" s="1" t="s">
        <v>1784</v>
      </c>
    </row>
    <row r="49" spans="1:2" x14ac:dyDescent="0.25">
      <c r="A49" s="76">
        <v>46165</v>
      </c>
      <c r="B49" s="1" t="s">
        <v>1783</v>
      </c>
    </row>
    <row r="50" spans="1:2" x14ac:dyDescent="0.25">
      <c r="A50" s="76">
        <v>46166</v>
      </c>
      <c r="B50" s="1" t="s">
        <v>1784</v>
      </c>
    </row>
    <row r="51" spans="1:2" x14ac:dyDescent="0.25">
      <c r="A51" s="76">
        <v>46170</v>
      </c>
      <c r="B51" s="1" t="s">
        <v>1785</v>
      </c>
    </row>
    <row r="52" spans="1:2" x14ac:dyDescent="0.25">
      <c r="A52" s="76">
        <v>46172</v>
      </c>
      <c r="B52" s="1" t="s">
        <v>1783</v>
      </c>
    </row>
    <row r="53" spans="1:2" x14ac:dyDescent="0.25">
      <c r="A53" s="76">
        <v>46173</v>
      </c>
      <c r="B53" s="1" t="s">
        <v>1784</v>
      </c>
    </row>
    <row r="54" spans="1:2" x14ac:dyDescent="0.25">
      <c r="A54" s="76">
        <v>46179</v>
      </c>
      <c r="B54" s="1" t="s">
        <v>1783</v>
      </c>
    </row>
    <row r="55" spans="1:2" x14ac:dyDescent="0.25">
      <c r="A55" s="76">
        <v>46180</v>
      </c>
      <c r="B55" s="1" t="s">
        <v>1784</v>
      </c>
    </row>
    <row r="56" spans="1:2" x14ac:dyDescent="0.25">
      <c r="A56" s="76">
        <v>46186</v>
      </c>
      <c r="B56" s="1" t="s">
        <v>1783</v>
      </c>
    </row>
    <row r="57" spans="1:2" x14ac:dyDescent="0.25">
      <c r="A57" s="76">
        <v>46187</v>
      </c>
      <c r="B57" s="1" t="s">
        <v>1784</v>
      </c>
    </row>
    <row r="58" spans="1:2" x14ac:dyDescent="0.25">
      <c r="A58" s="76">
        <v>46193</v>
      </c>
      <c r="B58" s="1" t="s">
        <v>1783</v>
      </c>
    </row>
    <row r="59" spans="1:2" x14ac:dyDescent="0.25">
      <c r="A59" s="76">
        <v>46194</v>
      </c>
      <c r="B59" s="1" t="s">
        <v>1784</v>
      </c>
    </row>
    <row r="60" spans="1:2" x14ac:dyDescent="0.25">
      <c r="A60" s="76">
        <v>46199</v>
      </c>
      <c r="B60" s="1" t="s">
        <v>1785</v>
      </c>
    </row>
    <row r="61" spans="1:2" x14ac:dyDescent="0.25">
      <c r="A61" s="76">
        <v>46200</v>
      </c>
      <c r="B61" s="1" t="s">
        <v>1783</v>
      </c>
    </row>
    <row r="62" spans="1:2" x14ac:dyDescent="0.25">
      <c r="A62" s="76">
        <v>46201</v>
      </c>
      <c r="B62" s="1" t="s">
        <v>1784</v>
      </c>
    </row>
    <row r="63" spans="1:2" x14ac:dyDescent="0.25">
      <c r="A63" s="76">
        <v>46207</v>
      </c>
      <c r="B63" s="1" t="s">
        <v>1783</v>
      </c>
    </row>
    <row r="64" spans="1:2" x14ac:dyDescent="0.25">
      <c r="A64" s="76">
        <v>46208</v>
      </c>
      <c r="B64" s="1" t="s">
        <v>1784</v>
      </c>
    </row>
    <row r="65" spans="1:2" x14ac:dyDescent="0.25">
      <c r="A65" s="76">
        <v>46214</v>
      </c>
      <c r="B65" s="1" t="s">
        <v>1783</v>
      </c>
    </row>
    <row r="66" spans="1:2" x14ac:dyDescent="0.25">
      <c r="A66" s="76">
        <v>46215</v>
      </c>
      <c r="B66" s="1" t="s">
        <v>1784</v>
      </c>
    </row>
    <row r="67" spans="1:2" x14ac:dyDescent="0.25">
      <c r="A67" s="76">
        <v>46221</v>
      </c>
      <c r="B67" s="1" t="s">
        <v>1783</v>
      </c>
    </row>
    <row r="68" spans="1:2" x14ac:dyDescent="0.25">
      <c r="A68" s="76">
        <v>46222</v>
      </c>
      <c r="B68" s="1" t="s">
        <v>1784</v>
      </c>
    </row>
    <row r="69" spans="1:2" x14ac:dyDescent="0.25">
      <c r="A69" s="76">
        <v>46228</v>
      </c>
      <c r="B69" s="1" t="s">
        <v>1783</v>
      </c>
    </row>
    <row r="70" spans="1:2" x14ac:dyDescent="0.25">
      <c r="A70" s="76">
        <v>46229</v>
      </c>
      <c r="B70" s="1" t="s">
        <v>1784</v>
      </c>
    </row>
    <row r="71" spans="1:2" x14ac:dyDescent="0.25">
      <c r="A71" s="76">
        <v>46235</v>
      </c>
      <c r="B71" s="1" t="s">
        <v>1783</v>
      </c>
    </row>
    <row r="72" spans="1:2" x14ac:dyDescent="0.25">
      <c r="A72" s="76">
        <v>46236</v>
      </c>
      <c r="B72" s="1" t="s">
        <v>1784</v>
      </c>
    </row>
    <row r="73" spans="1:2" x14ac:dyDescent="0.25">
      <c r="A73" s="76">
        <v>46242</v>
      </c>
      <c r="B73" s="1" t="s">
        <v>1783</v>
      </c>
    </row>
    <row r="74" spans="1:2" x14ac:dyDescent="0.25">
      <c r="A74" s="76">
        <v>46243</v>
      </c>
      <c r="B74" s="1" t="s">
        <v>1784</v>
      </c>
    </row>
    <row r="75" spans="1:2" x14ac:dyDescent="0.25">
      <c r="A75" s="76">
        <v>46249</v>
      </c>
      <c r="B75" s="1" t="s">
        <v>1783</v>
      </c>
    </row>
    <row r="76" spans="1:2" x14ac:dyDescent="0.25">
      <c r="A76" s="76">
        <v>46250</v>
      </c>
      <c r="B76" s="1" t="s">
        <v>1784</v>
      </c>
    </row>
    <row r="77" spans="1:2" x14ac:dyDescent="0.25">
      <c r="A77" s="76">
        <v>46256</v>
      </c>
      <c r="B77" s="1" t="s">
        <v>1783</v>
      </c>
    </row>
    <row r="78" spans="1:2" x14ac:dyDescent="0.25">
      <c r="A78" s="76">
        <v>46257</v>
      </c>
      <c r="B78" s="1" t="s">
        <v>1784</v>
      </c>
    </row>
    <row r="79" spans="1:2" x14ac:dyDescent="0.25">
      <c r="A79" s="76">
        <v>46263</v>
      </c>
      <c r="B79" s="1" t="s">
        <v>1783</v>
      </c>
    </row>
    <row r="80" spans="1:2" x14ac:dyDescent="0.25">
      <c r="A80" s="76">
        <v>46264</v>
      </c>
      <c r="B80" s="1" t="s">
        <v>1784</v>
      </c>
    </row>
    <row r="81" spans="1:2" x14ac:dyDescent="0.25">
      <c r="A81" s="76">
        <v>46270</v>
      </c>
      <c r="B81" s="1" t="s">
        <v>1783</v>
      </c>
    </row>
    <row r="82" spans="1:2" x14ac:dyDescent="0.25">
      <c r="A82" s="76">
        <v>46271</v>
      </c>
      <c r="B82" s="1" t="s">
        <v>1784</v>
      </c>
    </row>
    <row r="83" spans="1:2" x14ac:dyDescent="0.25">
      <c r="A83" s="76">
        <v>46277</v>
      </c>
      <c r="B83" s="1" t="s">
        <v>1783</v>
      </c>
    </row>
    <row r="84" spans="1:2" x14ac:dyDescent="0.25">
      <c r="A84" s="76">
        <v>46278</v>
      </c>
      <c r="B84" s="1" t="s">
        <v>1784</v>
      </c>
    </row>
    <row r="85" spans="1:2" x14ac:dyDescent="0.25">
      <c r="A85" s="76">
        <v>46279</v>
      </c>
      <c r="B85" s="1" t="s">
        <v>1785</v>
      </c>
    </row>
    <row r="86" spans="1:2" x14ac:dyDescent="0.25">
      <c r="A86" s="76">
        <v>46284</v>
      </c>
      <c r="B86" s="1" t="s">
        <v>1783</v>
      </c>
    </row>
    <row r="87" spans="1:2" x14ac:dyDescent="0.25">
      <c r="A87" s="76">
        <v>46285</v>
      </c>
      <c r="B87" s="1" t="s">
        <v>1784</v>
      </c>
    </row>
    <row r="88" spans="1:2" x14ac:dyDescent="0.25">
      <c r="A88" s="76">
        <v>46291</v>
      </c>
      <c r="B88" s="1" t="s">
        <v>1783</v>
      </c>
    </row>
    <row r="89" spans="1:2" x14ac:dyDescent="0.25">
      <c r="A89" s="76">
        <v>46292</v>
      </c>
      <c r="B89" s="1" t="s">
        <v>1784</v>
      </c>
    </row>
    <row r="90" spans="1:2" x14ac:dyDescent="0.25">
      <c r="A90" s="76">
        <v>46297</v>
      </c>
      <c r="B90" s="1" t="s">
        <v>1785</v>
      </c>
    </row>
    <row r="91" spans="1:2" x14ac:dyDescent="0.25">
      <c r="A91" s="76">
        <v>46298</v>
      </c>
      <c r="B91" s="1" t="s">
        <v>1783</v>
      </c>
    </row>
    <row r="92" spans="1:2" x14ac:dyDescent="0.25">
      <c r="A92" s="76">
        <v>46299</v>
      </c>
      <c r="B92" s="1" t="s">
        <v>1784</v>
      </c>
    </row>
    <row r="93" spans="1:2" x14ac:dyDescent="0.25">
      <c r="A93" s="76">
        <v>46305</v>
      </c>
      <c r="B93" s="1" t="s">
        <v>1783</v>
      </c>
    </row>
    <row r="94" spans="1:2" x14ac:dyDescent="0.25">
      <c r="A94" s="76">
        <v>46306</v>
      </c>
      <c r="B94" s="1" t="s">
        <v>1784</v>
      </c>
    </row>
    <row r="95" spans="1:2" x14ac:dyDescent="0.25">
      <c r="A95" s="76">
        <v>46312</v>
      </c>
      <c r="B95" s="1" t="s">
        <v>1783</v>
      </c>
    </row>
    <row r="96" spans="1:2" x14ac:dyDescent="0.25">
      <c r="A96" s="76">
        <v>46313</v>
      </c>
      <c r="B96" s="1" t="s">
        <v>1784</v>
      </c>
    </row>
    <row r="97" spans="1:2" x14ac:dyDescent="0.25">
      <c r="A97" s="76">
        <v>46315</v>
      </c>
      <c r="B97" s="1" t="s">
        <v>1785</v>
      </c>
    </row>
    <row r="98" spans="1:2" x14ac:dyDescent="0.25">
      <c r="A98" s="76">
        <v>46319</v>
      </c>
      <c r="B98" s="1" t="s">
        <v>1783</v>
      </c>
    </row>
    <row r="99" spans="1:2" x14ac:dyDescent="0.25">
      <c r="A99" s="76">
        <v>46320</v>
      </c>
      <c r="B99" s="1" t="s">
        <v>1784</v>
      </c>
    </row>
    <row r="100" spans="1:2" x14ac:dyDescent="0.25">
      <c r="A100" s="76">
        <v>46326</v>
      </c>
      <c r="B100" s="1" t="s">
        <v>1783</v>
      </c>
    </row>
    <row r="101" spans="1:2" x14ac:dyDescent="0.25">
      <c r="A101" s="76">
        <v>46327</v>
      </c>
      <c r="B101" s="1" t="s">
        <v>1784</v>
      </c>
    </row>
    <row r="102" spans="1:2" x14ac:dyDescent="0.25">
      <c r="A102" s="76">
        <v>46333</v>
      </c>
      <c r="B102" s="1" t="s">
        <v>1783</v>
      </c>
    </row>
    <row r="103" spans="1:2" x14ac:dyDescent="0.25">
      <c r="A103" s="76">
        <v>46334</v>
      </c>
      <c r="B103" s="1" t="s">
        <v>1784</v>
      </c>
    </row>
    <row r="104" spans="1:2" x14ac:dyDescent="0.25">
      <c r="A104" s="76">
        <v>46336</v>
      </c>
      <c r="B104" s="1" t="s">
        <v>1785</v>
      </c>
    </row>
    <row r="105" spans="1:2" x14ac:dyDescent="0.25">
      <c r="A105" s="76">
        <v>46340</v>
      </c>
      <c r="B105" s="1" t="s">
        <v>1783</v>
      </c>
    </row>
    <row r="106" spans="1:2" x14ac:dyDescent="0.25">
      <c r="A106" s="76">
        <v>46341</v>
      </c>
      <c r="B106" s="1" t="s">
        <v>1784</v>
      </c>
    </row>
    <row r="107" spans="1:2" x14ac:dyDescent="0.25">
      <c r="A107" s="76">
        <v>46347</v>
      </c>
      <c r="B107" s="1" t="s">
        <v>1783</v>
      </c>
    </row>
    <row r="108" spans="1:2" x14ac:dyDescent="0.25">
      <c r="A108" s="76">
        <v>46348</v>
      </c>
      <c r="B108" s="1" t="s">
        <v>1784</v>
      </c>
    </row>
    <row r="109" spans="1:2" x14ac:dyDescent="0.25">
      <c r="A109" s="76">
        <v>46350</v>
      </c>
      <c r="B109" s="1" t="s">
        <v>1785</v>
      </c>
    </row>
    <row r="110" spans="1:2" x14ac:dyDescent="0.25">
      <c r="A110" s="76">
        <v>46354</v>
      </c>
      <c r="B110" s="1" t="s">
        <v>1783</v>
      </c>
    </row>
    <row r="111" spans="1:2" x14ac:dyDescent="0.25">
      <c r="A111" s="76">
        <v>46355</v>
      </c>
      <c r="B111" s="1" t="s">
        <v>1784</v>
      </c>
    </row>
    <row r="112" spans="1:2" x14ac:dyDescent="0.25">
      <c r="A112" s="76">
        <v>46361</v>
      </c>
      <c r="B112" s="1" t="s">
        <v>1783</v>
      </c>
    </row>
    <row r="113" spans="1:2" x14ac:dyDescent="0.25">
      <c r="A113" s="76">
        <v>46362</v>
      </c>
      <c r="B113" s="1" t="s">
        <v>1784</v>
      </c>
    </row>
    <row r="114" spans="1:2" x14ac:dyDescent="0.25">
      <c r="A114" s="76">
        <v>46368</v>
      </c>
      <c r="B114" s="1" t="s">
        <v>1783</v>
      </c>
    </row>
    <row r="115" spans="1:2" x14ac:dyDescent="0.25">
      <c r="A115" s="76">
        <v>46369</v>
      </c>
      <c r="B115" s="1" t="s">
        <v>1784</v>
      </c>
    </row>
    <row r="116" spans="1:2" x14ac:dyDescent="0.25">
      <c r="A116" s="76">
        <v>46375</v>
      </c>
      <c r="B116" s="1" t="s">
        <v>1783</v>
      </c>
    </row>
    <row r="117" spans="1:2" x14ac:dyDescent="0.25">
      <c r="A117" s="76">
        <v>46376</v>
      </c>
      <c r="B117" s="1" t="s">
        <v>1784</v>
      </c>
    </row>
    <row r="118" spans="1:2" x14ac:dyDescent="0.25">
      <c r="A118" s="76">
        <v>46381</v>
      </c>
      <c r="B118" s="1" t="s">
        <v>1785</v>
      </c>
    </row>
    <row r="119" spans="1:2" x14ac:dyDescent="0.25">
      <c r="A119" s="76">
        <v>46382</v>
      </c>
      <c r="B119" s="1" t="s">
        <v>1783</v>
      </c>
    </row>
    <row r="120" spans="1:2" x14ac:dyDescent="0.25">
      <c r="A120" s="76">
        <v>46383</v>
      </c>
      <c r="B120" s="1" t="s">
        <v>1784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EFE2-4FBA-4164-A195-BB36E79FE5D2}">
  <dimension ref="A1:C1381"/>
  <sheetViews>
    <sheetView workbookViewId="0">
      <selection activeCell="D2" sqref="D2"/>
    </sheetView>
  </sheetViews>
  <sheetFormatPr defaultRowHeight="15" x14ac:dyDescent="0.25"/>
  <cols>
    <col min="2" max="2" width="19.85546875" bestFit="1" customWidth="1"/>
    <col min="3" max="3" width="16.28515625" bestFit="1" customWidth="1"/>
  </cols>
  <sheetData>
    <row r="1" spans="1:3" x14ac:dyDescent="0.25">
      <c r="A1" s="73" t="s">
        <v>1771</v>
      </c>
      <c r="B1" s="73" t="s">
        <v>1772</v>
      </c>
      <c r="C1" s="73" t="s">
        <v>1773</v>
      </c>
    </row>
    <row r="2" spans="1:3" x14ac:dyDescent="0.25">
      <c r="A2" s="1" t="s">
        <v>173</v>
      </c>
      <c r="B2" s="74">
        <v>46003</v>
      </c>
      <c r="C2" s="75">
        <v>500</v>
      </c>
    </row>
    <row r="3" spans="1:3" x14ac:dyDescent="0.25">
      <c r="A3" s="1" t="s">
        <v>322</v>
      </c>
      <c r="B3" s="74">
        <v>46006</v>
      </c>
      <c r="C3" s="75">
        <v>500</v>
      </c>
    </row>
    <row r="4" spans="1:3" x14ac:dyDescent="0.25">
      <c r="A4" s="1" t="s">
        <v>72</v>
      </c>
      <c r="B4" s="74">
        <v>46008</v>
      </c>
      <c r="C4" s="75">
        <v>500</v>
      </c>
    </row>
    <row r="5" spans="1:3" x14ac:dyDescent="0.25">
      <c r="A5" s="1" t="s">
        <v>1165</v>
      </c>
      <c r="B5" s="74">
        <v>46017</v>
      </c>
      <c r="C5" s="75">
        <v>500</v>
      </c>
    </row>
    <row r="6" spans="1:3" x14ac:dyDescent="0.25">
      <c r="A6" s="1" t="s">
        <v>126</v>
      </c>
      <c r="B6" s="74">
        <v>46037</v>
      </c>
      <c r="C6" s="75">
        <v>1000</v>
      </c>
    </row>
    <row r="7" spans="1:3" x14ac:dyDescent="0.25">
      <c r="A7" s="1" t="s">
        <v>1337</v>
      </c>
      <c r="B7" s="74">
        <v>46056</v>
      </c>
      <c r="C7" s="75">
        <v>1001</v>
      </c>
    </row>
    <row r="8" spans="1:3" x14ac:dyDescent="0.25">
      <c r="A8" s="1" t="s">
        <v>6</v>
      </c>
      <c r="B8" s="74">
        <v>46057</v>
      </c>
      <c r="C8" s="75">
        <v>1000</v>
      </c>
    </row>
    <row r="9" spans="1:3" x14ac:dyDescent="0.25">
      <c r="A9" s="1" t="s">
        <v>822</v>
      </c>
      <c r="B9" s="74">
        <v>46059</v>
      </c>
      <c r="C9" s="75">
        <v>1000</v>
      </c>
    </row>
    <row r="10" spans="1:3" x14ac:dyDescent="0.25">
      <c r="A10" s="1" t="s">
        <v>826</v>
      </c>
      <c r="B10" s="74">
        <v>46078</v>
      </c>
      <c r="C10" s="75">
        <v>2500</v>
      </c>
    </row>
    <row r="11" spans="1:3" x14ac:dyDescent="0.25">
      <c r="A11" s="1" t="s">
        <v>914</v>
      </c>
      <c r="B11" s="74">
        <v>46087</v>
      </c>
      <c r="C11" s="75">
        <v>527</v>
      </c>
    </row>
    <row r="12" spans="1:3" x14ac:dyDescent="0.25">
      <c r="A12" s="1" t="s">
        <v>1038</v>
      </c>
      <c r="B12" s="74">
        <v>46100</v>
      </c>
      <c r="C12" s="75">
        <v>1000</v>
      </c>
    </row>
    <row r="13" spans="1:3" x14ac:dyDescent="0.25">
      <c r="A13" s="1" t="s">
        <v>459</v>
      </c>
      <c r="B13" s="74">
        <v>46106</v>
      </c>
      <c r="C13" s="75">
        <v>1000</v>
      </c>
    </row>
    <row r="14" spans="1:3" x14ac:dyDescent="0.25">
      <c r="A14" s="1" t="s">
        <v>152</v>
      </c>
      <c r="B14" s="74">
        <v>46112</v>
      </c>
      <c r="C14" s="75">
        <v>1000</v>
      </c>
    </row>
    <row r="15" spans="1:3" x14ac:dyDescent="0.25">
      <c r="A15" s="1" t="s">
        <v>168</v>
      </c>
      <c r="B15" s="74">
        <v>46120</v>
      </c>
      <c r="C15" s="75">
        <v>1000</v>
      </c>
    </row>
    <row r="16" spans="1:3" x14ac:dyDescent="0.25">
      <c r="A16" s="1" t="s">
        <v>753</v>
      </c>
      <c r="B16" s="74">
        <v>46130</v>
      </c>
      <c r="C16" s="75">
        <v>1000</v>
      </c>
    </row>
    <row r="17" spans="1:3" x14ac:dyDescent="0.25">
      <c r="A17" s="1" t="s">
        <v>598</v>
      </c>
      <c r="B17" s="74">
        <v>46134</v>
      </c>
      <c r="C17" s="75">
        <v>1000</v>
      </c>
    </row>
    <row r="18" spans="1:3" x14ac:dyDescent="0.25">
      <c r="A18" s="1" t="s">
        <v>1255</v>
      </c>
      <c r="B18" s="74">
        <v>46135</v>
      </c>
      <c r="C18" s="75">
        <v>1000</v>
      </c>
    </row>
    <row r="19" spans="1:3" x14ac:dyDescent="0.25">
      <c r="A19" s="1" t="s">
        <v>864</v>
      </c>
      <c r="B19" s="74">
        <v>46139</v>
      </c>
      <c r="C19" s="75">
        <v>1000</v>
      </c>
    </row>
    <row r="20" spans="1:3" x14ac:dyDescent="0.25">
      <c r="A20" s="1" t="s">
        <v>208</v>
      </c>
      <c r="B20" s="74">
        <v>46139</v>
      </c>
      <c r="C20" s="75">
        <v>1000</v>
      </c>
    </row>
    <row r="21" spans="1:3" x14ac:dyDescent="0.25">
      <c r="A21" s="1" t="s">
        <v>696</v>
      </c>
      <c r="B21" s="74">
        <v>46141</v>
      </c>
      <c r="C21" s="75">
        <v>1000</v>
      </c>
    </row>
    <row r="22" spans="1:3" x14ac:dyDescent="0.25">
      <c r="A22" s="1" t="s">
        <v>308</v>
      </c>
      <c r="B22" s="74">
        <v>46150</v>
      </c>
      <c r="C22" s="75">
        <v>1000</v>
      </c>
    </row>
    <row r="23" spans="1:3" x14ac:dyDescent="0.25">
      <c r="A23" s="1" t="s">
        <v>246</v>
      </c>
      <c r="B23" s="74">
        <v>46164</v>
      </c>
      <c r="C23" s="75">
        <v>1000</v>
      </c>
    </row>
    <row r="24" spans="1:3" x14ac:dyDescent="0.25">
      <c r="A24" s="1" t="s">
        <v>1368</v>
      </c>
      <c r="B24" s="74">
        <v>46169</v>
      </c>
      <c r="C24" s="75">
        <v>2000</v>
      </c>
    </row>
    <row r="25" spans="1:3" x14ac:dyDescent="0.25">
      <c r="A25" s="1" t="s">
        <v>1131</v>
      </c>
      <c r="B25" s="74">
        <v>46171</v>
      </c>
      <c r="C25" s="75">
        <v>1000</v>
      </c>
    </row>
    <row r="26" spans="1:3" x14ac:dyDescent="0.25">
      <c r="A26" s="1" t="s">
        <v>309</v>
      </c>
      <c r="B26" s="74">
        <v>46175</v>
      </c>
      <c r="C26" s="75">
        <v>1000</v>
      </c>
    </row>
    <row r="27" spans="1:3" x14ac:dyDescent="0.25">
      <c r="A27" s="1" t="s">
        <v>336</v>
      </c>
      <c r="B27" s="74">
        <v>46184</v>
      </c>
      <c r="C27" s="75">
        <v>46</v>
      </c>
    </row>
    <row r="28" spans="1:3" x14ac:dyDescent="0.25">
      <c r="A28" s="1" t="s">
        <v>548</v>
      </c>
      <c r="B28" s="74">
        <v>46186</v>
      </c>
      <c r="C28" s="75">
        <v>472.5</v>
      </c>
    </row>
    <row r="29" spans="1:3" x14ac:dyDescent="0.25">
      <c r="A29" s="1" t="s">
        <v>134</v>
      </c>
      <c r="B29" s="74">
        <v>46190</v>
      </c>
      <c r="C29" s="75">
        <v>1000</v>
      </c>
    </row>
    <row r="30" spans="1:3" x14ac:dyDescent="0.25">
      <c r="A30" s="1" t="s">
        <v>224</v>
      </c>
      <c r="B30" s="74">
        <v>46191</v>
      </c>
      <c r="C30" s="75">
        <v>1000</v>
      </c>
    </row>
    <row r="31" spans="1:3" x14ac:dyDescent="0.25">
      <c r="A31" s="1" t="s">
        <v>13</v>
      </c>
      <c r="B31" s="74">
        <v>46191</v>
      </c>
      <c r="C31" s="75">
        <v>5000</v>
      </c>
    </row>
    <row r="32" spans="1:3" x14ac:dyDescent="0.25">
      <c r="A32" s="1" t="s">
        <v>1120</v>
      </c>
      <c r="B32" s="74">
        <v>46191</v>
      </c>
      <c r="C32" s="75">
        <v>800</v>
      </c>
    </row>
    <row r="33" spans="1:3" x14ac:dyDescent="0.25">
      <c r="A33" s="1" t="s">
        <v>579</v>
      </c>
      <c r="B33" s="74">
        <v>46192</v>
      </c>
      <c r="C33" s="75">
        <v>451</v>
      </c>
    </row>
    <row r="34" spans="1:3" x14ac:dyDescent="0.25">
      <c r="A34" s="1" t="s">
        <v>757</v>
      </c>
      <c r="B34" s="74">
        <v>46194</v>
      </c>
      <c r="C34" s="75">
        <v>1000</v>
      </c>
    </row>
    <row r="35" spans="1:3" x14ac:dyDescent="0.25">
      <c r="A35" s="1" t="s">
        <v>222</v>
      </c>
      <c r="B35" s="74">
        <v>46197</v>
      </c>
      <c r="C35" s="75">
        <v>10000</v>
      </c>
    </row>
    <row r="36" spans="1:3" x14ac:dyDescent="0.25">
      <c r="A36" s="1" t="s">
        <v>560</v>
      </c>
      <c r="B36" s="74">
        <v>46198</v>
      </c>
      <c r="C36" s="75">
        <v>1000</v>
      </c>
    </row>
    <row r="37" spans="1:3" x14ac:dyDescent="0.25">
      <c r="A37" s="1" t="s">
        <v>260</v>
      </c>
      <c r="B37" s="74">
        <v>46198</v>
      </c>
      <c r="C37" s="75">
        <v>1000</v>
      </c>
    </row>
    <row r="38" spans="1:3" x14ac:dyDescent="0.25">
      <c r="A38" s="1" t="s">
        <v>456</v>
      </c>
      <c r="B38" s="74">
        <v>46198</v>
      </c>
      <c r="C38" s="75">
        <v>22</v>
      </c>
    </row>
    <row r="39" spans="1:3" x14ac:dyDescent="0.25">
      <c r="A39" s="1" t="s">
        <v>360</v>
      </c>
      <c r="B39" s="74">
        <v>46199</v>
      </c>
      <c r="C39" s="75">
        <v>1000</v>
      </c>
    </row>
    <row r="40" spans="1:3" x14ac:dyDescent="0.25">
      <c r="A40" s="1" t="s">
        <v>375</v>
      </c>
      <c r="B40" s="74">
        <v>46199</v>
      </c>
      <c r="C40" s="75">
        <v>5000</v>
      </c>
    </row>
    <row r="41" spans="1:3" x14ac:dyDescent="0.25">
      <c r="A41" s="1" t="s">
        <v>419</v>
      </c>
      <c r="B41" s="74">
        <v>46200</v>
      </c>
      <c r="C41" s="75">
        <v>500</v>
      </c>
    </row>
    <row r="42" spans="1:3" x14ac:dyDescent="0.25">
      <c r="A42" s="1" t="s">
        <v>229</v>
      </c>
      <c r="B42" s="74">
        <v>46202</v>
      </c>
      <c r="C42" s="75">
        <v>20000</v>
      </c>
    </row>
    <row r="43" spans="1:3" x14ac:dyDescent="0.25">
      <c r="A43" s="1" t="s">
        <v>566</v>
      </c>
      <c r="B43" s="74">
        <v>46202</v>
      </c>
      <c r="C43" s="75">
        <v>2000</v>
      </c>
    </row>
    <row r="44" spans="1:3" x14ac:dyDescent="0.25">
      <c r="A44" s="1" t="s">
        <v>589</v>
      </c>
      <c r="B44" s="74">
        <v>46202</v>
      </c>
      <c r="C44" s="75">
        <v>447</v>
      </c>
    </row>
    <row r="45" spans="1:3" x14ac:dyDescent="0.25">
      <c r="A45" s="1" t="s">
        <v>323</v>
      </c>
      <c r="B45" s="74">
        <v>46202</v>
      </c>
      <c r="C45" s="75">
        <v>2000</v>
      </c>
    </row>
    <row r="46" spans="1:3" x14ac:dyDescent="0.25">
      <c r="A46" s="1" t="s">
        <v>473</v>
      </c>
      <c r="B46" s="74">
        <v>46202</v>
      </c>
      <c r="C46" s="75">
        <v>1000</v>
      </c>
    </row>
    <row r="47" spans="1:3" x14ac:dyDescent="0.25">
      <c r="A47" s="1" t="s">
        <v>247</v>
      </c>
      <c r="B47" s="74">
        <v>46202</v>
      </c>
      <c r="C47" s="75">
        <v>1500</v>
      </c>
    </row>
    <row r="48" spans="1:3" x14ac:dyDescent="0.25">
      <c r="A48" s="1" t="s">
        <v>580</v>
      </c>
      <c r="B48" s="74">
        <v>46202</v>
      </c>
      <c r="C48" s="75">
        <v>10000</v>
      </c>
    </row>
    <row r="49" spans="1:3" x14ac:dyDescent="0.25">
      <c r="A49" s="1" t="s">
        <v>1287</v>
      </c>
      <c r="B49" s="74">
        <v>46202</v>
      </c>
      <c r="C49" s="75">
        <v>1000</v>
      </c>
    </row>
    <row r="50" spans="1:3" x14ac:dyDescent="0.25">
      <c r="A50" s="1" t="s">
        <v>1177</v>
      </c>
      <c r="B50" s="74">
        <v>46202</v>
      </c>
      <c r="C50" s="75">
        <v>50000</v>
      </c>
    </row>
    <row r="51" spans="1:3" x14ac:dyDescent="0.25">
      <c r="A51" s="1" t="s">
        <v>1102</v>
      </c>
      <c r="B51" s="74">
        <v>46202</v>
      </c>
      <c r="C51" s="75">
        <v>1</v>
      </c>
    </row>
    <row r="52" spans="1:3" x14ac:dyDescent="0.25">
      <c r="A52" s="1" t="s">
        <v>1004</v>
      </c>
      <c r="B52" s="74">
        <v>46203</v>
      </c>
      <c r="C52" s="75">
        <v>10000</v>
      </c>
    </row>
    <row r="53" spans="1:3" x14ac:dyDescent="0.25">
      <c r="A53" s="1" t="s">
        <v>827</v>
      </c>
      <c r="B53" s="74">
        <v>46203</v>
      </c>
      <c r="C53" s="75">
        <v>1000</v>
      </c>
    </row>
    <row r="54" spans="1:3" x14ac:dyDescent="0.25">
      <c r="A54" s="1" t="s">
        <v>71</v>
      </c>
      <c r="B54" s="74">
        <v>46203</v>
      </c>
      <c r="C54" s="75">
        <v>1000</v>
      </c>
    </row>
    <row r="55" spans="1:3" x14ac:dyDescent="0.25">
      <c r="A55" s="1" t="s">
        <v>1110</v>
      </c>
      <c r="B55" s="74">
        <v>46203</v>
      </c>
      <c r="C55" s="75">
        <v>1000</v>
      </c>
    </row>
    <row r="56" spans="1:3" x14ac:dyDescent="0.25">
      <c r="A56" s="1" t="s">
        <v>1346</v>
      </c>
      <c r="B56" s="74">
        <v>46203</v>
      </c>
      <c r="C56" s="75">
        <v>1000</v>
      </c>
    </row>
    <row r="57" spans="1:3" x14ac:dyDescent="0.25">
      <c r="A57" s="1" t="s">
        <v>701</v>
      </c>
      <c r="B57" s="74">
        <v>46203</v>
      </c>
      <c r="C57" s="75">
        <v>10000</v>
      </c>
    </row>
    <row r="58" spans="1:3" x14ac:dyDescent="0.25">
      <c r="A58" s="1" t="s">
        <v>1197</v>
      </c>
      <c r="B58" s="74">
        <v>46203</v>
      </c>
      <c r="C58" s="75">
        <v>1000</v>
      </c>
    </row>
    <row r="59" spans="1:3" x14ac:dyDescent="0.25">
      <c r="A59" s="1" t="s">
        <v>669</v>
      </c>
      <c r="B59" s="74">
        <v>46203</v>
      </c>
      <c r="C59" s="75">
        <v>1000</v>
      </c>
    </row>
    <row r="60" spans="1:3" x14ac:dyDescent="0.25">
      <c r="A60" s="1" t="s">
        <v>702</v>
      </c>
      <c r="B60" s="74">
        <v>46203</v>
      </c>
      <c r="C60" s="75">
        <v>1000</v>
      </c>
    </row>
    <row r="61" spans="1:3" x14ac:dyDescent="0.25">
      <c r="A61" s="1" t="s">
        <v>1252</v>
      </c>
      <c r="B61" s="74">
        <v>46203</v>
      </c>
      <c r="C61" s="75">
        <v>10000</v>
      </c>
    </row>
    <row r="62" spans="1:3" x14ac:dyDescent="0.25">
      <c r="A62" s="1" t="s">
        <v>751</v>
      </c>
      <c r="B62" s="74">
        <v>46203</v>
      </c>
      <c r="C62" s="75">
        <v>500</v>
      </c>
    </row>
    <row r="63" spans="1:3" x14ac:dyDescent="0.25">
      <c r="A63" s="1" t="s">
        <v>1211</v>
      </c>
      <c r="B63" s="74">
        <v>46203</v>
      </c>
      <c r="C63" s="75">
        <v>1000</v>
      </c>
    </row>
    <row r="64" spans="1:3" x14ac:dyDescent="0.25">
      <c r="A64" s="1" t="s">
        <v>1266</v>
      </c>
      <c r="B64" s="74">
        <v>46203</v>
      </c>
      <c r="C64" s="75">
        <v>1000</v>
      </c>
    </row>
    <row r="65" spans="1:3" x14ac:dyDescent="0.25">
      <c r="A65" s="1" t="s">
        <v>462</v>
      </c>
      <c r="B65" s="74">
        <v>46204</v>
      </c>
      <c r="C65" s="75">
        <v>4000</v>
      </c>
    </row>
    <row r="66" spans="1:3" x14ac:dyDescent="0.25">
      <c r="A66" s="1" t="s">
        <v>1219</v>
      </c>
      <c r="B66" s="74">
        <v>46204</v>
      </c>
      <c r="C66" s="75">
        <v>2000</v>
      </c>
    </row>
    <row r="67" spans="1:3" x14ac:dyDescent="0.25">
      <c r="A67" s="1" t="s">
        <v>1334</v>
      </c>
      <c r="B67" s="74">
        <v>46204</v>
      </c>
      <c r="C67" s="75">
        <v>5000</v>
      </c>
    </row>
    <row r="68" spans="1:3" x14ac:dyDescent="0.25">
      <c r="A68" s="1" t="s">
        <v>951</v>
      </c>
      <c r="B68" s="74">
        <v>46204</v>
      </c>
      <c r="C68" s="75">
        <v>1000</v>
      </c>
    </row>
    <row r="69" spans="1:3" x14ac:dyDescent="0.25">
      <c r="A69" s="1" t="s">
        <v>939</v>
      </c>
      <c r="B69" s="74">
        <v>46204</v>
      </c>
      <c r="C69" s="75">
        <v>1000</v>
      </c>
    </row>
    <row r="70" spans="1:3" x14ac:dyDescent="0.25">
      <c r="A70" s="1" t="s">
        <v>281</v>
      </c>
      <c r="B70" s="74">
        <v>46204</v>
      </c>
      <c r="C70" s="75">
        <v>1500</v>
      </c>
    </row>
    <row r="71" spans="1:3" x14ac:dyDescent="0.25">
      <c r="A71" s="1" t="s">
        <v>723</v>
      </c>
      <c r="B71" s="74">
        <v>46204</v>
      </c>
      <c r="C71" s="75">
        <v>1000</v>
      </c>
    </row>
    <row r="72" spans="1:3" x14ac:dyDescent="0.25">
      <c r="A72" s="1" t="s">
        <v>1180</v>
      </c>
      <c r="B72" s="74">
        <v>46204</v>
      </c>
      <c r="C72" s="75">
        <v>4000</v>
      </c>
    </row>
    <row r="73" spans="1:3" x14ac:dyDescent="0.25">
      <c r="A73" s="1" t="s">
        <v>1288</v>
      </c>
      <c r="B73" s="74">
        <v>46204</v>
      </c>
      <c r="C73" s="75">
        <v>2000</v>
      </c>
    </row>
    <row r="74" spans="1:3" x14ac:dyDescent="0.25">
      <c r="A74" s="1" t="s">
        <v>1178</v>
      </c>
      <c r="B74" s="74">
        <v>46204</v>
      </c>
      <c r="C74" s="75">
        <v>3000</v>
      </c>
    </row>
    <row r="75" spans="1:3" x14ac:dyDescent="0.25">
      <c r="A75" s="1" t="s">
        <v>235</v>
      </c>
      <c r="B75" s="74">
        <v>46204</v>
      </c>
      <c r="C75" s="75">
        <v>45000</v>
      </c>
    </row>
    <row r="76" spans="1:3" x14ac:dyDescent="0.25">
      <c r="A76" s="1" t="s">
        <v>1157</v>
      </c>
      <c r="B76" s="74">
        <v>46204</v>
      </c>
      <c r="C76" s="75">
        <v>1200</v>
      </c>
    </row>
    <row r="77" spans="1:3" x14ac:dyDescent="0.25">
      <c r="A77" s="1" t="s">
        <v>1228</v>
      </c>
      <c r="B77" s="74">
        <v>46204</v>
      </c>
      <c r="C77" s="75">
        <v>4400</v>
      </c>
    </row>
    <row r="78" spans="1:3" x14ac:dyDescent="0.25">
      <c r="A78" s="1" t="s">
        <v>758</v>
      </c>
      <c r="B78" s="74">
        <v>46204</v>
      </c>
      <c r="C78" s="75">
        <v>2000</v>
      </c>
    </row>
    <row r="79" spans="1:3" x14ac:dyDescent="0.25">
      <c r="A79" s="1" t="s">
        <v>88</v>
      </c>
      <c r="B79" s="74">
        <v>46204</v>
      </c>
      <c r="C79" s="75">
        <v>3000</v>
      </c>
    </row>
    <row r="80" spans="1:3" x14ac:dyDescent="0.25">
      <c r="A80" s="1" t="s">
        <v>405</v>
      </c>
      <c r="B80" s="74">
        <v>46204</v>
      </c>
      <c r="C80" s="75">
        <v>2200</v>
      </c>
    </row>
    <row r="81" spans="1:3" x14ac:dyDescent="0.25">
      <c r="A81" s="1" t="s">
        <v>431</v>
      </c>
      <c r="B81" s="74">
        <v>46204</v>
      </c>
      <c r="C81" s="75">
        <v>10000</v>
      </c>
    </row>
    <row r="82" spans="1:3" x14ac:dyDescent="0.25">
      <c r="A82" s="1" t="s">
        <v>1187</v>
      </c>
      <c r="B82" s="74">
        <v>46204</v>
      </c>
      <c r="C82" s="75">
        <v>4000</v>
      </c>
    </row>
    <row r="83" spans="1:3" x14ac:dyDescent="0.25">
      <c r="A83" s="1" t="s">
        <v>416</v>
      </c>
      <c r="B83" s="74">
        <v>46204</v>
      </c>
      <c r="C83" s="75">
        <v>1000</v>
      </c>
    </row>
    <row r="84" spans="1:3" x14ac:dyDescent="0.25">
      <c r="A84" s="1" t="s">
        <v>189</v>
      </c>
      <c r="B84" s="74">
        <v>46204</v>
      </c>
      <c r="C84" s="75">
        <v>2000</v>
      </c>
    </row>
    <row r="85" spans="1:3" x14ac:dyDescent="0.25">
      <c r="A85" s="1" t="s">
        <v>355</v>
      </c>
      <c r="B85" s="74">
        <v>46204</v>
      </c>
      <c r="C85" s="75">
        <v>1000</v>
      </c>
    </row>
    <row r="86" spans="1:3" x14ac:dyDescent="0.25">
      <c r="A86" s="1" t="s">
        <v>133</v>
      </c>
      <c r="B86" s="74">
        <v>46204</v>
      </c>
      <c r="C86" s="75">
        <v>9000</v>
      </c>
    </row>
    <row r="87" spans="1:3" x14ac:dyDescent="0.25">
      <c r="A87" s="1" t="s">
        <v>655</v>
      </c>
      <c r="B87" s="74">
        <v>46204</v>
      </c>
      <c r="C87" s="75">
        <v>1000</v>
      </c>
    </row>
    <row r="88" spans="1:3" x14ac:dyDescent="0.25">
      <c r="A88" s="1" t="s">
        <v>356</v>
      </c>
      <c r="B88" s="74">
        <v>46204</v>
      </c>
      <c r="C88" s="75">
        <v>1000</v>
      </c>
    </row>
    <row r="89" spans="1:3" x14ac:dyDescent="0.25">
      <c r="A89" s="1" t="s">
        <v>98</v>
      </c>
      <c r="B89" s="74">
        <v>46204</v>
      </c>
      <c r="C89" s="75">
        <v>1000</v>
      </c>
    </row>
    <row r="90" spans="1:3" x14ac:dyDescent="0.25">
      <c r="A90" s="1" t="s">
        <v>207</v>
      </c>
      <c r="B90" s="74">
        <v>46204</v>
      </c>
      <c r="C90" s="75">
        <v>2000</v>
      </c>
    </row>
    <row r="91" spans="1:3" x14ac:dyDescent="0.25">
      <c r="A91" s="1" t="s">
        <v>1256</v>
      </c>
      <c r="B91" s="74">
        <v>46204</v>
      </c>
      <c r="C91" s="75">
        <v>1000</v>
      </c>
    </row>
    <row r="92" spans="1:3" x14ac:dyDescent="0.25">
      <c r="A92" s="1" t="s">
        <v>64</v>
      </c>
      <c r="B92" s="74">
        <v>46204</v>
      </c>
      <c r="C92" s="75">
        <v>1000</v>
      </c>
    </row>
    <row r="93" spans="1:3" x14ac:dyDescent="0.25">
      <c r="A93" s="1" t="s">
        <v>593</v>
      </c>
      <c r="B93" s="74">
        <v>46204</v>
      </c>
      <c r="C93" s="75">
        <v>1000</v>
      </c>
    </row>
    <row r="94" spans="1:3" x14ac:dyDescent="0.25">
      <c r="A94" s="1" t="s">
        <v>136</v>
      </c>
      <c r="B94" s="74">
        <v>46204</v>
      </c>
      <c r="C94" s="75">
        <v>1000</v>
      </c>
    </row>
    <row r="95" spans="1:3" x14ac:dyDescent="0.25">
      <c r="A95" s="1" t="s">
        <v>597</v>
      </c>
      <c r="B95" s="74">
        <v>46204</v>
      </c>
      <c r="C95" s="75">
        <v>1000</v>
      </c>
    </row>
    <row r="96" spans="1:3" x14ac:dyDescent="0.25">
      <c r="A96" s="1" t="s">
        <v>218</v>
      </c>
      <c r="B96" s="74">
        <v>46204</v>
      </c>
      <c r="C96" s="75">
        <v>5000</v>
      </c>
    </row>
    <row r="97" spans="1:3" x14ac:dyDescent="0.25">
      <c r="A97" s="1" t="s">
        <v>1345</v>
      </c>
      <c r="B97" s="74">
        <v>46204</v>
      </c>
      <c r="C97" s="75">
        <v>2000</v>
      </c>
    </row>
    <row r="98" spans="1:3" x14ac:dyDescent="0.25">
      <c r="A98" s="1" t="s">
        <v>175</v>
      </c>
      <c r="B98" s="74">
        <v>46204</v>
      </c>
      <c r="C98" s="75">
        <v>1500</v>
      </c>
    </row>
    <row r="99" spans="1:3" x14ac:dyDescent="0.25">
      <c r="A99" s="1" t="s">
        <v>327</v>
      </c>
      <c r="B99" s="74">
        <v>46204</v>
      </c>
      <c r="C99" s="75">
        <v>1500</v>
      </c>
    </row>
    <row r="100" spans="1:3" x14ac:dyDescent="0.25">
      <c r="A100" s="1" t="s">
        <v>889</v>
      </c>
      <c r="B100" s="74">
        <v>46204</v>
      </c>
      <c r="C100" s="75">
        <v>4000</v>
      </c>
    </row>
    <row r="101" spans="1:3" x14ac:dyDescent="0.25">
      <c r="A101" s="1" t="s">
        <v>639</v>
      </c>
      <c r="B101" s="74">
        <v>46204</v>
      </c>
      <c r="C101" s="75">
        <v>200000</v>
      </c>
    </row>
    <row r="102" spans="1:3" x14ac:dyDescent="0.25">
      <c r="A102" s="1" t="s">
        <v>204</v>
      </c>
      <c r="B102" s="74">
        <v>46204</v>
      </c>
      <c r="C102" s="75">
        <v>1000</v>
      </c>
    </row>
    <row r="103" spans="1:3" x14ac:dyDescent="0.25">
      <c r="A103" s="1" t="s">
        <v>174</v>
      </c>
      <c r="B103" s="74">
        <v>46204</v>
      </c>
      <c r="C103" s="75">
        <v>1000</v>
      </c>
    </row>
    <row r="104" spans="1:3" x14ac:dyDescent="0.25">
      <c r="A104" s="1" t="s">
        <v>983</v>
      </c>
      <c r="B104" s="74">
        <v>46204</v>
      </c>
      <c r="C104" s="75">
        <v>1000</v>
      </c>
    </row>
    <row r="105" spans="1:3" x14ac:dyDescent="0.25">
      <c r="A105" s="1" t="s">
        <v>1271</v>
      </c>
      <c r="B105" s="74">
        <v>46204</v>
      </c>
      <c r="C105" s="75">
        <v>5000</v>
      </c>
    </row>
    <row r="106" spans="1:3" x14ac:dyDescent="0.25">
      <c r="A106" s="1" t="s">
        <v>978</v>
      </c>
      <c r="B106" s="74">
        <v>46204</v>
      </c>
      <c r="C106" s="75">
        <v>5000</v>
      </c>
    </row>
    <row r="107" spans="1:3" x14ac:dyDescent="0.25">
      <c r="A107" s="1" t="s">
        <v>253</v>
      </c>
      <c r="B107" s="74">
        <v>46204</v>
      </c>
      <c r="C107" s="75">
        <v>2000</v>
      </c>
    </row>
    <row r="108" spans="1:3" x14ac:dyDescent="0.25">
      <c r="A108" s="1" t="s">
        <v>530</v>
      </c>
      <c r="B108" s="74">
        <v>46204</v>
      </c>
      <c r="C108" s="75">
        <v>1000</v>
      </c>
    </row>
    <row r="109" spans="1:3" x14ac:dyDescent="0.25">
      <c r="A109" s="1" t="s">
        <v>1137</v>
      </c>
      <c r="B109" s="74">
        <v>46204</v>
      </c>
      <c r="C109" s="75">
        <v>3000</v>
      </c>
    </row>
    <row r="110" spans="1:3" x14ac:dyDescent="0.25">
      <c r="A110" s="1" t="s">
        <v>499</v>
      </c>
      <c r="B110" s="74">
        <v>46204</v>
      </c>
      <c r="C110" s="75">
        <v>1000</v>
      </c>
    </row>
    <row r="111" spans="1:3" x14ac:dyDescent="0.25">
      <c r="A111" s="1" t="s">
        <v>921</v>
      </c>
      <c r="B111" s="74">
        <v>46204</v>
      </c>
      <c r="C111" s="75">
        <v>1000</v>
      </c>
    </row>
    <row r="112" spans="1:3" x14ac:dyDescent="0.25">
      <c r="A112" s="1" t="s">
        <v>959</v>
      </c>
      <c r="B112" s="74">
        <v>46204</v>
      </c>
      <c r="C112" s="75">
        <v>2000</v>
      </c>
    </row>
    <row r="113" spans="1:3" x14ac:dyDescent="0.25">
      <c r="A113" s="1" t="s">
        <v>1094</v>
      </c>
      <c r="B113" s="74">
        <v>46204</v>
      </c>
      <c r="C113" s="75">
        <v>5000</v>
      </c>
    </row>
    <row r="114" spans="1:3" x14ac:dyDescent="0.25">
      <c r="A114" s="1" t="s">
        <v>1026</v>
      </c>
      <c r="B114" s="74">
        <v>46205</v>
      </c>
      <c r="C114" s="75">
        <v>5000</v>
      </c>
    </row>
    <row r="115" spans="1:3" x14ac:dyDescent="0.25">
      <c r="A115" s="1" t="s">
        <v>937</v>
      </c>
      <c r="B115" s="74">
        <v>46205</v>
      </c>
      <c r="C115" s="75">
        <v>1000</v>
      </c>
    </row>
    <row r="116" spans="1:3" x14ac:dyDescent="0.25">
      <c r="A116" s="1" t="s">
        <v>618</v>
      </c>
      <c r="B116" s="74">
        <v>46205</v>
      </c>
      <c r="C116" s="75">
        <v>10000</v>
      </c>
    </row>
    <row r="117" spans="1:3" x14ac:dyDescent="0.25">
      <c r="A117" s="1" t="s">
        <v>524</v>
      </c>
      <c r="B117" s="74">
        <v>46205</v>
      </c>
      <c r="C117" s="75">
        <v>1000</v>
      </c>
    </row>
    <row r="118" spans="1:3" x14ac:dyDescent="0.25">
      <c r="A118" s="1" t="s">
        <v>223</v>
      </c>
      <c r="B118" s="74">
        <v>46205</v>
      </c>
      <c r="C118" s="75">
        <v>2000</v>
      </c>
    </row>
    <row r="119" spans="1:3" x14ac:dyDescent="0.25">
      <c r="A119" s="1" t="s">
        <v>573</v>
      </c>
      <c r="B119" s="74">
        <v>46205</v>
      </c>
      <c r="C119" s="75">
        <v>1000</v>
      </c>
    </row>
    <row r="120" spans="1:3" x14ac:dyDescent="0.25">
      <c r="A120" s="1" t="s">
        <v>706</v>
      </c>
      <c r="B120" s="74">
        <v>46205</v>
      </c>
      <c r="C120" s="75">
        <v>1000</v>
      </c>
    </row>
    <row r="121" spans="1:3" x14ac:dyDescent="0.25">
      <c r="A121" s="1" t="s">
        <v>1338</v>
      </c>
      <c r="B121" s="74">
        <v>46205</v>
      </c>
      <c r="C121" s="75">
        <v>1000</v>
      </c>
    </row>
    <row r="122" spans="1:3" x14ac:dyDescent="0.25">
      <c r="A122" s="1" t="s">
        <v>1315</v>
      </c>
      <c r="B122" s="74">
        <v>46205</v>
      </c>
      <c r="C122" s="75">
        <v>1000</v>
      </c>
    </row>
    <row r="123" spans="1:3" x14ac:dyDescent="0.25">
      <c r="A123" s="1" t="s">
        <v>856</v>
      </c>
      <c r="B123" s="74">
        <v>46205</v>
      </c>
      <c r="C123" s="75">
        <v>2000</v>
      </c>
    </row>
    <row r="124" spans="1:3" x14ac:dyDescent="0.25">
      <c r="A124" s="1" t="s">
        <v>277</v>
      </c>
      <c r="B124" s="74">
        <v>46205</v>
      </c>
      <c r="C124" s="75">
        <v>20000</v>
      </c>
    </row>
    <row r="125" spans="1:3" x14ac:dyDescent="0.25">
      <c r="A125" s="1" t="s">
        <v>150</v>
      </c>
      <c r="B125" s="74">
        <v>46205</v>
      </c>
      <c r="C125" s="75">
        <v>2000</v>
      </c>
    </row>
    <row r="126" spans="1:3" x14ac:dyDescent="0.25">
      <c r="A126" s="1" t="s">
        <v>985</v>
      </c>
      <c r="B126" s="74">
        <v>46205</v>
      </c>
      <c r="C126" s="75">
        <v>1000</v>
      </c>
    </row>
    <row r="127" spans="1:3" x14ac:dyDescent="0.25">
      <c r="A127" s="1" t="s">
        <v>1312</v>
      </c>
      <c r="B127" s="74">
        <v>46205</v>
      </c>
      <c r="C127" s="75">
        <v>2000</v>
      </c>
    </row>
    <row r="128" spans="1:3" x14ac:dyDescent="0.25">
      <c r="A128" s="1" t="s">
        <v>913</v>
      </c>
      <c r="B128" s="74">
        <v>46205</v>
      </c>
      <c r="C128" s="75">
        <v>6000</v>
      </c>
    </row>
    <row r="129" spans="1:3" x14ac:dyDescent="0.25">
      <c r="A129" s="1" t="s">
        <v>486</v>
      </c>
      <c r="B129" s="74">
        <v>46205</v>
      </c>
      <c r="C129" s="75">
        <v>1000</v>
      </c>
    </row>
    <row r="130" spans="1:3" x14ac:dyDescent="0.25">
      <c r="A130" s="1" t="s">
        <v>1316</v>
      </c>
      <c r="B130" s="74">
        <v>46205</v>
      </c>
      <c r="C130" s="75">
        <v>4000</v>
      </c>
    </row>
    <row r="131" spans="1:3" x14ac:dyDescent="0.25">
      <c r="A131" s="1" t="s">
        <v>328</v>
      </c>
      <c r="B131" s="74">
        <v>46205</v>
      </c>
      <c r="C131" s="75">
        <v>1000</v>
      </c>
    </row>
    <row r="132" spans="1:3" x14ac:dyDescent="0.25">
      <c r="A132" s="1" t="s">
        <v>815</v>
      </c>
      <c r="B132" s="74">
        <v>46205</v>
      </c>
      <c r="C132" s="75">
        <v>2000</v>
      </c>
    </row>
    <row r="133" spans="1:3" x14ac:dyDescent="0.25">
      <c r="A133" s="1" t="s">
        <v>765</v>
      </c>
      <c r="B133" s="74">
        <v>46205</v>
      </c>
      <c r="C133" s="75">
        <v>1048</v>
      </c>
    </row>
    <row r="134" spans="1:3" x14ac:dyDescent="0.25">
      <c r="A134" s="1" t="s">
        <v>302</v>
      </c>
      <c r="B134" s="74">
        <v>46205</v>
      </c>
      <c r="C134" s="75">
        <v>1000</v>
      </c>
    </row>
    <row r="135" spans="1:3" x14ac:dyDescent="0.25">
      <c r="A135" s="1" t="s">
        <v>1037</v>
      </c>
      <c r="B135" s="74">
        <v>46205</v>
      </c>
      <c r="C135" s="75">
        <v>1000</v>
      </c>
    </row>
    <row r="136" spans="1:3" x14ac:dyDescent="0.25">
      <c r="A136" s="1" t="s">
        <v>1092</v>
      </c>
      <c r="B136" s="74">
        <v>46205</v>
      </c>
      <c r="C136" s="75">
        <v>2000</v>
      </c>
    </row>
    <row r="137" spans="1:3" x14ac:dyDescent="0.25">
      <c r="A137" s="1" t="s">
        <v>1264</v>
      </c>
      <c r="B137" s="74">
        <v>46205</v>
      </c>
      <c r="C137" s="75">
        <v>1000</v>
      </c>
    </row>
    <row r="138" spans="1:3" x14ac:dyDescent="0.25">
      <c r="A138" s="1" t="s">
        <v>1009</v>
      </c>
      <c r="B138" s="74">
        <v>46205</v>
      </c>
      <c r="C138" s="75">
        <v>1000</v>
      </c>
    </row>
    <row r="139" spans="1:3" x14ac:dyDescent="0.25">
      <c r="A139" s="1" t="s">
        <v>94</v>
      </c>
      <c r="B139" s="74">
        <v>46205</v>
      </c>
      <c r="C139" s="75">
        <v>2000</v>
      </c>
    </row>
    <row r="140" spans="1:3" x14ac:dyDescent="0.25">
      <c r="A140" s="1" t="s">
        <v>245</v>
      </c>
      <c r="B140" s="74">
        <v>46205</v>
      </c>
      <c r="C140" s="75">
        <v>10000</v>
      </c>
    </row>
    <row r="141" spans="1:3" x14ac:dyDescent="0.25">
      <c r="A141" s="1" t="s">
        <v>467</v>
      </c>
      <c r="B141" s="74">
        <v>46205</v>
      </c>
      <c r="C141" s="75">
        <v>12000</v>
      </c>
    </row>
    <row r="142" spans="1:3" x14ac:dyDescent="0.25">
      <c r="A142" s="1" t="s">
        <v>1126</v>
      </c>
      <c r="B142" s="74">
        <v>46205</v>
      </c>
      <c r="C142" s="75">
        <v>5000</v>
      </c>
    </row>
    <row r="143" spans="1:3" x14ac:dyDescent="0.25">
      <c r="A143" s="1" t="s">
        <v>1166</v>
      </c>
      <c r="B143" s="74">
        <v>46205</v>
      </c>
      <c r="C143" s="75">
        <v>1000</v>
      </c>
    </row>
    <row r="144" spans="1:3" x14ac:dyDescent="0.25">
      <c r="A144" s="1" t="s">
        <v>140</v>
      </c>
      <c r="B144" s="74">
        <v>46205</v>
      </c>
      <c r="C144" s="75">
        <v>4000</v>
      </c>
    </row>
    <row r="145" spans="1:3" x14ac:dyDescent="0.25">
      <c r="A145" s="1" t="s">
        <v>689</v>
      </c>
      <c r="B145" s="74">
        <v>46205</v>
      </c>
      <c r="C145" s="75">
        <v>1100</v>
      </c>
    </row>
    <row r="146" spans="1:3" x14ac:dyDescent="0.25">
      <c r="A146" s="1" t="s">
        <v>842</v>
      </c>
      <c r="B146" s="74">
        <v>46205</v>
      </c>
      <c r="C146" s="75">
        <v>1300</v>
      </c>
    </row>
    <row r="147" spans="1:3" x14ac:dyDescent="0.25">
      <c r="A147" s="1" t="s">
        <v>1381</v>
      </c>
      <c r="B147" s="74">
        <v>46205</v>
      </c>
      <c r="C147" s="75">
        <v>3000</v>
      </c>
    </row>
    <row r="148" spans="1:3" x14ac:dyDescent="0.25">
      <c r="A148" s="1" t="s">
        <v>73</v>
      </c>
      <c r="B148" s="74">
        <v>46205</v>
      </c>
      <c r="C148" s="75">
        <v>1000</v>
      </c>
    </row>
    <row r="149" spans="1:3" x14ac:dyDescent="0.25">
      <c r="A149" s="1" t="s">
        <v>600</v>
      </c>
      <c r="B149" s="74">
        <v>46205</v>
      </c>
      <c r="C149" s="75">
        <v>1000</v>
      </c>
    </row>
    <row r="150" spans="1:3" x14ac:dyDescent="0.25">
      <c r="A150" s="1" t="s">
        <v>357</v>
      </c>
      <c r="B150" s="74">
        <v>46205</v>
      </c>
      <c r="C150" s="75">
        <v>2500</v>
      </c>
    </row>
    <row r="151" spans="1:3" x14ac:dyDescent="0.25">
      <c r="A151" s="1" t="s">
        <v>87</v>
      </c>
      <c r="B151" s="74">
        <v>46205</v>
      </c>
      <c r="C151" s="75">
        <v>1000</v>
      </c>
    </row>
    <row r="152" spans="1:3" x14ac:dyDescent="0.25">
      <c r="A152" s="1" t="s">
        <v>1053</v>
      </c>
      <c r="B152" s="74">
        <v>46205</v>
      </c>
      <c r="C152" s="75">
        <v>25000</v>
      </c>
    </row>
    <row r="153" spans="1:3" x14ac:dyDescent="0.25">
      <c r="A153" s="1" t="s">
        <v>882</v>
      </c>
      <c r="B153" s="74">
        <v>46205</v>
      </c>
      <c r="C153" s="75">
        <v>3000</v>
      </c>
    </row>
    <row r="154" spans="1:3" x14ac:dyDescent="0.25">
      <c r="A154" s="1" t="s">
        <v>93</v>
      </c>
      <c r="B154" s="74">
        <v>46205</v>
      </c>
      <c r="C154" s="75">
        <v>1000</v>
      </c>
    </row>
    <row r="155" spans="1:3" x14ac:dyDescent="0.25">
      <c r="A155" s="1" t="s">
        <v>619</v>
      </c>
      <c r="B155" s="74">
        <v>46205</v>
      </c>
      <c r="C155" s="75">
        <v>5000</v>
      </c>
    </row>
    <row r="156" spans="1:3" x14ac:dyDescent="0.25">
      <c r="A156" s="1" t="s">
        <v>767</v>
      </c>
      <c r="B156" s="74">
        <v>46205</v>
      </c>
      <c r="C156" s="75">
        <v>1000</v>
      </c>
    </row>
    <row r="157" spans="1:3" x14ac:dyDescent="0.25">
      <c r="A157" s="1" t="s">
        <v>563</v>
      </c>
      <c r="B157" s="74">
        <v>46205</v>
      </c>
      <c r="C157" s="75">
        <v>1000</v>
      </c>
    </row>
    <row r="158" spans="1:3" x14ac:dyDescent="0.25">
      <c r="A158" s="1" t="s">
        <v>650</v>
      </c>
      <c r="B158" s="74">
        <v>46205</v>
      </c>
      <c r="C158" s="75">
        <v>3000</v>
      </c>
    </row>
    <row r="159" spans="1:3" x14ac:dyDescent="0.25">
      <c r="A159" s="1" t="s">
        <v>1093</v>
      </c>
      <c r="B159" s="74">
        <v>46205</v>
      </c>
      <c r="C159" s="75">
        <v>2000</v>
      </c>
    </row>
    <row r="160" spans="1:3" x14ac:dyDescent="0.25">
      <c r="A160" s="1" t="s">
        <v>562</v>
      </c>
      <c r="B160" s="74">
        <v>46205</v>
      </c>
      <c r="C160" s="75">
        <v>1001</v>
      </c>
    </row>
    <row r="161" spans="1:3" x14ac:dyDescent="0.25">
      <c r="A161" s="1" t="s">
        <v>1114</v>
      </c>
      <c r="B161" s="74">
        <v>46205</v>
      </c>
      <c r="C161" s="75">
        <v>228</v>
      </c>
    </row>
    <row r="162" spans="1:3" x14ac:dyDescent="0.25">
      <c r="A162" s="1" t="s">
        <v>1006</v>
      </c>
      <c r="B162" s="74">
        <v>46205</v>
      </c>
      <c r="C162" s="75">
        <v>1000</v>
      </c>
    </row>
    <row r="163" spans="1:3" x14ac:dyDescent="0.25">
      <c r="A163" s="1" t="s">
        <v>1297</v>
      </c>
      <c r="B163" s="74">
        <v>46205</v>
      </c>
      <c r="C163" s="75">
        <v>1000</v>
      </c>
    </row>
    <row r="164" spans="1:3" x14ac:dyDescent="0.25">
      <c r="A164" s="1" t="s">
        <v>652</v>
      </c>
      <c r="B164" s="74">
        <v>46205</v>
      </c>
      <c r="C164" s="75">
        <v>12000</v>
      </c>
    </row>
    <row r="165" spans="1:3" x14ac:dyDescent="0.25">
      <c r="A165" s="1" t="s">
        <v>59</v>
      </c>
      <c r="B165" s="74">
        <v>46205</v>
      </c>
      <c r="C165" s="75">
        <v>1500</v>
      </c>
    </row>
    <row r="166" spans="1:3" x14ac:dyDescent="0.25">
      <c r="A166" s="1" t="s">
        <v>268</v>
      </c>
      <c r="B166" s="74">
        <v>46205</v>
      </c>
      <c r="C166" s="75">
        <v>1000</v>
      </c>
    </row>
    <row r="167" spans="1:3" x14ac:dyDescent="0.25">
      <c r="A167" s="1" t="s">
        <v>850</v>
      </c>
      <c r="B167" s="74">
        <v>46206</v>
      </c>
      <c r="C167" s="75">
        <v>5000</v>
      </c>
    </row>
    <row r="168" spans="1:3" x14ac:dyDescent="0.25">
      <c r="A168" s="1" t="s">
        <v>1200</v>
      </c>
      <c r="B168" s="74">
        <v>46206</v>
      </c>
      <c r="C168" s="75">
        <v>4000</v>
      </c>
    </row>
    <row r="169" spans="1:3" x14ac:dyDescent="0.25">
      <c r="A169" s="1" t="s">
        <v>584</v>
      </c>
      <c r="B169" s="74">
        <v>46206</v>
      </c>
      <c r="C169" s="75">
        <v>1000</v>
      </c>
    </row>
    <row r="170" spans="1:3" x14ac:dyDescent="0.25">
      <c r="A170" s="1" t="s">
        <v>596</v>
      </c>
      <c r="B170" s="74">
        <v>46206</v>
      </c>
      <c r="C170" s="75">
        <v>1000</v>
      </c>
    </row>
    <row r="171" spans="1:3" x14ac:dyDescent="0.25">
      <c r="A171" s="1" t="s">
        <v>578</v>
      </c>
      <c r="B171" s="74">
        <v>46206</v>
      </c>
      <c r="C171" s="75">
        <v>1000</v>
      </c>
    </row>
    <row r="172" spans="1:3" x14ac:dyDescent="0.25">
      <c r="A172" s="1" t="s">
        <v>958</v>
      </c>
      <c r="B172" s="74">
        <v>46206</v>
      </c>
      <c r="C172" s="75">
        <v>2138</v>
      </c>
    </row>
    <row r="173" spans="1:3" x14ac:dyDescent="0.25">
      <c r="A173" s="1" t="s">
        <v>3</v>
      </c>
      <c r="B173" s="74">
        <v>46206</v>
      </c>
      <c r="C173" s="75">
        <v>1500</v>
      </c>
    </row>
    <row r="174" spans="1:3" x14ac:dyDescent="0.25">
      <c r="A174" s="1" t="s">
        <v>847</v>
      </c>
      <c r="B174" s="74">
        <v>46206</v>
      </c>
      <c r="C174" s="75">
        <v>2000</v>
      </c>
    </row>
    <row r="175" spans="1:3" x14ac:dyDescent="0.25">
      <c r="A175" s="1" t="s">
        <v>569</v>
      </c>
      <c r="B175" s="74">
        <v>46206</v>
      </c>
      <c r="C175" s="75">
        <v>1000</v>
      </c>
    </row>
    <row r="176" spans="1:3" x14ac:dyDescent="0.25">
      <c r="A176" s="1" t="s">
        <v>49</v>
      </c>
      <c r="B176" s="74">
        <v>46206</v>
      </c>
      <c r="C176" s="75">
        <v>1000</v>
      </c>
    </row>
    <row r="177" spans="1:3" x14ac:dyDescent="0.25">
      <c r="A177" s="1" t="s">
        <v>1361</v>
      </c>
      <c r="B177" s="74">
        <v>46206</v>
      </c>
      <c r="C177" s="75">
        <v>1000</v>
      </c>
    </row>
    <row r="178" spans="1:3" x14ac:dyDescent="0.25">
      <c r="A178" s="1" t="s">
        <v>115</v>
      </c>
      <c r="B178" s="74">
        <v>46206</v>
      </c>
      <c r="C178" s="75">
        <v>1000</v>
      </c>
    </row>
    <row r="179" spans="1:3" x14ac:dyDescent="0.25">
      <c r="A179" s="1" t="s">
        <v>944</v>
      </c>
      <c r="B179" s="74">
        <v>46206</v>
      </c>
      <c r="C179" s="75">
        <v>1000</v>
      </c>
    </row>
    <row r="180" spans="1:3" x14ac:dyDescent="0.25">
      <c r="A180" s="1" t="s">
        <v>832</v>
      </c>
      <c r="B180" s="74">
        <v>46206</v>
      </c>
      <c r="C180" s="75">
        <v>3000</v>
      </c>
    </row>
    <row r="181" spans="1:3" x14ac:dyDescent="0.25">
      <c r="A181" s="1" t="s">
        <v>1210</v>
      </c>
      <c r="B181" s="74">
        <v>46206</v>
      </c>
      <c r="C181" s="75">
        <v>375</v>
      </c>
    </row>
    <row r="182" spans="1:3" x14ac:dyDescent="0.25">
      <c r="A182" s="1" t="s">
        <v>592</v>
      </c>
      <c r="B182" s="74">
        <v>46206</v>
      </c>
      <c r="C182" s="75">
        <v>1000</v>
      </c>
    </row>
    <row r="183" spans="1:3" x14ac:dyDescent="0.25">
      <c r="A183" s="1" t="s">
        <v>1041</v>
      </c>
      <c r="B183" s="74">
        <v>46206</v>
      </c>
      <c r="C183" s="75">
        <v>1000</v>
      </c>
    </row>
    <row r="184" spans="1:3" x14ac:dyDescent="0.25">
      <c r="A184" s="1" t="s">
        <v>500</v>
      </c>
      <c r="B184" s="74">
        <v>46206</v>
      </c>
      <c r="C184" s="75">
        <v>1000</v>
      </c>
    </row>
    <row r="185" spans="1:3" x14ac:dyDescent="0.25">
      <c r="A185" s="1" t="s">
        <v>135</v>
      </c>
      <c r="B185" s="74">
        <v>46206</v>
      </c>
      <c r="C185" s="75">
        <v>3500</v>
      </c>
    </row>
    <row r="186" spans="1:3" x14ac:dyDescent="0.25">
      <c r="A186" s="1" t="s">
        <v>929</v>
      </c>
      <c r="B186" s="74">
        <v>46206</v>
      </c>
      <c r="C186" s="75">
        <v>1000</v>
      </c>
    </row>
    <row r="187" spans="1:3" x14ac:dyDescent="0.25">
      <c r="A187" s="1" t="s">
        <v>26</v>
      </c>
      <c r="B187" s="74">
        <v>46206</v>
      </c>
      <c r="C187" s="75">
        <v>2000</v>
      </c>
    </row>
    <row r="188" spans="1:3" x14ac:dyDescent="0.25">
      <c r="A188" s="1" t="s">
        <v>699</v>
      </c>
      <c r="B188" s="74">
        <v>46206</v>
      </c>
      <c r="C188" s="75">
        <v>1000</v>
      </c>
    </row>
    <row r="189" spans="1:3" x14ac:dyDescent="0.25">
      <c r="A189" s="1" t="s">
        <v>1367</v>
      </c>
      <c r="B189" s="74">
        <v>46206</v>
      </c>
      <c r="C189" s="75">
        <v>5000</v>
      </c>
    </row>
    <row r="190" spans="1:3" x14ac:dyDescent="0.25">
      <c r="A190" s="1" t="s">
        <v>591</v>
      </c>
      <c r="B190" s="74">
        <v>46206</v>
      </c>
      <c r="C190" s="75">
        <v>1001</v>
      </c>
    </row>
    <row r="191" spans="1:3" x14ac:dyDescent="0.25">
      <c r="A191" s="1" t="s">
        <v>1059</v>
      </c>
      <c r="B191" s="74">
        <v>46206</v>
      </c>
      <c r="C191" s="75">
        <v>1000</v>
      </c>
    </row>
    <row r="192" spans="1:3" x14ac:dyDescent="0.25">
      <c r="A192" s="1" t="s">
        <v>962</v>
      </c>
      <c r="B192" s="74">
        <v>46206</v>
      </c>
      <c r="C192" s="75">
        <v>35000</v>
      </c>
    </row>
    <row r="193" spans="1:3" x14ac:dyDescent="0.25">
      <c r="A193" s="1" t="s">
        <v>902</v>
      </c>
      <c r="B193" s="74">
        <v>46206</v>
      </c>
      <c r="C193" s="75">
        <v>1000</v>
      </c>
    </row>
    <row r="194" spans="1:3" x14ac:dyDescent="0.25">
      <c r="A194" s="1" t="s">
        <v>789</v>
      </c>
      <c r="B194" s="74">
        <v>46206</v>
      </c>
      <c r="C194" s="75">
        <v>1000</v>
      </c>
    </row>
    <row r="195" spans="1:3" x14ac:dyDescent="0.25">
      <c r="A195" s="1" t="s">
        <v>755</v>
      </c>
      <c r="B195" s="74">
        <v>46206</v>
      </c>
      <c r="C195" s="75">
        <v>1000</v>
      </c>
    </row>
    <row r="196" spans="1:3" x14ac:dyDescent="0.25">
      <c r="A196" s="1" t="s">
        <v>554</v>
      </c>
      <c r="B196" s="74">
        <v>46206</v>
      </c>
      <c r="C196" s="75">
        <v>1000</v>
      </c>
    </row>
    <row r="197" spans="1:3" x14ac:dyDescent="0.25">
      <c r="A197" s="1" t="s">
        <v>787</v>
      </c>
      <c r="B197" s="74">
        <v>46206</v>
      </c>
      <c r="C197" s="75">
        <v>1000</v>
      </c>
    </row>
    <row r="198" spans="1:3" x14ac:dyDescent="0.25">
      <c r="A198" s="1" t="s">
        <v>547</v>
      </c>
      <c r="B198" s="74">
        <v>46206</v>
      </c>
      <c r="C198" s="75">
        <v>2000</v>
      </c>
    </row>
    <row r="199" spans="1:3" x14ac:dyDescent="0.25">
      <c r="A199" s="1" t="s">
        <v>558</v>
      </c>
      <c r="B199" s="74">
        <v>46206</v>
      </c>
      <c r="C199" s="75">
        <v>1000</v>
      </c>
    </row>
    <row r="200" spans="1:3" x14ac:dyDescent="0.25">
      <c r="A200" s="1" t="s">
        <v>854</v>
      </c>
      <c r="B200" s="74">
        <v>46206</v>
      </c>
      <c r="C200" s="75">
        <v>1000</v>
      </c>
    </row>
    <row r="201" spans="1:3" x14ac:dyDescent="0.25">
      <c r="A201" s="1" t="s">
        <v>393</v>
      </c>
      <c r="B201" s="74">
        <v>46206</v>
      </c>
      <c r="C201" s="75">
        <v>1000</v>
      </c>
    </row>
    <row r="202" spans="1:3" x14ac:dyDescent="0.25">
      <c r="A202" s="1" t="s">
        <v>508</v>
      </c>
      <c r="B202" s="74">
        <v>46206</v>
      </c>
      <c r="C202" s="75">
        <v>1000</v>
      </c>
    </row>
    <row r="203" spans="1:3" x14ac:dyDescent="0.25">
      <c r="A203" s="1" t="s">
        <v>130</v>
      </c>
      <c r="B203" s="74">
        <v>46206</v>
      </c>
      <c r="C203" s="75">
        <v>1000</v>
      </c>
    </row>
    <row r="204" spans="1:3" x14ac:dyDescent="0.25">
      <c r="A204" s="1" t="s">
        <v>1179</v>
      </c>
      <c r="B204" s="74">
        <v>46206</v>
      </c>
      <c r="C204" s="75">
        <v>1000</v>
      </c>
    </row>
    <row r="205" spans="1:3" x14ac:dyDescent="0.25">
      <c r="A205" s="1" t="s">
        <v>923</v>
      </c>
      <c r="B205" s="74">
        <v>46206</v>
      </c>
      <c r="C205" s="75">
        <v>1000</v>
      </c>
    </row>
    <row r="206" spans="1:3" x14ac:dyDescent="0.25">
      <c r="A206" s="1" t="s">
        <v>1176</v>
      </c>
      <c r="B206" s="74">
        <v>46206</v>
      </c>
      <c r="C206" s="75">
        <v>1000</v>
      </c>
    </row>
    <row r="207" spans="1:3" x14ac:dyDescent="0.25">
      <c r="A207" s="1" t="s">
        <v>410</v>
      </c>
      <c r="B207" s="74">
        <v>46206</v>
      </c>
      <c r="C207" s="75">
        <v>1000</v>
      </c>
    </row>
    <row r="208" spans="1:3" x14ac:dyDescent="0.25">
      <c r="A208" s="1" t="s">
        <v>142</v>
      </c>
      <c r="B208" s="74">
        <v>46207</v>
      </c>
      <c r="C208" s="75">
        <v>15000</v>
      </c>
    </row>
    <row r="209" spans="1:3" x14ac:dyDescent="0.25">
      <c r="A209" s="1" t="s">
        <v>748</v>
      </c>
      <c r="B209" s="74">
        <v>46207</v>
      </c>
      <c r="C209" s="75">
        <v>1000</v>
      </c>
    </row>
    <row r="210" spans="1:3" x14ac:dyDescent="0.25">
      <c r="A210" s="1" t="s">
        <v>56</v>
      </c>
      <c r="B210" s="74">
        <v>46207</v>
      </c>
      <c r="C210" s="75">
        <v>1000</v>
      </c>
    </row>
    <row r="211" spans="1:3" x14ac:dyDescent="0.25">
      <c r="A211" s="1" t="s">
        <v>1374</v>
      </c>
      <c r="B211" s="74">
        <v>46207</v>
      </c>
      <c r="C211" s="75">
        <v>1000</v>
      </c>
    </row>
    <row r="212" spans="1:3" x14ac:dyDescent="0.25">
      <c r="A212" s="1" t="s">
        <v>777</v>
      </c>
      <c r="B212" s="74">
        <v>46207</v>
      </c>
      <c r="C212" s="75">
        <v>9999</v>
      </c>
    </row>
    <row r="213" spans="1:3" x14ac:dyDescent="0.25">
      <c r="A213" s="1" t="s">
        <v>226</v>
      </c>
      <c r="B213" s="74">
        <v>46207</v>
      </c>
      <c r="C213" s="75">
        <v>5000</v>
      </c>
    </row>
    <row r="214" spans="1:3" x14ac:dyDescent="0.25">
      <c r="A214" s="1" t="s">
        <v>587</v>
      </c>
      <c r="B214" s="74">
        <v>46207</v>
      </c>
      <c r="C214" s="75">
        <v>1000</v>
      </c>
    </row>
    <row r="215" spans="1:3" x14ac:dyDescent="0.25">
      <c r="A215" s="1" t="s">
        <v>127</v>
      </c>
      <c r="B215" s="74">
        <v>46207</v>
      </c>
      <c r="C215" s="75">
        <v>1529</v>
      </c>
    </row>
    <row r="216" spans="1:3" x14ac:dyDescent="0.25">
      <c r="A216" s="1" t="s">
        <v>495</v>
      </c>
      <c r="B216" s="74">
        <v>46207</v>
      </c>
      <c r="C216" s="75">
        <v>2500</v>
      </c>
    </row>
    <row r="217" spans="1:3" x14ac:dyDescent="0.25">
      <c r="A217" s="1" t="s">
        <v>705</v>
      </c>
      <c r="B217" s="74">
        <v>46207</v>
      </c>
      <c r="C217" s="75">
        <v>1000</v>
      </c>
    </row>
    <row r="218" spans="1:3" x14ac:dyDescent="0.25">
      <c r="A218" s="1" t="s">
        <v>206</v>
      </c>
      <c r="B218" s="74">
        <v>46207</v>
      </c>
      <c r="C218" s="75">
        <v>50000</v>
      </c>
    </row>
    <row r="219" spans="1:3" x14ac:dyDescent="0.25">
      <c r="A219" s="1" t="s">
        <v>330</v>
      </c>
      <c r="B219" s="74">
        <v>46207</v>
      </c>
      <c r="C219" s="75">
        <v>1000</v>
      </c>
    </row>
    <row r="220" spans="1:3" x14ac:dyDescent="0.25">
      <c r="A220" s="1" t="s">
        <v>1353</v>
      </c>
      <c r="B220" s="74">
        <v>46207</v>
      </c>
      <c r="C220" s="75">
        <v>1000</v>
      </c>
    </row>
    <row r="221" spans="1:3" x14ac:dyDescent="0.25">
      <c r="A221" s="1" t="s">
        <v>735</v>
      </c>
      <c r="B221" s="74">
        <v>46207</v>
      </c>
      <c r="C221" s="75">
        <v>3000</v>
      </c>
    </row>
    <row r="222" spans="1:3" x14ac:dyDescent="0.25">
      <c r="A222" s="1" t="s">
        <v>840</v>
      </c>
      <c r="B222" s="74">
        <v>46207</v>
      </c>
      <c r="C222" s="75">
        <v>1000</v>
      </c>
    </row>
    <row r="223" spans="1:3" x14ac:dyDescent="0.25">
      <c r="A223" s="1" t="s">
        <v>1295</v>
      </c>
      <c r="B223" s="74">
        <v>46207</v>
      </c>
      <c r="C223" s="75">
        <v>1000</v>
      </c>
    </row>
    <row r="224" spans="1:3" x14ac:dyDescent="0.25">
      <c r="A224" s="1" t="s">
        <v>756</v>
      </c>
      <c r="B224" s="74">
        <v>46207</v>
      </c>
      <c r="C224" s="75">
        <v>5000</v>
      </c>
    </row>
    <row r="225" spans="1:3" x14ac:dyDescent="0.25">
      <c r="A225" s="1" t="s">
        <v>163</v>
      </c>
      <c r="B225" s="74">
        <v>46207</v>
      </c>
      <c r="C225" s="75">
        <v>1000</v>
      </c>
    </row>
    <row r="226" spans="1:3" x14ac:dyDescent="0.25">
      <c r="A226" s="1" t="s">
        <v>599</v>
      </c>
      <c r="B226" s="74">
        <v>46207</v>
      </c>
      <c r="C226" s="75">
        <v>1000</v>
      </c>
    </row>
    <row r="227" spans="1:3" x14ac:dyDescent="0.25">
      <c r="A227" s="1" t="s">
        <v>520</v>
      </c>
      <c r="B227" s="74">
        <v>46207</v>
      </c>
      <c r="C227" s="75">
        <v>28000</v>
      </c>
    </row>
    <row r="228" spans="1:3" x14ac:dyDescent="0.25">
      <c r="A228" s="1" t="s">
        <v>1291</v>
      </c>
      <c r="B228" s="74">
        <v>46207</v>
      </c>
      <c r="C228" s="75">
        <v>1000</v>
      </c>
    </row>
    <row r="229" spans="1:3" x14ac:dyDescent="0.25">
      <c r="A229" s="1" t="s">
        <v>737</v>
      </c>
      <c r="B229" s="74">
        <v>46207</v>
      </c>
      <c r="C229" s="75">
        <v>1000</v>
      </c>
    </row>
    <row r="230" spans="1:3" x14ac:dyDescent="0.25">
      <c r="A230" s="1" t="s">
        <v>918</v>
      </c>
      <c r="B230" s="74">
        <v>46207</v>
      </c>
      <c r="C230" s="75">
        <v>1000</v>
      </c>
    </row>
    <row r="231" spans="1:3" x14ac:dyDescent="0.25">
      <c r="A231" s="1" t="s">
        <v>1191</v>
      </c>
      <c r="B231" s="74">
        <v>46207</v>
      </c>
      <c r="C231" s="75">
        <v>1000</v>
      </c>
    </row>
    <row r="232" spans="1:3" x14ac:dyDescent="0.25">
      <c r="A232" s="1" t="s">
        <v>276</v>
      </c>
      <c r="B232" s="74">
        <v>46207</v>
      </c>
      <c r="C232" s="75">
        <v>10000</v>
      </c>
    </row>
    <row r="233" spans="1:3" x14ac:dyDescent="0.25">
      <c r="A233" s="1" t="s">
        <v>1087</v>
      </c>
      <c r="B233" s="74">
        <v>46208</v>
      </c>
      <c r="C233" s="75">
        <v>1000</v>
      </c>
    </row>
    <row r="234" spans="1:3" x14ac:dyDescent="0.25">
      <c r="A234" s="1" t="s">
        <v>952</v>
      </c>
      <c r="B234" s="74">
        <v>46208</v>
      </c>
      <c r="C234" s="75">
        <v>1000</v>
      </c>
    </row>
    <row r="235" spans="1:3" x14ac:dyDescent="0.25">
      <c r="A235" s="1" t="s">
        <v>233</v>
      </c>
      <c r="B235" s="74">
        <v>46208</v>
      </c>
      <c r="C235" s="75">
        <v>1000</v>
      </c>
    </row>
    <row r="236" spans="1:3" x14ac:dyDescent="0.25">
      <c r="A236" s="1" t="s">
        <v>564</v>
      </c>
      <c r="B236" s="74">
        <v>46208</v>
      </c>
      <c r="C236" s="75">
        <v>15000</v>
      </c>
    </row>
    <row r="237" spans="1:3" x14ac:dyDescent="0.25">
      <c r="A237" s="1" t="s">
        <v>442</v>
      </c>
      <c r="B237" s="74">
        <v>46208</v>
      </c>
      <c r="C237" s="75">
        <v>1000</v>
      </c>
    </row>
    <row r="238" spans="1:3" x14ac:dyDescent="0.25">
      <c r="A238" s="1" t="s">
        <v>250</v>
      </c>
      <c r="B238" s="74">
        <v>46208</v>
      </c>
      <c r="C238" s="75">
        <v>4000</v>
      </c>
    </row>
    <row r="239" spans="1:3" x14ac:dyDescent="0.25">
      <c r="A239" s="1" t="s">
        <v>1362</v>
      </c>
      <c r="B239" s="74">
        <v>46208</v>
      </c>
      <c r="C239" s="75">
        <v>3000</v>
      </c>
    </row>
    <row r="240" spans="1:3" x14ac:dyDescent="0.25">
      <c r="A240" s="1" t="s">
        <v>484</v>
      </c>
      <c r="B240" s="74">
        <v>46208</v>
      </c>
      <c r="C240" s="75">
        <v>2000</v>
      </c>
    </row>
    <row r="241" spans="1:3" x14ac:dyDescent="0.25">
      <c r="A241" s="1" t="s">
        <v>1360</v>
      </c>
      <c r="B241" s="74">
        <v>46208</v>
      </c>
      <c r="C241" s="75">
        <v>2000</v>
      </c>
    </row>
    <row r="242" spans="1:3" x14ac:dyDescent="0.25">
      <c r="A242" s="1" t="s">
        <v>1190</v>
      </c>
      <c r="B242" s="74">
        <v>46208</v>
      </c>
      <c r="C242" s="75">
        <v>5000</v>
      </c>
    </row>
    <row r="243" spans="1:3" x14ac:dyDescent="0.25">
      <c r="A243" s="1" t="s">
        <v>321</v>
      </c>
      <c r="B243" s="74">
        <v>46208</v>
      </c>
      <c r="C243" s="75">
        <v>1000</v>
      </c>
    </row>
    <row r="244" spans="1:3" x14ac:dyDescent="0.25">
      <c r="A244" s="1" t="s">
        <v>76</v>
      </c>
      <c r="B244" s="74">
        <v>46208</v>
      </c>
      <c r="C244" s="75">
        <v>2000</v>
      </c>
    </row>
    <row r="245" spans="1:3" x14ac:dyDescent="0.25">
      <c r="A245" s="1" t="s">
        <v>1365</v>
      </c>
      <c r="B245" s="74">
        <v>46208</v>
      </c>
      <c r="C245" s="75">
        <v>1000</v>
      </c>
    </row>
    <row r="246" spans="1:3" x14ac:dyDescent="0.25">
      <c r="A246" s="1" t="s">
        <v>798</v>
      </c>
      <c r="B246" s="74">
        <v>46208</v>
      </c>
      <c r="C246" s="75">
        <v>1000</v>
      </c>
    </row>
    <row r="247" spans="1:3" x14ac:dyDescent="0.25">
      <c r="A247" s="1" t="s">
        <v>999</v>
      </c>
      <c r="B247" s="74">
        <v>46208</v>
      </c>
      <c r="C247" s="75">
        <v>1000</v>
      </c>
    </row>
    <row r="248" spans="1:3" x14ac:dyDescent="0.25">
      <c r="A248" s="1" t="s">
        <v>651</v>
      </c>
      <c r="B248" s="74">
        <v>46208</v>
      </c>
      <c r="C248" s="75">
        <v>1000</v>
      </c>
    </row>
    <row r="249" spans="1:3" x14ac:dyDescent="0.25">
      <c r="A249" s="1" t="s">
        <v>1100</v>
      </c>
      <c r="B249" s="74">
        <v>46208</v>
      </c>
      <c r="C249" s="75">
        <v>3500</v>
      </c>
    </row>
    <row r="250" spans="1:3" x14ac:dyDescent="0.25">
      <c r="A250" s="1" t="s">
        <v>504</v>
      </c>
      <c r="B250" s="74">
        <v>46208</v>
      </c>
      <c r="C250" s="75">
        <v>10000</v>
      </c>
    </row>
    <row r="251" spans="1:3" x14ac:dyDescent="0.25">
      <c r="A251" s="1" t="s">
        <v>1108</v>
      </c>
      <c r="B251" s="74">
        <v>46208</v>
      </c>
      <c r="C251" s="75">
        <v>2000</v>
      </c>
    </row>
    <row r="252" spans="1:3" x14ac:dyDescent="0.25">
      <c r="A252" s="1" t="s">
        <v>494</v>
      </c>
      <c r="B252" s="74">
        <v>46208</v>
      </c>
      <c r="C252" s="75">
        <v>1000</v>
      </c>
    </row>
    <row r="253" spans="1:3" x14ac:dyDescent="0.25">
      <c r="A253" s="1" t="s">
        <v>1081</v>
      </c>
      <c r="B253" s="74">
        <v>46208</v>
      </c>
      <c r="C253" s="75">
        <v>1250</v>
      </c>
    </row>
    <row r="254" spans="1:3" x14ac:dyDescent="0.25">
      <c r="A254" s="1" t="s">
        <v>244</v>
      </c>
      <c r="B254" s="74">
        <v>46208</v>
      </c>
      <c r="C254" s="75">
        <v>1000</v>
      </c>
    </row>
    <row r="255" spans="1:3" x14ac:dyDescent="0.25">
      <c r="A255" s="1" t="s">
        <v>1281</v>
      </c>
      <c r="B255" s="74">
        <v>46208</v>
      </c>
      <c r="C255" s="75">
        <v>1000</v>
      </c>
    </row>
    <row r="256" spans="1:3" x14ac:dyDescent="0.25">
      <c r="A256" s="1" t="s">
        <v>950</v>
      </c>
      <c r="B256" s="74">
        <v>46208</v>
      </c>
      <c r="C256" s="75">
        <v>10000</v>
      </c>
    </row>
    <row r="257" spans="1:3" x14ac:dyDescent="0.25">
      <c r="A257" s="1" t="s">
        <v>1201</v>
      </c>
      <c r="B257" s="74">
        <v>46208</v>
      </c>
      <c r="C257" s="75">
        <v>4000</v>
      </c>
    </row>
    <row r="258" spans="1:3" x14ac:dyDescent="0.25">
      <c r="A258" s="1" t="s">
        <v>234</v>
      </c>
      <c r="B258" s="74">
        <v>46208</v>
      </c>
      <c r="C258" s="75">
        <v>10000</v>
      </c>
    </row>
    <row r="259" spans="1:3" x14ac:dyDescent="0.25">
      <c r="A259" s="1" t="s">
        <v>47</v>
      </c>
      <c r="B259" s="74">
        <v>46208</v>
      </c>
      <c r="C259" s="75">
        <v>3000</v>
      </c>
    </row>
    <row r="260" spans="1:3" x14ac:dyDescent="0.25">
      <c r="A260" s="1" t="s">
        <v>894</v>
      </c>
      <c r="B260" s="74">
        <v>46208</v>
      </c>
      <c r="C260" s="75">
        <v>1500</v>
      </c>
    </row>
    <row r="261" spans="1:3" x14ac:dyDescent="0.25">
      <c r="A261" s="1" t="s">
        <v>716</v>
      </c>
      <c r="B261" s="74">
        <v>46208</v>
      </c>
      <c r="C261" s="75">
        <v>5199</v>
      </c>
    </row>
    <row r="262" spans="1:3" x14ac:dyDescent="0.25">
      <c r="A262" s="1" t="s">
        <v>212</v>
      </c>
      <c r="B262" s="74">
        <v>46209</v>
      </c>
      <c r="C262" s="75">
        <v>1000</v>
      </c>
    </row>
    <row r="263" spans="1:3" x14ac:dyDescent="0.25">
      <c r="A263" s="1" t="s">
        <v>1296</v>
      </c>
      <c r="B263" s="74">
        <v>46209</v>
      </c>
      <c r="C263" s="75">
        <v>1000</v>
      </c>
    </row>
    <row r="264" spans="1:3" x14ac:dyDescent="0.25">
      <c r="A264" s="1" t="s">
        <v>519</v>
      </c>
      <c r="B264" s="74">
        <v>46209</v>
      </c>
      <c r="C264" s="75">
        <v>1000</v>
      </c>
    </row>
    <row r="265" spans="1:3" x14ac:dyDescent="0.25">
      <c r="A265" s="1" t="s">
        <v>608</v>
      </c>
      <c r="B265" s="74">
        <v>46209</v>
      </c>
      <c r="C265" s="75">
        <v>1000</v>
      </c>
    </row>
    <row r="266" spans="1:3" x14ac:dyDescent="0.25">
      <c r="A266" s="1" t="s">
        <v>1305</v>
      </c>
      <c r="B266" s="74">
        <v>46209</v>
      </c>
      <c r="C266" s="75">
        <v>2000</v>
      </c>
    </row>
    <row r="267" spans="1:3" x14ac:dyDescent="0.25">
      <c r="A267" s="1" t="s">
        <v>1378</v>
      </c>
      <c r="B267" s="74">
        <v>46209</v>
      </c>
      <c r="C267" s="75">
        <v>1000</v>
      </c>
    </row>
    <row r="268" spans="1:3" x14ac:dyDescent="0.25">
      <c r="A268" s="1" t="s">
        <v>1062</v>
      </c>
      <c r="B268" s="74">
        <v>46209</v>
      </c>
      <c r="C268" s="75">
        <v>1000</v>
      </c>
    </row>
    <row r="269" spans="1:3" x14ac:dyDescent="0.25">
      <c r="A269" s="1" t="s">
        <v>30</v>
      </c>
      <c r="B269" s="74">
        <v>46209</v>
      </c>
      <c r="C269" s="75">
        <v>20000</v>
      </c>
    </row>
    <row r="270" spans="1:3" x14ac:dyDescent="0.25">
      <c r="A270" s="1" t="s">
        <v>665</v>
      </c>
      <c r="B270" s="74">
        <v>46209</v>
      </c>
      <c r="C270" s="75">
        <v>1000</v>
      </c>
    </row>
    <row r="271" spans="1:3" x14ac:dyDescent="0.25">
      <c r="A271" s="1" t="s">
        <v>1065</v>
      </c>
      <c r="B271" s="74">
        <v>46209</v>
      </c>
      <c r="C271" s="75">
        <v>5000</v>
      </c>
    </row>
    <row r="272" spans="1:3" x14ac:dyDescent="0.25">
      <c r="A272" s="1" t="s">
        <v>774</v>
      </c>
      <c r="B272" s="74">
        <v>46209</v>
      </c>
      <c r="C272" s="75">
        <v>19999</v>
      </c>
    </row>
    <row r="273" spans="1:3" x14ac:dyDescent="0.25">
      <c r="A273" s="1" t="s">
        <v>874</v>
      </c>
      <c r="B273" s="74">
        <v>46209</v>
      </c>
      <c r="C273" s="75">
        <v>1000</v>
      </c>
    </row>
    <row r="274" spans="1:3" x14ac:dyDescent="0.25">
      <c r="A274" s="1" t="s">
        <v>1045</v>
      </c>
      <c r="B274" s="74">
        <v>46209</v>
      </c>
      <c r="C274" s="75">
        <v>5000</v>
      </c>
    </row>
    <row r="275" spans="1:3" x14ac:dyDescent="0.25">
      <c r="A275" s="1" t="s">
        <v>570</v>
      </c>
      <c r="B275" s="74">
        <v>46209</v>
      </c>
      <c r="C275" s="75">
        <v>1000</v>
      </c>
    </row>
    <row r="276" spans="1:3" x14ac:dyDescent="0.25">
      <c r="A276" s="1" t="s">
        <v>1109</v>
      </c>
      <c r="B276" s="74">
        <v>46209</v>
      </c>
      <c r="C276" s="75">
        <v>1000</v>
      </c>
    </row>
    <row r="277" spans="1:3" x14ac:dyDescent="0.25">
      <c r="A277" s="1" t="s">
        <v>288</v>
      </c>
      <c r="B277" s="74">
        <v>46209</v>
      </c>
      <c r="C277" s="75">
        <v>2000</v>
      </c>
    </row>
    <row r="278" spans="1:3" x14ac:dyDescent="0.25">
      <c r="A278" s="1" t="s">
        <v>790</v>
      </c>
      <c r="B278" s="74">
        <v>46209</v>
      </c>
      <c r="C278" s="75">
        <v>1500</v>
      </c>
    </row>
    <row r="279" spans="1:3" x14ac:dyDescent="0.25">
      <c r="A279" s="1" t="s">
        <v>366</v>
      </c>
      <c r="B279" s="74">
        <v>46209</v>
      </c>
      <c r="C279" s="75">
        <v>1000</v>
      </c>
    </row>
    <row r="280" spans="1:3" x14ac:dyDescent="0.25">
      <c r="A280" s="1" t="s">
        <v>454</v>
      </c>
      <c r="B280" s="74">
        <v>46209</v>
      </c>
      <c r="C280" s="75">
        <v>1000</v>
      </c>
    </row>
    <row r="281" spans="1:3" x14ac:dyDescent="0.25">
      <c r="A281" s="1" t="s">
        <v>1091</v>
      </c>
      <c r="B281" s="74">
        <v>46209</v>
      </c>
      <c r="C281" s="75">
        <v>3000</v>
      </c>
    </row>
    <row r="282" spans="1:3" x14ac:dyDescent="0.25">
      <c r="A282" s="1" t="s">
        <v>1282</v>
      </c>
      <c r="B282" s="74">
        <v>46209</v>
      </c>
      <c r="C282" s="75">
        <v>1000</v>
      </c>
    </row>
    <row r="283" spans="1:3" x14ac:dyDescent="0.25">
      <c r="A283" s="1" t="s">
        <v>933</v>
      </c>
      <c r="B283" s="74">
        <v>46209</v>
      </c>
      <c r="C283" s="75">
        <v>2500</v>
      </c>
    </row>
    <row r="284" spans="1:3" x14ac:dyDescent="0.25">
      <c r="A284" s="1" t="s">
        <v>820</v>
      </c>
      <c r="B284" s="74">
        <v>46209</v>
      </c>
      <c r="C284" s="75">
        <v>2000</v>
      </c>
    </row>
    <row r="285" spans="1:3" x14ac:dyDescent="0.25">
      <c r="A285" s="1" t="s">
        <v>685</v>
      </c>
      <c r="B285" s="74">
        <v>46209</v>
      </c>
      <c r="C285" s="75">
        <v>1000</v>
      </c>
    </row>
    <row r="286" spans="1:3" x14ac:dyDescent="0.25">
      <c r="A286" s="1" t="s">
        <v>872</v>
      </c>
      <c r="B286" s="74">
        <v>46209</v>
      </c>
      <c r="C286" s="75">
        <v>500</v>
      </c>
    </row>
    <row r="287" spans="1:3" x14ac:dyDescent="0.25">
      <c r="A287" s="1" t="s">
        <v>343</v>
      </c>
      <c r="B287" s="74">
        <v>46209</v>
      </c>
      <c r="C287" s="75">
        <v>1000</v>
      </c>
    </row>
    <row r="288" spans="1:3" x14ac:dyDescent="0.25">
      <c r="A288" s="1" t="s">
        <v>998</v>
      </c>
      <c r="B288" s="74">
        <v>46209</v>
      </c>
      <c r="C288" s="75">
        <v>1000</v>
      </c>
    </row>
    <row r="289" spans="1:3" x14ac:dyDescent="0.25">
      <c r="A289" s="1" t="s">
        <v>604</v>
      </c>
      <c r="B289" s="74">
        <v>46209</v>
      </c>
      <c r="C289" s="75">
        <v>3000</v>
      </c>
    </row>
    <row r="290" spans="1:3" x14ac:dyDescent="0.25">
      <c r="A290" s="1" t="s">
        <v>764</v>
      </c>
      <c r="B290" s="74">
        <v>46209</v>
      </c>
      <c r="C290" s="75">
        <v>7500</v>
      </c>
    </row>
    <row r="291" spans="1:3" x14ac:dyDescent="0.25">
      <c r="A291" s="1" t="s">
        <v>1328</v>
      </c>
      <c r="B291" s="74">
        <v>46209</v>
      </c>
      <c r="C291" s="75">
        <v>2000</v>
      </c>
    </row>
    <row r="292" spans="1:3" x14ac:dyDescent="0.25">
      <c r="A292" s="1" t="s">
        <v>200</v>
      </c>
      <c r="B292" s="74">
        <v>46209</v>
      </c>
      <c r="C292" s="75">
        <v>25000</v>
      </c>
    </row>
    <row r="293" spans="1:3" x14ac:dyDescent="0.25">
      <c r="A293" s="1" t="s">
        <v>155</v>
      </c>
      <c r="B293" s="74">
        <v>46209</v>
      </c>
      <c r="C293" s="75">
        <v>2000</v>
      </c>
    </row>
    <row r="294" spans="1:3" x14ac:dyDescent="0.25">
      <c r="A294" s="1" t="s">
        <v>209</v>
      </c>
      <c r="B294" s="74">
        <v>46209</v>
      </c>
      <c r="C294" s="75">
        <v>10000</v>
      </c>
    </row>
    <row r="295" spans="1:3" x14ac:dyDescent="0.25">
      <c r="A295" s="1" t="s">
        <v>1309</v>
      </c>
      <c r="B295" s="74">
        <v>46209</v>
      </c>
      <c r="C295" s="75">
        <v>1000</v>
      </c>
    </row>
    <row r="296" spans="1:3" x14ac:dyDescent="0.25">
      <c r="A296" s="1" t="s">
        <v>561</v>
      </c>
      <c r="B296" s="74">
        <v>46209</v>
      </c>
      <c r="C296" s="75">
        <v>1500</v>
      </c>
    </row>
    <row r="297" spans="1:3" x14ac:dyDescent="0.25">
      <c r="A297" s="1" t="s">
        <v>154</v>
      </c>
      <c r="B297" s="74">
        <v>46209</v>
      </c>
      <c r="C297" s="75">
        <v>1000</v>
      </c>
    </row>
    <row r="298" spans="1:3" x14ac:dyDescent="0.25">
      <c r="A298" s="1" t="s">
        <v>1270</v>
      </c>
      <c r="B298" s="74">
        <v>46209</v>
      </c>
      <c r="C298" s="75">
        <v>5000</v>
      </c>
    </row>
    <row r="299" spans="1:3" x14ac:dyDescent="0.25">
      <c r="A299" s="1" t="s">
        <v>897</v>
      </c>
      <c r="B299" s="74">
        <v>46209</v>
      </c>
      <c r="C299" s="75">
        <v>3000</v>
      </c>
    </row>
    <row r="300" spans="1:3" x14ac:dyDescent="0.25">
      <c r="A300" s="1" t="s">
        <v>1019</v>
      </c>
      <c r="B300" s="74">
        <v>46209</v>
      </c>
      <c r="C300" s="75">
        <v>5000</v>
      </c>
    </row>
    <row r="301" spans="1:3" x14ac:dyDescent="0.25">
      <c r="A301" s="1" t="s">
        <v>1382</v>
      </c>
      <c r="B301" s="74">
        <v>46209</v>
      </c>
      <c r="C301" s="75">
        <v>1000</v>
      </c>
    </row>
    <row r="302" spans="1:3" x14ac:dyDescent="0.25">
      <c r="A302" s="1" t="s">
        <v>408</v>
      </c>
      <c r="B302" s="74">
        <v>46209</v>
      </c>
      <c r="C302" s="75">
        <v>1000</v>
      </c>
    </row>
    <row r="303" spans="1:3" x14ac:dyDescent="0.25">
      <c r="A303" s="1" t="s">
        <v>144</v>
      </c>
      <c r="B303" s="74">
        <v>46209</v>
      </c>
      <c r="C303" s="75">
        <v>2782</v>
      </c>
    </row>
    <row r="304" spans="1:3" x14ac:dyDescent="0.25">
      <c r="A304" s="1" t="s">
        <v>432</v>
      </c>
      <c r="B304" s="74">
        <v>46209</v>
      </c>
      <c r="C304" s="75">
        <v>5000</v>
      </c>
    </row>
    <row r="305" spans="1:3" x14ac:dyDescent="0.25">
      <c r="A305" s="1" t="s">
        <v>749</v>
      </c>
      <c r="B305" s="74">
        <v>46209</v>
      </c>
      <c r="C305" s="75">
        <v>3001</v>
      </c>
    </row>
    <row r="306" spans="1:3" x14ac:dyDescent="0.25">
      <c r="A306" s="1" t="s">
        <v>409</v>
      </c>
      <c r="B306" s="74">
        <v>46209</v>
      </c>
      <c r="C306" s="75">
        <v>3000</v>
      </c>
    </row>
    <row r="307" spans="1:3" x14ac:dyDescent="0.25">
      <c r="A307" s="1" t="s">
        <v>738</v>
      </c>
      <c r="B307" s="74">
        <v>46209</v>
      </c>
      <c r="C307" s="75">
        <v>1200</v>
      </c>
    </row>
    <row r="308" spans="1:3" x14ac:dyDescent="0.25">
      <c r="A308" s="1" t="s">
        <v>603</v>
      </c>
      <c r="B308" s="74">
        <v>46209</v>
      </c>
      <c r="C308" s="75">
        <v>2000</v>
      </c>
    </row>
    <row r="309" spans="1:3" x14ac:dyDescent="0.25">
      <c r="A309" s="1" t="s">
        <v>870</v>
      </c>
      <c r="B309" s="74">
        <v>46209</v>
      </c>
      <c r="C309" s="75">
        <v>1000</v>
      </c>
    </row>
    <row r="310" spans="1:3" x14ac:dyDescent="0.25">
      <c r="A310" s="1" t="s">
        <v>1269</v>
      </c>
      <c r="B310" s="74">
        <v>46209</v>
      </c>
      <c r="C310" s="75">
        <v>8000</v>
      </c>
    </row>
    <row r="311" spans="1:3" x14ac:dyDescent="0.25">
      <c r="A311" s="1" t="s">
        <v>263</v>
      </c>
      <c r="B311" s="74">
        <v>46209</v>
      </c>
      <c r="C311" s="75">
        <v>1000</v>
      </c>
    </row>
    <row r="312" spans="1:3" x14ac:dyDescent="0.25">
      <c r="A312" s="1" t="s">
        <v>736</v>
      </c>
      <c r="B312" s="74">
        <v>46209</v>
      </c>
      <c r="C312" s="75">
        <v>1000</v>
      </c>
    </row>
    <row r="313" spans="1:3" x14ac:dyDescent="0.25">
      <c r="A313" s="1" t="s">
        <v>160</v>
      </c>
      <c r="B313" s="74">
        <v>46209</v>
      </c>
      <c r="C313" s="75">
        <v>1000</v>
      </c>
    </row>
    <row r="314" spans="1:3" x14ac:dyDescent="0.25">
      <c r="A314" s="1" t="s">
        <v>1206</v>
      </c>
      <c r="B314" s="74">
        <v>46209</v>
      </c>
      <c r="C314" s="75">
        <v>1000</v>
      </c>
    </row>
    <row r="315" spans="1:3" x14ac:dyDescent="0.25">
      <c r="A315" s="1" t="s">
        <v>1371</v>
      </c>
      <c r="B315" s="74">
        <v>46209</v>
      </c>
      <c r="C315" s="75">
        <v>1000</v>
      </c>
    </row>
    <row r="316" spans="1:3" x14ac:dyDescent="0.25">
      <c r="A316" s="1" t="s">
        <v>928</v>
      </c>
      <c r="B316" s="74">
        <v>46209</v>
      </c>
      <c r="C316" s="75">
        <v>15000</v>
      </c>
    </row>
    <row r="317" spans="1:3" x14ac:dyDescent="0.25">
      <c r="A317" s="1" t="s">
        <v>78</v>
      </c>
      <c r="B317" s="74">
        <v>46209</v>
      </c>
      <c r="C317" s="75">
        <v>1000</v>
      </c>
    </row>
    <row r="318" spans="1:3" x14ac:dyDescent="0.25">
      <c r="A318" s="1" t="s">
        <v>1300</v>
      </c>
      <c r="B318" s="74">
        <v>46209</v>
      </c>
      <c r="C318" s="75">
        <v>14000</v>
      </c>
    </row>
    <row r="319" spans="1:3" x14ac:dyDescent="0.25">
      <c r="A319" s="1" t="s">
        <v>725</v>
      </c>
      <c r="B319" s="74">
        <v>46209</v>
      </c>
      <c r="C319" s="75">
        <v>1000</v>
      </c>
    </row>
    <row r="320" spans="1:3" x14ac:dyDescent="0.25">
      <c r="A320" s="1" t="s">
        <v>399</v>
      </c>
      <c r="B320" s="74">
        <v>46210</v>
      </c>
      <c r="C320" s="75">
        <v>1000</v>
      </c>
    </row>
    <row r="321" spans="1:3" x14ac:dyDescent="0.25">
      <c r="A321" s="1" t="s">
        <v>418</v>
      </c>
      <c r="B321" s="74">
        <v>46210</v>
      </c>
      <c r="C321" s="75">
        <v>1000</v>
      </c>
    </row>
    <row r="322" spans="1:3" x14ac:dyDescent="0.25">
      <c r="A322" s="1" t="s">
        <v>143</v>
      </c>
      <c r="B322" s="74">
        <v>46210</v>
      </c>
      <c r="C322" s="75">
        <v>3000</v>
      </c>
    </row>
    <row r="323" spans="1:3" x14ac:dyDescent="0.25">
      <c r="A323" s="1" t="s">
        <v>943</v>
      </c>
      <c r="B323" s="74">
        <v>46210</v>
      </c>
      <c r="C323" s="75">
        <v>2000</v>
      </c>
    </row>
    <row r="324" spans="1:3" x14ac:dyDescent="0.25">
      <c r="A324" s="1" t="s">
        <v>804</v>
      </c>
      <c r="B324" s="74">
        <v>46210</v>
      </c>
      <c r="C324" s="75">
        <v>2000</v>
      </c>
    </row>
    <row r="325" spans="1:3" x14ac:dyDescent="0.25">
      <c r="A325" s="1" t="s">
        <v>572</v>
      </c>
      <c r="B325" s="74">
        <v>46210</v>
      </c>
      <c r="C325" s="75">
        <v>2000</v>
      </c>
    </row>
    <row r="326" spans="1:3" x14ac:dyDescent="0.25">
      <c r="A326" s="1" t="s">
        <v>1262</v>
      </c>
      <c r="B326" s="74">
        <v>46210</v>
      </c>
      <c r="C326" s="75">
        <v>3000</v>
      </c>
    </row>
    <row r="327" spans="1:3" x14ac:dyDescent="0.25">
      <c r="A327" s="1" t="s">
        <v>474</v>
      </c>
      <c r="B327" s="74">
        <v>46210</v>
      </c>
      <c r="C327" s="75">
        <v>5000</v>
      </c>
    </row>
    <row r="328" spans="1:3" x14ac:dyDescent="0.25">
      <c r="A328" s="1" t="s">
        <v>841</v>
      </c>
      <c r="B328" s="74">
        <v>46210</v>
      </c>
      <c r="C328" s="75">
        <v>2000</v>
      </c>
    </row>
    <row r="329" spans="1:3" x14ac:dyDescent="0.25">
      <c r="A329" s="1" t="s">
        <v>1364</v>
      </c>
      <c r="B329" s="74">
        <v>46210</v>
      </c>
      <c r="C329" s="75">
        <v>500</v>
      </c>
    </row>
    <row r="330" spans="1:3" x14ac:dyDescent="0.25">
      <c r="A330" s="1" t="s">
        <v>681</v>
      </c>
      <c r="B330" s="74">
        <v>46210</v>
      </c>
      <c r="C330" s="75">
        <v>1000</v>
      </c>
    </row>
    <row r="331" spans="1:3" x14ac:dyDescent="0.25">
      <c r="A331" s="1" t="s">
        <v>571</v>
      </c>
      <c r="B331" s="74">
        <v>46210</v>
      </c>
      <c r="C331" s="75">
        <v>5000</v>
      </c>
    </row>
    <row r="332" spans="1:3" x14ac:dyDescent="0.25">
      <c r="A332" s="1" t="s">
        <v>1111</v>
      </c>
      <c r="B332" s="74">
        <v>46210</v>
      </c>
      <c r="C332" s="75">
        <v>2500</v>
      </c>
    </row>
    <row r="333" spans="1:3" x14ac:dyDescent="0.25">
      <c r="A333" s="1" t="s">
        <v>232</v>
      </c>
      <c r="B333" s="74">
        <v>46210</v>
      </c>
      <c r="C333" s="75">
        <v>1500</v>
      </c>
    </row>
    <row r="334" spans="1:3" x14ac:dyDescent="0.25">
      <c r="A334" s="1" t="s">
        <v>1245</v>
      </c>
      <c r="B334" s="74">
        <v>46210</v>
      </c>
      <c r="C334" s="75">
        <v>1000</v>
      </c>
    </row>
    <row r="335" spans="1:3" x14ac:dyDescent="0.25">
      <c r="A335" s="1" t="s">
        <v>805</v>
      </c>
      <c r="B335" s="74">
        <v>46210</v>
      </c>
      <c r="C335" s="75">
        <v>1000</v>
      </c>
    </row>
    <row r="336" spans="1:3" x14ac:dyDescent="0.25">
      <c r="A336" s="1" t="s">
        <v>329</v>
      </c>
      <c r="B336" s="74">
        <v>46210</v>
      </c>
      <c r="C336" s="75">
        <v>3000</v>
      </c>
    </row>
    <row r="337" spans="1:3" x14ac:dyDescent="0.25">
      <c r="A337" s="1" t="s">
        <v>1047</v>
      </c>
      <c r="B337" s="74">
        <v>46210</v>
      </c>
      <c r="C337" s="75">
        <v>1000</v>
      </c>
    </row>
    <row r="338" spans="1:3" x14ac:dyDescent="0.25">
      <c r="A338" s="1" t="s">
        <v>1280</v>
      </c>
      <c r="B338" s="74">
        <v>46210</v>
      </c>
      <c r="C338" s="75">
        <v>1000</v>
      </c>
    </row>
    <row r="339" spans="1:3" x14ac:dyDescent="0.25">
      <c r="A339" s="1" t="s">
        <v>1030</v>
      </c>
      <c r="B339" s="74">
        <v>46210</v>
      </c>
      <c r="C339" s="75">
        <v>1000</v>
      </c>
    </row>
    <row r="340" spans="1:3" x14ac:dyDescent="0.25">
      <c r="A340" s="1" t="s">
        <v>1311</v>
      </c>
      <c r="B340" s="74">
        <v>46210</v>
      </c>
      <c r="C340" s="75">
        <v>1000</v>
      </c>
    </row>
    <row r="341" spans="1:3" x14ac:dyDescent="0.25">
      <c r="A341" s="1" t="s">
        <v>926</v>
      </c>
      <c r="B341" s="74">
        <v>46210</v>
      </c>
      <c r="C341" s="75">
        <v>2000</v>
      </c>
    </row>
    <row r="342" spans="1:3" x14ac:dyDescent="0.25">
      <c r="A342" s="1" t="s">
        <v>391</v>
      </c>
      <c r="B342" s="74">
        <v>46210</v>
      </c>
      <c r="C342" s="75">
        <v>1000</v>
      </c>
    </row>
    <row r="343" spans="1:3" x14ac:dyDescent="0.25">
      <c r="A343" s="1" t="s">
        <v>17</v>
      </c>
      <c r="B343" s="74">
        <v>46210</v>
      </c>
      <c r="C343" s="75">
        <v>2000</v>
      </c>
    </row>
    <row r="344" spans="1:3" x14ac:dyDescent="0.25">
      <c r="A344" s="1" t="s">
        <v>1064</v>
      </c>
      <c r="B344" s="74">
        <v>46210</v>
      </c>
      <c r="C344" s="75">
        <v>1000</v>
      </c>
    </row>
    <row r="345" spans="1:3" x14ac:dyDescent="0.25">
      <c r="A345" s="1" t="s">
        <v>1242</v>
      </c>
      <c r="B345" s="74">
        <v>46210</v>
      </c>
      <c r="C345" s="75">
        <v>9000</v>
      </c>
    </row>
    <row r="346" spans="1:3" x14ac:dyDescent="0.25">
      <c r="A346" s="1" t="s">
        <v>938</v>
      </c>
      <c r="B346" s="74">
        <v>46210</v>
      </c>
      <c r="C346" s="75">
        <v>1000</v>
      </c>
    </row>
    <row r="347" spans="1:3" x14ac:dyDescent="0.25">
      <c r="A347" s="1" t="s">
        <v>770</v>
      </c>
      <c r="B347" s="74">
        <v>46210</v>
      </c>
      <c r="C347" s="75">
        <v>2800</v>
      </c>
    </row>
    <row r="348" spans="1:3" x14ac:dyDescent="0.25">
      <c r="A348" s="1" t="s">
        <v>240</v>
      </c>
      <c r="B348" s="74">
        <v>46210</v>
      </c>
      <c r="C348" s="75">
        <v>1000</v>
      </c>
    </row>
    <row r="349" spans="1:3" x14ac:dyDescent="0.25">
      <c r="A349" s="1" t="s">
        <v>927</v>
      </c>
      <c r="B349" s="74">
        <v>46210</v>
      </c>
      <c r="C349" s="75">
        <v>2000</v>
      </c>
    </row>
    <row r="350" spans="1:3" x14ac:dyDescent="0.25">
      <c r="A350" s="1" t="s">
        <v>33</v>
      </c>
      <c r="B350" s="74">
        <v>46210</v>
      </c>
      <c r="C350" s="75">
        <v>4000</v>
      </c>
    </row>
    <row r="351" spans="1:3" x14ac:dyDescent="0.25">
      <c r="A351" s="1" t="s">
        <v>412</v>
      </c>
      <c r="B351" s="74">
        <v>46210</v>
      </c>
      <c r="C351" s="75">
        <v>2500</v>
      </c>
    </row>
    <row r="352" spans="1:3" x14ac:dyDescent="0.25">
      <c r="A352" s="1" t="s">
        <v>294</v>
      </c>
      <c r="B352" s="74">
        <v>46210</v>
      </c>
      <c r="C352" s="75">
        <v>1000</v>
      </c>
    </row>
    <row r="353" spans="1:3" x14ac:dyDescent="0.25">
      <c r="A353" s="1" t="s">
        <v>1183</v>
      </c>
      <c r="B353" s="74">
        <v>46210</v>
      </c>
      <c r="C353" s="75">
        <v>1000</v>
      </c>
    </row>
    <row r="354" spans="1:3" x14ac:dyDescent="0.25">
      <c r="A354" s="1" t="s">
        <v>331</v>
      </c>
      <c r="B354" s="74">
        <v>46210</v>
      </c>
      <c r="C354" s="75">
        <v>4000</v>
      </c>
    </row>
    <row r="355" spans="1:3" x14ac:dyDescent="0.25">
      <c r="A355" s="1" t="s">
        <v>313</v>
      </c>
      <c r="B355" s="74">
        <v>46210</v>
      </c>
      <c r="C355" s="75">
        <v>6500</v>
      </c>
    </row>
    <row r="356" spans="1:3" x14ac:dyDescent="0.25">
      <c r="A356" s="1" t="s">
        <v>205</v>
      </c>
      <c r="B356" s="74">
        <v>46210</v>
      </c>
      <c r="C356" s="75">
        <v>32000</v>
      </c>
    </row>
    <row r="357" spans="1:3" x14ac:dyDescent="0.25">
      <c r="A357" s="1" t="s">
        <v>1063</v>
      </c>
      <c r="B357" s="74">
        <v>46210</v>
      </c>
      <c r="C357" s="75">
        <v>1000</v>
      </c>
    </row>
    <row r="358" spans="1:3" x14ac:dyDescent="0.25">
      <c r="A358" s="1" t="s">
        <v>1363</v>
      </c>
      <c r="B358" s="74">
        <v>46210</v>
      </c>
      <c r="C358" s="75">
        <v>60</v>
      </c>
    </row>
    <row r="359" spans="1:3" x14ac:dyDescent="0.25">
      <c r="A359" s="1" t="s">
        <v>466</v>
      </c>
      <c r="B359" s="74">
        <v>46210</v>
      </c>
      <c r="C359" s="75">
        <v>10000</v>
      </c>
    </row>
    <row r="360" spans="1:3" x14ac:dyDescent="0.25">
      <c r="A360" s="1" t="s">
        <v>1031</v>
      </c>
      <c r="B360" s="74">
        <v>46210</v>
      </c>
      <c r="C360" s="75">
        <v>1000</v>
      </c>
    </row>
    <row r="361" spans="1:3" x14ac:dyDescent="0.25">
      <c r="A361" s="1" t="s">
        <v>1192</v>
      </c>
      <c r="B361" s="74">
        <v>46210</v>
      </c>
      <c r="C361" s="75">
        <v>1000</v>
      </c>
    </row>
    <row r="362" spans="1:3" x14ac:dyDescent="0.25">
      <c r="A362" s="1" t="s">
        <v>48</v>
      </c>
      <c r="B362" s="74">
        <v>46210</v>
      </c>
      <c r="C362" s="75">
        <v>1000</v>
      </c>
    </row>
    <row r="363" spans="1:3" x14ac:dyDescent="0.25">
      <c r="A363" s="1" t="s">
        <v>392</v>
      </c>
      <c r="B363" s="74">
        <v>46210</v>
      </c>
      <c r="C363" s="75">
        <v>1000</v>
      </c>
    </row>
    <row r="364" spans="1:3" x14ac:dyDescent="0.25">
      <c r="A364" s="1" t="s">
        <v>1186</v>
      </c>
      <c r="B364" s="74">
        <v>46210</v>
      </c>
      <c r="C364" s="75">
        <v>1000</v>
      </c>
    </row>
    <row r="365" spans="1:3" x14ac:dyDescent="0.25">
      <c r="A365" s="1" t="s">
        <v>162</v>
      </c>
      <c r="B365" s="74">
        <v>46210</v>
      </c>
      <c r="C365" s="75">
        <v>1700</v>
      </c>
    </row>
    <row r="366" spans="1:3" x14ac:dyDescent="0.25">
      <c r="A366" s="1" t="s">
        <v>254</v>
      </c>
      <c r="B366" s="74">
        <v>46210</v>
      </c>
      <c r="C366" s="75">
        <v>2000</v>
      </c>
    </row>
    <row r="367" spans="1:3" x14ac:dyDescent="0.25">
      <c r="A367" s="1" t="s">
        <v>1124</v>
      </c>
      <c r="B367" s="74">
        <v>46210</v>
      </c>
      <c r="C367" s="75">
        <v>8000</v>
      </c>
    </row>
    <row r="368" spans="1:3" x14ac:dyDescent="0.25">
      <c r="A368" s="1" t="s">
        <v>969</v>
      </c>
      <c r="B368" s="74">
        <v>46210</v>
      </c>
      <c r="C368" s="75">
        <v>34000</v>
      </c>
    </row>
    <row r="369" spans="1:3" x14ac:dyDescent="0.25">
      <c r="A369" s="1" t="s">
        <v>1141</v>
      </c>
      <c r="B369" s="74">
        <v>46210</v>
      </c>
      <c r="C369" s="75">
        <v>20000</v>
      </c>
    </row>
    <row r="370" spans="1:3" x14ac:dyDescent="0.25">
      <c r="A370" s="1" t="s">
        <v>1272</v>
      </c>
      <c r="B370" s="74">
        <v>46210</v>
      </c>
      <c r="C370" s="75">
        <v>1001</v>
      </c>
    </row>
    <row r="371" spans="1:3" x14ac:dyDescent="0.25">
      <c r="A371" s="1" t="s">
        <v>644</v>
      </c>
      <c r="B371" s="74">
        <v>46210</v>
      </c>
      <c r="C371" s="75">
        <v>2000</v>
      </c>
    </row>
    <row r="372" spans="1:3" x14ac:dyDescent="0.25">
      <c r="A372" s="1" t="s">
        <v>537</v>
      </c>
      <c r="B372" s="74">
        <v>46210</v>
      </c>
      <c r="C372" s="75">
        <v>40000</v>
      </c>
    </row>
    <row r="373" spans="1:3" x14ac:dyDescent="0.25">
      <c r="A373" s="1" t="s">
        <v>839</v>
      </c>
      <c r="B373" s="74">
        <v>46210</v>
      </c>
      <c r="C373" s="75">
        <v>1000</v>
      </c>
    </row>
    <row r="374" spans="1:3" x14ac:dyDescent="0.25">
      <c r="A374" s="1" t="s">
        <v>539</v>
      </c>
      <c r="B374" s="74">
        <v>46211</v>
      </c>
      <c r="C374" s="75">
        <v>16000</v>
      </c>
    </row>
    <row r="375" spans="1:3" x14ac:dyDescent="0.25">
      <c r="A375" s="1" t="s">
        <v>46</v>
      </c>
      <c r="B375" s="74">
        <v>46211</v>
      </c>
      <c r="C375" s="75">
        <v>3500</v>
      </c>
    </row>
    <row r="376" spans="1:3" x14ac:dyDescent="0.25">
      <c r="A376" s="1" t="s">
        <v>671</v>
      </c>
      <c r="B376" s="74">
        <v>46211</v>
      </c>
      <c r="C376" s="75">
        <v>1000</v>
      </c>
    </row>
    <row r="377" spans="1:3" x14ac:dyDescent="0.25">
      <c r="A377" s="1" t="s">
        <v>972</v>
      </c>
      <c r="B377" s="74">
        <v>46211</v>
      </c>
      <c r="C377" s="75">
        <v>49000</v>
      </c>
    </row>
    <row r="378" spans="1:3" x14ac:dyDescent="0.25">
      <c r="A378" s="1" t="s">
        <v>63</v>
      </c>
      <c r="B378" s="74">
        <v>46211</v>
      </c>
      <c r="C378" s="75">
        <v>1000</v>
      </c>
    </row>
    <row r="379" spans="1:3" x14ac:dyDescent="0.25">
      <c r="A379" s="1" t="s">
        <v>82</v>
      </c>
      <c r="B379" s="74">
        <v>46211</v>
      </c>
      <c r="C379" s="75">
        <v>35000</v>
      </c>
    </row>
    <row r="380" spans="1:3" x14ac:dyDescent="0.25">
      <c r="A380" s="1" t="s">
        <v>1293</v>
      </c>
      <c r="B380" s="74">
        <v>46211</v>
      </c>
      <c r="C380" s="75">
        <v>1000</v>
      </c>
    </row>
    <row r="381" spans="1:3" x14ac:dyDescent="0.25">
      <c r="A381" s="1" t="s">
        <v>667</v>
      </c>
      <c r="B381" s="74">
        <v>46211</v>
      </c>
      <c r="C381" s="75">
        <v>501</v>
      </c>
    </row>
    <row r="382" spans="1:3" x14ac:dyDescent="0.25">
      <c r="A382" s="1" t="s">
        <v>1254</v>
      </c>
      <c r="B382" s="74">
        <v>46211</v>
      </c>
      <c r="C382" s="75">
        <v>1000</v>
      </c>
    </row>
    <row r="383" spans="1:3" x14ac:dyDescent="0.25">
      <c r="A383" s="1" t="s">
        <v>710</v>
      </c>
      <c r="B383" s="74">
        <v>46211</v>
      </c>
      <c r="C383" s="75">
        <v>6500</v>
      </c>
    </row>
    <row r="384" spans="1:3" x14ac:dyDescent="0.25">
      <c r="A384" s="1" t="s">
        <v>479</v>
      </c>
      <c r="B384" s="74">
        <v>46211</v>
      </c>
      <c r="C384" s="75">
        <v>4500</v>
      </c>
    </row>
    <row r="385" spans="1:3" x14ac:dyDescent="0.25">
      <c r="A385" s="1" t="s">
        <v>654</v>
      </c>
      <c r="B385" s="74">
        <v>46211</v>
      </c>
      <c r="C385" s="75">
        <v>14000</v>
      </c>
    </row>
    <row r="386" spans="1:3" x14ac:dyDescent="0.25">
      <c r="A386" s="1" t="s">
        <v>158</v>
      </c>
      <c r="B386" s="74">
        <v>46211</v>
      </c>
      <c r="C386" s="75">
        <v>1000</v>
      </c>
    </row>
    <row r="387" spans="1:3" x14ac:dyDescent="0.25">
      <c r="A387" s="1" t="s">
        <v>1203</v>
      </c>
      <c r="B387" s="74">
        <v>46211</v>
      </c>
      <c r="C387" s="75">
        <v>1200</v>
      </c>
    </row>
    <row r="388" spans="1:3" x14ac:dyDescent="0.25">
      <c r="A388" s="1" t="s">
        <v>550</v>
      </c>
      <c r="B388" s="74">
        <v>46211</v>
      </c>
      <c r="C388" s="75">
        <v>1000</v>
      </c>
    </row>
    <row r="389" spans="1:3" x14ac:dyDescent="0.25">
      <c r="A389" s="1" t="s">
        <v>1370</v>
      </c>
      <c r="B389" s="74">
        <v>46211</v>
      </c>
      <c r="C389" s="75">
        <v>3000</v>
      </c>
    </row>
    <row r="390" spans="1:3" x14ac:dyDescent="0.25">
      <c r="A390" s="1" t="s">
        <v>1173</v>
      </c>
      <c r="B390" s="74">
        <v>46211</v>
      </c>
      <c r="C390" s="75">
        <v>2000</v>
      </c>
    </row>
    <row r="391" spans="1:3" x14ac:dyDescent="0.25">
      <c r="A391" s="1" t="s">
        <v>512</v>
      </c>
      <c r="B391" s="74">
        <v>46211</v>
      </c>
      <c r="C391" s="75">
        <v>2000</v>
      </c>
    </row>
    <row r="392" spans="1:3" x14ac:dyDescent="0.25">
      <c r="A392" s="1" t="s">
        <v>1325</v>
      </c>
      <c r="B392" s="74">
        <v>46211</v>
      </c>
      <c r="C392" s="75">
        <v>1000</v>
      </c>
    </row>
    <row r="393" spans="1:3" x14ac:dyDescent="0.25">
      <c r="A393" s="1" t="s">
        <v>967</v>
      </c>
      <c r="B393" s="74">
        <v>46211</v>
      </c>
      <c r="C393" s="75">
        <v>9000</v>
      </c>
    </row>
    <row r="394" spans="1:3" x14ac:dyDescent="0.25">
      <c r="A394" s="1" t="s">
        <v>1071</v>
      </c>
      <c r="B394" s="74">
        <v>46211</v>
      </c>
      <c r="C394" s="75">
        <v>1000</v>
      </c>
    </row>
    <row r="395" spans="1:3" x14ac:dyDescent="0.25">
      <c r="A395" s="1" t="s">
        <v>312</v>
      </c>
      <c r="B395" s="74">
        <v>46211</v>
      </c>
      <c r="C395" s="75">
        <v>2000</v>
      </c>
    </row>
    <row r="396" spans="1:3" x14ac:dyDescent="0.25">
      <c r="A396" s="1" t="s">
        <v>1105</v>
      </c>
      <c r="B396" s="74">
        <v>46211</v>
      </c>
      <c r="C396" s="75">
        <v>5000</v>
      </c>
    </row>
    <row r="397" spans="1:3" x14ac:dyDescent="0.25">
      <c r="A397" s="1" t="s">
        <v>695</v>
      </c>
      <c r="B397" s="74">
        <v>46211</v>
      </c>
      <c r="C397" s="75">
        <v>1154</v>
      </c>
    </row>
    <row r="398" spans="1:3" x14ac:dyDescent="0.25">
      <c r="A398" s="1" t="s">
        <v>339</v>
      </c>
      <c r="B398" s="74">
        <v>46211</v>
      </c>
      <c r="C398" s="75">
        <v>1000</v>
      </c>
    </row>
    <row r="399" spans="1:3" x14ac:dyDescent="0.25">
      <c r="A399" s="1" t="s">
        <v>404</v>
      </c>
      <c r="B399" s="74">
        <v>46211</v>
      </c>
      <c r="C399" s="75">
        <v>1000</v>
      </c>
    </row>
    <row r="400" spans="1:3" x14ac:dyDescent="0.25">
      <c r="A400" s="1" t="s">
        <v>18</v>
      </c>
      <c r="B400" s="74">
        <v>46211</v>
      </c>
      <c r="C400" s="75">
        <v>1000</v>
      </c>
    </row>
    <row r="401" spans="1:3" x14ac:dyDescent="0.25">
      <c r="A401" s="1" t="s">
        <v>1016</v>
      </c>
      <c r="B401" s="74">
        <v>46211</v>
      </c>
      <c r="C401" s="75">
        <v>1001</v>
      </c>
    </row>
    <row r="402" spans="1:3" x14ac:dyDescent="0.25">
      <c r="A402" s="1" t="s">
        <v>1231</v>
      </c>
      <c r="B402" s="74">
        <v>46211</v>
      </c>
      <c r="C402" s="75">
        <v>2112</v>
      </c>
    </row>
    <row r="403" spans="1:3" x14ac:dyDescent="0.25">
      <c r="A403" s="1" t="s">
        <v>1013</v>
      </c>
      <c r="B403" s="74">
        <v>46211</v>
      </c>
      <c r="C403" s="75">
        <v>40000</v>
      </c>
    </row>
    <row r="404" spans="1:3" x14ac:dyDescent="0.25">
      <c r="A404" s="1" t="s">
        <v>297</v>
      </c>
      <c r="B404" s="74">
        <v>46211</v>
      </c>
      <c r="C404" s="75">
        <v>1000</v>
      </c>
    </row>
    <row r="405" spans="1:3" x14ac:dyDescent="0.25">
      <c r="A405" s="1" t="s">
        <v>658</v>
      </c>
      <c r="B405" s="74">
        <v>46211</v>
      </c>
      <c r="C405" s="75">
        <v>4000</v>
      </c>
    </row>
    <row r="406" spans="1:3" x14ac:dyDescent="0.25">
      <c r="A406" s="1" t="s">
        <v>1182</v>
      </c>
      <c r="B406" s="74">
        <v>46211</v>
      </c>
      <c r="C406" s="75">
        <v>1000</v>
      </c>
    </row>
    <row r="407" spans="1:3" x14ac:dyDescent="0.25">
      <c r="A407" s="1" t="s">
        <v>170</v>
      </c>
      <c r="B407" s="74">
        <v>46211</v>
      </c>
      <c r="C407" s="75">
        <v>1000</v>
      </c>
    </row>
    <row r="408" spans="1:3" x14ac:dyDescent="0.25">
      <c r="A408" s="1" t="s">
        <v>502</v>
      </c>
      <c r="B408" s="74">
        <v>46211</v>
      </c>
      <c r="C408" s="75">
        <v>35000</v>
      </c>
    </row>
    <row r="409" spans="1:3" x14ac:dyDescent="0.25">
      <c r="A409" s="1" t="s">
        <v>219</v>
      </c>
      <c r="B409" s="74">
        <v>46211</v>
      </c>
      <c r="C409" s="75">
        <v>10000</v>
      </c>
    </row>
    <row r="410" spans="1:3" x14ac:dyDescent="0.25">
      <c r="A410" s="1" t="s">
        <v>361</v>
      </c>
      <c r="B410" s="74">
        <v>46211</v>
      </c>
      <c r="C410" s="75">
        <v>1000</v>
      </c>
    </row>
    <row r="411" spans="1:3" x14ac:dyDescent="0.25">
      <c r="A411" s="1" t="s">
        <v>231</v>
      </c>
      <c r="B411" s="74">
        <v>46211</v>
      </c>
      <c r="C411" s="75">
        <v>1000</v>
      </c>
    </row>
    <row r="412" spans="1:3" x14ac:dyDescent="0.25">
      <c r="A412" s="1" t="s">
        <v>836</v>
      </c>
      <c r="B412" s="74">
        <v>46211</v>
      </c>
      <c r="C412" s="75">
        <v>1000</v>
      </c>
    </row>
    <row r="413" spans="1:3" x14ac:dyDescent="0.25">
      <c r="A413" s="1" t="s">
        <v>942</v>
      </c>
      <c r="B413" s="74">
        <v>46211</v>
      </c>
      <c r="C413" s="75">
        <v>1000</v>
      </c>
    </row>
    <row r="414" spans="1:3" x14ac:dyDescent="0.25">
      <c r="A414" s="1" t="s">
        <v>971</v>
      </c>
      <c r="B414" s="74">
        <v>46211</v>
      </c>
      <c r="C414" s="75">
        <v>1000</v>
      </c>
    </row>
    <row r="415" spans="1:3" x14ac:dyDescent="0.25">
      <c r="A415" s="1" t="s">
        <v>873</v>
      </c>
      <c r="B415" s="74">
        <v>46211</v>
      </c>
      <c r="C415" s="75">
        <v>5000</v>
      </c>
    </row>
    <row r="416" spans="1:3" x14ac:dyDescent="0.25">
      <c r="A416" s="1" t="s">
        <v>169</v>
      </c>
      <c r="B416" s="74">
        <v>46211</v>
      </c>
      <c r="C416" s="75">
        <v>1000</v>
      </c>
    </row>
    <row r="417" spans="1:3" x14ac:dyDescent="0.25">
      <c r="A417" s="1" t="s">
        <v>911</v>
      </c>
      <c r="B417" s="74">
        <v>46211</v>
      </c>
      <c r="C417" s="75">
        <v>1000</v>
      </c>
    </row>
    <row r="418" spans="1:3" x14ac:dyDescent="0.25">
      <c r="A418" s="1" t="s">
        <v>383</v>
      </c>
      <c r="B418" s="74">
        <v>46211</v>
      </c>
      <c r="C418" s="75">
        <v>1000</v>
      </c>
    </row>
    <row r="419" spans="1:3" x14ac:dyDescent="0.25">
      <c r="A419" s="1" t="s">
        <v>1220</v>
      </c>
      <c r="B419" s="74">
        <v>46211</v>
      </c>
      <c r="C419" s="75">
        <v>2000</v>
      </c>
    </row>
    <row r="420" spans="1:3" x14ac:dyDescent="0.25">
      <c r="A420" s="1" t="s">
        <v>498</v>
      </c>
      <c r="B420" s="74">
        <v>46211</v>
      </c>
      <c r="C420" s="75">
        <v>20000</v>
      </c>
    </row>
    <row r="421" spans="1:3" x14ac:dyDescent="0.25">
      <c r="A421" s="1" t="s">
        <v>657</v>
      </c>
      <c r="B421" s="74">
        <v>46211</v>
      </c>
      <c r="C421" s="75">
        <v>2000</v>
      </c>
    </row>
    <row r="422" spans="1:3" x14ac:dyDescent="0.25">
      <c r="A422" s="1" t="s">
        <v>401</v>
      </c>
      <c r="B422" s="74">
        <v>46211</v>
      </c>
      <c r="C422" s="75">
        <v>1000</v>
      </c>
    </row>
    <row r="423" spans="1:3" x14ac:dyDescent="0.25">
      <c r="A423" s="1" t="s">
        <v>196</v>
      </c>
      <c r="B423" s="74">
        <v>46211</v>
      </c>
      <c r="C423" s="75">
        <v>5000</v>
      </c>
    </row>
    <row r="424" spans="1:3" x14ac:dyDescent="0.25">
      <c r="A424" s="1" t="s">
        <v>358</v>
      </c>
      <c r="B424" s="74">
        <v>46211</v>
      </c>
      <c r="C424" s="75">
        <v>2000</v>
      </c>
    </row>
    <row r="425" spans="1:3" x14ac:dyDescent="0.25">
      <c r="A425" s="1" t="s">
        <v>1205</v>
      </c>
      <c r="B425" s="74">
        <v>46211</v>
      </c>
      <c r="C425" s="75">
        <v>1000</v>
      </c>
    </row>
    <row r="426" spans="1:3" x14ac:dyDescent="0.25">
      <c r="A426" s="1" t="s">
        <v>138</v>
      </c>
      <c r="B426" s="74">
        <v>46211</v>
      </c>
      <c r="C426" s="75">
        <v>1000</v>
      </c>
    </row>
    <row r="427" spans="1:3" x14ac:dyDescent="0.25">
      <c r="A427" s="1" t="s">
        <v>106</v>
      </c>
      <c r="B427" s="74">
        <v>46211</v>
      </c>
      <c r="C427" s="75">
        <v>1100</v>
      </c>
    </row>
    <row r="428" spans="1:3" x14ac:dyDescent="0.25">
      <c r="A428" s="1" t="s">
        <v>35</v>
      </c>
      <c r="B428" s="74">
        <v>46211</v>
      </c>
      <c r="C428" s="75">
        <v>1000</v>
      </c>
    </row>
    <row r="429" spans="1:3" x14ac:dyDescent="0.25">
      <c r="A429" s="1" t="s">
        <v>714</v>
      </c>
      <c r="B429" s="74">
        <v>46211</v>
      </c>
      <c r="C429" s="75">
        <v>2000</v>
      </c>
    </row>
    <row r="430" spans="1:3" x14ac:dyDescent="0.25">
      <c r="A430" s="1" t="s">
        <v>57</v>
      </c>
      <c r="B430" s="74">
        <v>46212</v>
      </c>
      <c r="C430" s="75">
        <v>5000</v>
      </c>
    </row>
    <row r="431" spans="1:3" x14ac:dyDescent="0.25">
      <c r="A431" s="1" t="s">
        <v>1181</v>
      </c>
      <c r="B431" s="74">
        <v>46212</v>
      </c>
      <c r="C431" s="75">
        <v>1000</v>
      </c>
    </row>
    <row r="432" spans="1:3" x14ac:dyDescent="0.25">
      <c r="A432" s="1" t="s">
        <v>66</v>
      </c>
      <c r="B432" s="74">
        <v>46212</v>
      </c>
      <c r="C432" s="75">
        <v>1000</v>
      </c>
    </row>
    <row r="433" spans="1:3" x14ac:dyDescent="0.25">
      <c r="A433" s="1" t="s">
        <v>447</v>
      </c>
      <c r="B433" s="74">
        <v>46212</v>
      </c>
      <c r="C433" s="75">
        <v>2000</v>
      </c>
    </row>
    <row r="434" spans="1:3" x14ac:dyDescent="0.25">
      <c r="A434" s="1" t="s">
        <v>225</v>
      </c>
      <c r="B434" s="74">
        <v>46212</v>
      </c>
      <c r="C434" s="75">
        <v>1000</v>
      </c>
    </row>
    <row r="435" spans="1:3" x14ac:dyDescent="0.25">
      <c r="A435" s="1" t="s">
        <v>249</v>
      </c>
      <c r="B435" s="74">
        <v>46212</v>
      </c>
      <c r="C435" s="75">
        <v>3000</v>
      </c>
    </row>
    <row r="436" spans="1:3" x14ac:dyDescent="0.25">
      <c r="A436" s="1" t="s">
        <v>626</v>
      </c>
      <c r="B436" s="74">
        <v>46212</v>
      </c>
      <c r="C436" s="75">
        <v>2000</v>
      </c>
    </row>
    <row r="437" spans="1:3" x14ac:dyDescent="0.25">
      <c r="A437" s="1" t="s">
        <v>831</v>
      </c>
      <c r="B437" s="74">
        <v>46212</v>
      </c>
      <c r="C437" s="75">
        <v>1000</v>
      </c>
    </row>
    <row r="438" spans="1:3" x14ac:dyDescent="0.25">
      <c r="A438" s="1" t="s">
        <v>239</v>
      </c>
      <c r="B438" s="74">
        <v>46212</v>
      </c>
      <c r="C438" s="75">
        <v>2000</v>
      </c>
    </row>
    <row r="439" spans="1:3" x14ac:dyDescent="0.25">
      <c r="A439" s="1" t="s">
        <v>153</v>
      </c>
      <c r="B439" s="74">
        <v>46212</v>
      </c>
      <c r="C439" s="75">
        <v>2000</v>
      </c>
    </row>
    <row r="440" spans="1:3" x14ac:dyDescent="0.25">
      <c r="A440" s="1" t="s">
        <v>642</v>
      </c>
      <c r="B440" s="74">
        <v>46212</v>
      </c>
      <c r="C440" s="75">
        <v>1000</v>
      </c>
    </row>
    <row r="441" spans="1:3" x14ac:dyDescent="0.25">
      <c r="A441" s="1" t="s">
        <v>687</v>
      </c>
      <c r="B441" s="74">
        <v>46212</v>
      </c>
      <c r="C441" s="75">
        <v>1000</v>
      </c>
    </row>
    <row r="442" spans="1:3" x14ac:dyDescent="0.25">
      <c r="A442" s="1" t="s">
        <v>609</v>
      </c>
      <c r="B442" s="74">
        <v>46212</v>
      </c>
      <c r="C442" s="75">
        <v>1000</v>
      </c>
    </row>
    <row r="443" spans="1:3" x14ac:dyDescent="0.25">
      <c r="A443" s="1" t="s">
        <v>210</v>
      </c>
      <c r="B443" s="74">
        <v>46212</v>
      </c>
      <c r="C443" s="75">
        <v>1000</v>
      </c>
    </row>
    <row r="444" spans="1:3" x14ac:dyDescent="0.25">
      <c r="A444" s="1" t="s">
        <v>807</v>
      </c>
      <c r="B444" s="74">
        <v>46212</v>
      </c>
      <c r="C444" s="75">
        <v>1000</v>
      </c>
    </row>
    <row r="445" spans="1:3" x14ac:dyDescent="0.25">
      <c r="A445" s="1" t="s">
        <v>1148</v>
      </c>
      <c r="B445" s="74">
        <v>46212</v>
      </c>
      <c r="C445" s="75">
        <v>1000</v>
      </c>
    </row>
    <row r="446" spans="1:3" x14ac:dyDescent="0.25">
      <c r="A446" s="1" t="s">
        <v>935</v>
      </c>
      <c r="B446" s="74">
        <v>46212</v>
      </c>
      <c r="C446" s="75">
        <v>1000</v>
      </c>
    </row>
    <row r="447" spans="1:3" x14ac:dyDescent="0.25">
      <c r="A447" s="1" t="s">
        <v>754</v>
      </c>
      <c r="B447" s="74">
        <v>46212</v>
      </c>
      <c r="C447" s="75">
        <v>1000</v>
      </c>
    </row>
    <row r="448" spans="1:3" x14ac:dyDescent="0.25">
      <c r="A448" s="1" t="s">
        <v>1207</v>
      </c>
      <c r="B448" s="74">
        <v>46212</v>
      </c>
      <c r="C448" s="75">
        <v>4100</v>
      </c>
    </row>
    <row r="449" spans="1:3" x14ac:dyDescent="0.25">
      <c r="A449" s="1" t="s">
        <v>1189</v>
      </c>
      <c r="B449" s="74">
        <v>46212</v>
      </c>
      <c r="C449" s="75">
        <v>11000</v>
      </c>
    </row>
    <row r="450" spans="1:3" x14ac:dyDescent="0.25">
      <c r="A450" s="1" t="s">
        <v>1320</v>
      </c>
      <c r="B450" s="74">
        <v>46212</v>
      </c>
      <c r="C450" s="75">
        <v>6500</v>
      </c>
    </row>
    <row r="451" spans="1:3" x14ac:dyDescent="0.25">
      <c r="A451" s="1" t="s">
        <v>1164</v>
      </c>
      <c r="B451" s="74">
        <v>46212</v>
      </c>
      <c r="C451" s="75">
        <v>1000</v>
      </c>
    </row>
    <row r="452" spans="1:3" x14ac:dyDescent="0.25">
      <c r="A452" s="1" t="s">
        <v>1042</v>
      </c>
      <c r="B452" s="74">
        <v>46212</v>
      </c>
      <c r="C452" s="75">
        <v>1001</v>
      </c>
    </row>
    <row r="453" spans="1:3" x14ac:dyDescent="0.25">
      <c r="A453" s="1" t="s">
        <v>673</v>
      </c>
      <c r="B453" s="74">
        <v>46212</v>
      </c>
      <c r="C453" s="75">
        <v>1000</v>
      </c>
    </row>
    <row r="454" spans="1:3" x14ac:dyDescent="0.25">
      <c r="A454" s="1" t="s">
        <v>925</v>
      </c>
      <c r="B454" s="74">
        <v>46212</v>
      </c>
      <c r="C454" s="75">
        <v>1000</v>
      </c>
    </row>
    <row r="455" spans="1:3" x14ac:dyDescent="0.25">
      <c r="A455" s="1" t="s">
        <v>750</v>
      </c>
      <c r="B455" s="74">
        <v>46212</v>
      </c>
      <c r="C455" s="75">
        <v>2000</v>
      </c>
    </row>
    <row r="456" spans="1:3" x14ac:dyDescent="0.25">
      <c r="A456" s="1" t="s">
        <v>740</v>
      </c>
      <c r="B456" s="74">
        <v>46212</v>
      </c>
      <c r="C456" s="75">
        <v>1000</v>
      </c>
    </row>
    <row r="457" spans="1:3" x14ac:dyDescent="0.25">
      <c r="A457" s="1" t="s">
        <v>139</v>
      </c>
      <c r="B457" s="74">
        <v>46212</v>
      </c>
      <c r="C457" s="75">
        <v>2000</v>
      </c>
    </row>
    <row r="458" spans="1:3" x14ac:dyDescent="0.25">
      <c r="A458" s="1" t="s">
        <v>241</v>
      </c>
      <c r="B458" s="74">
        <v>46212</v>
      </c>
      <c r="C458" s="75">
        <v>19000</v>
      </c>
    </row>
    <row r="459" spans="1:3" x14ac:dyDescent="0.25">
      <c r="A459" s="1" t="s">
        <v>352</v>
      </c>
      <c r="B459" s="74">
        <v>46212</v>
      </c>
      <c r="C459" s="75">
        <v>20000</v>
      </c>
    </row>
    <row r="460" spans="1:3" x14ac:dyDescent="0.25">
      <c r="A460" s="1" t="s">
        <v>34</v>
      </c>
      <c r="B460" s="74">
        <v>46212</v>
      </c>
      <c r="C460" s="75">
        <v>1000</v>
      </c>
    </row>
    <row r="461" spans="1:3" x14ac:dyDescent="0.25">
      <c r="A461" s="1" t="s">
        <v>282</v>
      </c>
      <c r="B461" s="74">
        <v>46212</v>
      </c>
      <c r="C461" s="75">
        <v>7000</v>
      </c>
    </row>
    <row r="462" spans="1:3" x14ac:dyDescent="0.25">
      <c r="A462" s="1" t="s">
        <v>1101</v>
      </c>
      <c r="B462" s="74">
        <v>46212</v>
      </c>
      <c r="C462" s="75">
        <v>1000</v>
      </c>
    </row>
    <row r="463" spans="1:3" x14ac:dyDescent="0.25">
      <c r="A463" s="1" t="s">
        <v>161</v>
      </c>
      <c r="B463" s="74">
        <v>46212</v>
      </c>
      <c r="C463" s="75">
        <v>1000</v>
      </c>
    </row>
    <row r="464" spans="1:3" x14ac:dyDescent="0.25">
      <c r="A464" s="1" t="s">
        <v>113</v>
      </c>
      <c r="B464" s="74">
        <v>46212</v>
      </c>
      <c r="C464" s="75">
        <v>1000</v>
      </c>
    </row>
    <row r="465" spans="1:3" x14ac:dyDescent="0.25">
      <c r="A465" s="1" t="s">
        <v>400</v>
      </c>
      <c r="B465" s="74">
        <v>46212</v>
      </c>
      <c r="C465" s="75">
        <v>20000</v>
      </c>
    </row>
    <row r="466" spans="1:3" x14ac:dyDescent="0.25">
      <c r="A466" s="1" t="s">
        <v>565</v>
      </c>
      <c r="B466" s="74">
        <v>46212</v>
      </c>
      <c r="C466" s="75">
        <v>6000</v>
      </c>
    </row>
    <row r="467" spans="1:3" x14ac:dyDescent="0.25">
      <c r="A467" s="1" t="s">
        <v>8</v>
      </c>
      <c r="B467" s="74">
        <v>46212</v>
      </c>
      <c r="C467" s="75">
        <v>2000</v>
      </c>
    </row>
    <row r="468" spans="1:3" x14ac:dyDescent="0.25">
      <c r="A468" s="1" t="s">
        <v>389</v>
      </c>
      <c r="B468" s="74">
        <v>46212</v>
      </c>
      <c r="C468" s="75">
        <v>1000</v>
      </c>
    </row>
    <row r="469" spans="1:3" x14ac:dyDescent="0.25">
      <c r="A469" s="1" t="s">
        <v>394</v>
      </c>
      <c r="B469" s="74">
        <v>46212</v>
      </c>
      <c r="C469" s="75">
        <v>2000</v>
      </c>
    </row>
    <row r="470" spans="1:3" x14ac:dyDescent="0.25">
      <c r="A470" s="1" t="s">
        <v>947</v>
      </c>
      <c r="B470" s="74">
        <v>46212</v>
      </c>
      <c r="C470" s="75">
        <v>1000</v>
      </c>
    </row>
    <row r="471" spans="1:3" x14ac:dyDescent="0.25">
      <c r="A471" s="1" t="s">
        <v>549</v>
      </c>
      <c r="B471" s="74">
        <v>46212</v>
      </c>
      <c r="C471" s="75">
        <v>1000</v>
      </c>
    </row>
    <row r="472" spans="1:3" x14ac:dyDescent="0.25">
      <c r="A472" s="1" t="s">
        <v>867</v>
      </c>
      <c r="B472" s="74">
        <v>46212</v>
      </c>
      <c r="C472" s="75">
        <v>10000</v>
      </c>
    </row>
    <row r="473" spans="1:3" x14ac:dyDescent="0.25">
      <c r="A473" s="1" t="s">
        <v>1241</v>
      </c>
      <c r="B473" s="74">
        <v>46212</v>
      </c>
      <c r="C473" s="75">
        <v>1500</v>
      </c>
    </row>
    <row r="474" spans="1:3" x14ac:dyDescent="0.25">
      <c r="A474" s="1" t="s">
        <v>744</v>
      </c>
      <c r="B474" s="74">
        <v>46212</v>
      </c>
      <c r="C474" s="75">
        <v>1000</v>
      </c>
    </row>
    <row r="475" spans="1:3" x14ac:dyDescent="0.25">
      <c r="A475" s="1" t="s">
        <v>491</v>
      </c>
      <c r="B475" s="74">
        <v>46212</v>
      </c>
      <c r="C475" s="75">
        <v>35</v>
      </c>
    </row>
    <row r="476" spans="1:3" x14ac:dyDescent="0.25">
      <c r="A476" s="1" t="s">
        <v>227</v>
      </c>
      <c r="B476" s="74">
        <v>46212</v>
      </c>
      <c r="C476" s="75">
        <v>7000</v>
      </c>
    </row>
    <row r="477" spans="1:3" x14ac:dyDescent="0.25">
      <c r="A477" s="1" t="s">
        <v>311</v>
      </c>
      <c r="B477" s="74">
        <v>46212</v>
      </c>
      <c r="C477" s="75">
        <v>3000</v>
      </c>
    </row>
    <row r="478" spans="1:3" x14ac:dyDescent="0.25">
      <c r="A478" s="1" t="s">
        <v>1348</v>
      </c>
      <c r="B478" s="74">
        <v>46212</v>
      </c>
      <c r="C478" s="75">
        <v>2000</v>
      </c>
    </row>
    <row r="479" spans="1:3" x14ac:dyDescent="0.25">
      <c r="A479" s="1" t="s">
        <v>402</v>
      </c>
      <c r="B479" s="74">
        <v>46212</v>
      </c>
      <c r="C479" s="75">
        <v>1100</v>
      </c>
    </row>
    <row r="480" spans="1:3" x14ac:dyDescent="0.25">
      <c r="A480" s="1" t="s">
        <v>1267</v>
      </c>
      <c r="B480" s="74">
        <v>46212</v>
      </c>
      <c r="C480" s="75">
        <v>2000</v>
      </c>
    </row>
    <row r="481" spans="1:3" x14ac:dyDescent="0.25">
      <c r="A481" s="1" t="s">
        <v>759</v>
      </c>
      <c r="B481" s="74">
        <v>46212</v>
      </c>
      <c r="C481" s="75">
        <v>40000</v>
      </c>
    </row>
    <row r="482" spans="1:3" x14ac:dyDescent="0.25">
      <c r="A482" s="1" t="s">
        <v>703</v>
      </c>
      <c r="B482" s="74">
        <v>46212</v>
      </c>
      <c r="C482" s="75">
        <v>1000</v>
      </c>
    </row>
    <row r="483" spans="1:3" x14ac:dyDescent="0.25">
      <c r="A483" s="1" t="s">
        <v>1070</v>
      </c>
      <c r="B483" s="74">
        <v>46212</v>
      </c>
      <c r="C483" s="75">
        <v>2000</v>
      </c>
    </row>
    <row r="484" spans="1:3" x14ac:dyDescent="0.25">
      <c r="A484" s="1" t="s">
        <v>1238</v>
      </c>
      <c r="B484" s="74">
        <v>46212</v>
      </c>
      <c r="C484" s="75">
        <v>5000</v>
      </c>
    </row>
    <row r="485" spans="1:3" x14ac:dyDescent="0.25">
      <c r="A485" s="1" t="s">
        <v>536</v>
      </c>
      <c r="B485" s="74">
        <v>46212</v>
      </c>
      <c r="C485" s="75">
        <v>1000</v>
      </c>
    </row>
    <row r="486" spans="1:3" x14ac:dyDescent="0.25">
      <c r="A486" s="1" t="s">
        <v>146</v>
      </c>
      <c r="B486" s="74">
        <v>46212</v>
      </c>
      <c r="C486" s="75">
        <v>1000</v>
      </c>
    </row>
    <row r="487" spans="1:3" x14ac:dyDescent="0.25">
      <c r="A487" s="1" t="s">
        <v>1352</v>
      </c>
      <c r="B487" s="74">
        <v>46212</v>
      </c>
      <c r="C487" s="75">
        <v>1000</v>
      </c>
    </row>
    <row r="488" spans="1:3" x14ac:dyDescent="0.25">
      <c r="A488" s="1" t="s">
        <v>906</v>
      </c>
      <c r="B488" s="74">
        <v>46212</v>
      </c>
      <c r="C488" s="75">
        <v>1000</v>
      </c>
    </row>
    <row r="489" spans="1:3" x14ac:dyDescent="0.25">
      <c r="A489" s="1" t="s">
        <v>1029</v>
      </c>
      <c r="B489" s="74">
        <v>46212</v>
      </c>
      <c r="C489" s="75">
        <v>1000</v>
      </c>
    </row>
    <row r="490" spans="1:3" x14ac:dyDescent="0.25">
      <c r="A490" s="1" t="s">
        <v>1146</v>
      </c>
      <c r="B490" s="74">
        <v>46212</v>
      </c>
      <c r="C490" s="75">
        <v>2000</v>
      </c>
    </row>
    <row r="491" spans="1:3" x14ac:dyDescent="0.25">
      <c r="A491" s="1" t="s">
        <v>1226</v>
      </c>
      <c r="B491" s="74">
        <v>46212</v>
      </c>
      <c r="C491" s="75">
        <v>20000</v>
      </c>
    </row>
    <row r="492" spans="1:3" x14ac:dyDescent="0.25">
      <c r="A492" s="1" t="s">
        <v>1080</v>
      </c>
      <c r="B492" s="74">
        <v>46212</v>
      </c>
      <c r="C492" s="75">
        <v>10000</v>
      </c>
    </row>
    <row r="493" spans="1:3" x14ac:dyDescent="0.25">
      <c r="A493" s="1" t="s">
        <v>1034</v>
      </c>
      <c r="B493" s="74">
        <v>46212</v>
      </c>
      <c r="C493" s="75">
        <v>2000</v>
      </c>
    </row>
    <row r="494" spans="1:3" x14ac:dyDescent="0.25">
      <c r="A494" s="1" t="s">
        <v>477</v>
      </c>
      <c r="B494" s="74">
        <v>46212</v>
      </c>
      <c r="C494" s="75">
        <v>20000</v>
      </c>
    </row>
    <row r="495" spans="1:3" x14ac:dyDescent="0.25">
      <c r="A495" s="1" t="s">
        <v>367</v>
      </c>
      <c r="B495" s="74">
        <v>46212</v>
      </c>
      <c r="C495" s="75">
        <v>1000</v>
      </c>
    </row>
    <row r="496" spans="1:3" x14ac:dyDescent="0.25">
      <c r="A496" s="1" t="s">
        <v>1204</v>
      </c>
      <c r="B496" s="74">
        <v>46212</v>
      </c>
      <c r="C496" s="75">
        <v>1000</v>
      </c>
    </row>
    <row r="497" spans="1:3" x14ac:dyDescent="0.25">
      <c r="A497" s="1" t="s">
        <v>668</v>
      </c>
      <c r="B497" s="74">
        <v>46213</v>
      </c>
      <c r="C497" s="75">
        <v>3000</v>
      </c>
    </row>
    <row r="498" spans="1:3" x14ac:dyDescent="0.25">
      <c r="A498" s="1" t="s">
        <v>636</v>
      </c>
      <c r="B498" s="74">
        <v>46213</v>
      </c>
      <c r="C498" s="75">
        <v>1000</v>
      </c>
    </row>
    <row r="499" spans="1:3" x14ac:dyDescent="0.25">
      <c r="A499" s="1" t="s">
        <v>388</v>
      </c>
      <c r="B499" s="74">
        <v>46213</v>
      </c>
      <c r="C499" s="75">
        <v>1000</v>
      </c>
    </row>
    <row r="500" spans="1:3" x14ac:dyDescent="0.25">
      <c r="A500" s="1" t="s">
        <v>1366</v>
      </c>
      <c r="B500" s="74">
        <v>46213</v>
      </c>
      <c r="C500" s="75">
        <v>1500</v>
      </c>
    </row>
    <row r="501" spans="1:3" x14ac:dyDescent="0.25">
      <c r="A501" s="1" t="s">
        <v>1324</v>
      </c>
      <c r="B501" s="74">
        <v>46213</v>
      </c>
      <c r="C501" s="75">
        <v>5000</v>
      </c>
    </row>
    <row r="502" spans="1:3" x14ac:dyDescent="0.25">
      <c r="A502" s="1" t="s">
        <v>251</v>
      </c>
      <c r="B502" s="74">
        <v>46213</v>
      </c>
      <c r="C502" s="75">
        <v>1000</v>
      </c>
    </row>
    <row r="503" spans="1:3" x14ac:dyDescent="0.25">
      <c r="A503" s="1" t="s">
        <v>538</v>
      </c>
      <c r="B503" s="74">
        <v>46213</v>
      </c>
      <c r="C503" s="75">
        <v>1000</v>
      </c>
    </row>
    <row r="504" spans="1:3" x14ac:dyDescent="0.25">
      <c r="A504" s="1" t="s">
        <v>148</v>
      </c>
      <c r="B504" s="74">
        <v>46213</v>
      </c>
      <c r="C504" s="75">
        <v>1000</v>
      </c>
    </row>
    <row r="505" spans="1:3" x14ac:dyDescent="0.25">
      <c r="A505" s="1" t="s">
        <v>1239</v>
      </c>
      <c r="B505" s="74">
        <v>46213</v>
      </c>
      <c r="C505" s="75">
        <v>1000</v>
      </c>
    </row>
    <row r="506" spans="1:3" x14ac:dyDescent="0.25">
      <c r="A506" s="1" t="s">
        <v>252</v>
      </c>
      <c r="B506" s="74">
        <v>46213</v>
      </c>
      <c r="C506" s="75">
        <v>5000</v>
      </c>
    </row>
    <row r="507" spans="1:3" x14ac:dyDescent="0.25">
      <c r="A507" s="1" t="s">
        <v>1151</v>
      </c>
      <c r="B507" s="74">
        <v>46213</v>
      </c>
      <c r="C507" s="75">
        <v>2000</v>
      </c>
    </row>
    <row r="508" spans="1:3" x14ac:dyDescent="0.25">
      <c r="A508" s="1" t="s">
        <v>853</v>
      </c>
      <c r="B508" s="74">
        <v>46213</v>
      </c>
      <c r="C508" s="75">
        <v>1000</v>
      </c>
    </row>
    <row r="509" spans="1:3" x14ac:dyDescent="0.25">
      <c r="A509" s="1" t="s">
        <v>1107</v>
      </c>
      <c r="B509" s="74">
        <v>46213</v>
      </c>
      <c r="C509" s="75">
        <v>5000</v>
      </c>
    </row>
    <row r="510" spans="1:3" x14ac:dyDescent="0.25">
      <c r="A510" s="1" t="s">
        <v>1244</v>
      </c>
      <c r="B510" s="74">
        <v>46213</v>
      </c>
      <c r="C510" s="75">
        <v>1011</v>
      </c>
    </row>
    <row r="511" spans="1:3" x14ac:dyDescent="0.25">
      <c r="A511" s="1" t="s">
        <v>946</v>
      </c>
      <c r="B511" s="74">
        <v>46213</v>
      </c>
      <c r="C511" s="75">
        <v>1000</v>
      </c>
    </row>
    <row r="512" spans="1:3" x14ac:dyDescent="0.25">
      <c r="A512" s="1" t="s">
        <v>786</v>
      </c>
      <c r="B512" s="74">
        <v>46213</v>
      </c>
      <c r="C512" s="75">
        <v>2050</v>
      </c>
    </row>
    <row r="513" spans="1:3" x14ac:dyDescent="0.25">
      <c r="A513" s="1" t="s">
        <v>45</v>
      </c>
      <c r="B513" s="74">
        <v>46213</v>
      </c>
      <c r="C513" s="75">
        <v>8000</v>
      </c>
    </row>
    <row r="514" spans="1:3" x14ac:dyDescent="0.25">
      <c r="A514" s="1" t="s">
        <v>482</v>
      </c>
      <c r="B514" s="74">
        <v>46213</v>
      </c>
      <c r="C514" s="75">
        <v>2000</v>
      </c>
    </row>
    <row r="515" spans="1:3" x14ac:dyDescent="0.25">
      <c r="A515" s="1" t="s">
        <v>105</v>
      </c>
      <c r="B515" s="74">
        <v>46213</v>
      </c>
      <c r="C515" s="75">
        <v>1000</v>
      </c>
    </row>
    <row r="516" spans="1:3" x14ac:dyDescent="0.25">
      <c r="A516" s="1" t="s">
        <v>435</v>
      </c>
      <c r="B516" s="74">
        <v>46213</v>
      </c>
      <c r="C516" s="75">
        <v>1000</v>
      </c>
    </row>
    <row r="517" spans="1:3" x14ac:dyDescent="0.25">
      <c r="A517" s="1" t="s">
        <v>730</v>
      </c>
      <c r="B517" s="74">
        <v>46213</v>
      </c>
      <c r="C517" s="75">
        <v>1000</v>
      </c>
    </row>
    <row r="518" spans="1:3" x14ac:dyDescent="0.25">
      <c r="A518" s="1" t="s">
        <v>1350</v>
      </c>
      <c r="B518" s="74">
        <v>46213</v>
      </c>
      <c r="C518" s="75">
        <v>1001</v>
      </c>
    </row>
    <row r="519" spans="1:3" x14ac:dyDescent="0.25">
      <c r="A519" s="1" t="s">
        <v>1099</v>
      </c>
      <c r="B519" s="74">
        <v>46213</v>
      </c>
      <c r="C519" s="75">
        <v>1000</v>
      </c>
    </row>
    <row r="520" spans="1:3" x14ac:dyDescent="0.25">
      <c r="A520" s="1" t="s">
        <v>1076</v>
      </c>
      <c r="B520" s="74">
        <v>46213</v>
      </c>
      <c r="C520" s="75">
        <v>6000</v>
      </c>
    </row>
    <row r="521" spans="1:3" x14ac:dyDescent="0.25">
      <c r="A521" s="1" t="s">
        <v>1188</v>
      </c>
      <c r="B521" s="74">
        <v>46213</v>
      </c>
      <c r="C521" s="75">
        <v>5000</v>
      </c>
    </row>
    <row r="522" spans="1:3" x14ac:dyDescent="0.25">
      <c r="A522" s="1" t="s">
        <v>1323</v>
      </c>
      <c r="B522" s="74">
        <v>46213</v>
      </c>
      <c r="C522" s="75">
        <v>1000</v>
      </c>
    </row>
    <row r="523" spans="1:3" x14ac:dyDescent="0.25">
      <c r="A523" s="1" t="s">
        <v>483</v>
      </c>
      <c r="B523" s="74">
        <v>46213</v>
      </c>
      <c r="C523" s="75">
        <v>1000</v>
      </c>
    </row>
    <row r="524" spans="1:3" x14ac:dyDescent="0.25">
      <c r="A524" s="1" t="s">
        <v>656</v>
      </c>
      <c r="B524" s="74">
        <v>46213</v>
      </c>
      <c r="C524" s="75">
        <v>5000</v>
      </c>
    </row>
    <row r="525" spans="1:3" x14ac:dyDescent="0.25">
      <c r="A525" s="1" t="s">
        <v>22</v>
      </c>
      <c r="B525" s="74">
        <v>46213</v>
      </c>
      <c r="C525" s="75">
        <v>1015</v>
      </c>
    </row>
    <row r="526" spans="1:3" x14ac:dyDescent="0.25">
      <c r="A526" s="1" t="s">
        <v>534</v>
      </c>
      <c r="B526" s="74">
        <v>46213</v>
      </c>
      <c r="C526" s="75">
        <v>1000</v>
      </c>
    </row>
    <row r="527" spans="1:3" x14ac:dyDescent="0.25">
      <c r="A527" s="1" t="s">
        <v>871</v>
      </c>
      <c r="B527" s="74">
        <v>46213</v>
      </c>
      <c r="C527" s="75">
        <v>1000</v>
      </c>
    </row>
    <row r="528" spans="1:3" x14ac:dyDescent="0.25">
      <c r="A528" s="1" t="s">
        <v>1358</v>
      </c>
      <c r="B528" s="74">
        <v>46213</v>
      </c>
      <c r="C528" s="75">
        <v>1000</v>
      </c>
    </row>
    <row r="529" spans="1:3" x14ac:dyDescent="0.25">
      <c r="A529" s="1" t="s">
        <v>1090</v>
      </c>
      <c r="B529" s="74">
        <v>46213</v>
      </c>
      <c r="C529" s="75">
        <v>1000</v>
      </c>
    </row>
    <row r="530" spans="1:3" x14ac:dyDescent="0.25">
      <c r="A530" s="1" t="s">
        <v>381</v>
      </c>
      <c r="B530" s="74">
        <v>46213</v>
      </c>
      <c r="C530" s="75">
        <v>35000</v>
      </c>
    </row>
    <row r="531" spans="1:3" x14ac:dyDescent="0.25">
      <c r="A531" s="1" t="s">
        <v>109</v>
      </c>
      <c r="B531" s="74">
        <v>46213</v>
      </c>
      <c r="C531" s="75">
        <v>1600</v>
      </c>
    </row>
    <row r="532" spans="1:3" x14ac:dyDescent="0.25">
      <c r="A532" s="1" t="s">
        <v>1308</v>
      </c>
      <c r="B532" s="74">
        <v>46213</v>
      </c>
      <c r="C532" s="75">
        <v>2000</v>
      </c>
    </row>
    <row r="533" spans="1:3" x14ac:dyDescent="0.25">
      <c r="A533" s="1" t="s">
        <v>192</v>
      </c>
      <c r="B533" s="74">
        <v>46214</v>
      </c>
      <c r="C533" s="75">
        <v>1000</v>
      </c>
    </row>
    <row r="534" spans="1:3" x14ac:dyDescent="0.25">
      <c r="A534" s="1" t="s">
        <v>1351</v>
      </c>
      <c r="B534" s="74">
        <v>46214</v>
      </c>
      <c r="C534" s="75">
        <v>1000</v>
      </c>
    </row>
    <row r="535" spans="1:3" x14ac:dyDescent="0.25">
      <c r="A535" s="1" t="s">
        <v>567</v>
      </c>
      <c r="B535" s="74">
        <v>46214</v>
      </c>
      <c r="C535" s="75">
        <v>1000</v>
      </c>
    </row>
    <row r="536" spans="1:3" x14ac:dyDescent="0.25">
      <c r="A536" s="1" t="s">
        <v>1174</v>
      </c>
      <c r="B536" s="74">
        <v>46214</v>
      </c>
      <c r="C536" s="75">
        <v>10000</v>
      </c>
    </row>
    <row r="537" spans="1:3" x14ac:dyDescent="0.25">
      <c r="A537" s="1" t="s">
        <v>177</v>
      </c>
      <c r="B537" s="74">
        <v>46214</v>
      </c>
      <c r="C537" s="75">
        <v>5000</v>
      </c>
    </row>
    <row r="538" spans="1:3" x14ac:dyDescent="0.25">
      <c r="A538" s="1" t="s">
        <v>481</v>
      </c>
      <c r="B538" s="74">
        <v>46214</v>
      </c>
      <c r="C538" s="75">
        <v>1000</v>
      </c>
    </row>
    <row r="539" spans="1:3" x14ac:dyDescent="0.25">
      <c r="A539" s="1" t="s">
        <v>480</v>
      </c>
      <c r="B539" s="74">
        <v>46214</v>
      </c>
      <c r="C539" s="75">
        <v>1000</v>
      </c>
    </row>
    <row r="540" spans="1:3" x14ac:dyDescent="0.25">
      <c r="A540" s="1" t="s">
        <v>198</v>
      </c>
      <c r="B540" s="74">
        <v>46214</v>
      </c>
      <c r="C540" s="75">
        <v>1000</v>
      </c>
    </row>
    <row r="541" spans="1:3" x14ac:dyDescent="0.25">
      <c r="A541" s="1" t="s">
        <v>119</v>
      </c>
      <c r="B541" s="74">
        <v>46214</v>
      </c>
      <c r="C541" s="75">
        <v>2000</v>
      </c>
    </row>
    <row r="542" spans="1:3" x14ac:dyDescent="0.25">
      <c r="A542" s="1" t="s">
        <v>243</v>
      </c>
      <c r="B542" s="74">
        <v>46214</v>
      </c>
      <c r="C542" s="75">
        <v>1000</v>
      </c>
    </row>
    <row r="543" spans="1:3" x14ac:dyDescent="0.25">
      <c r="A543" s="1" t="s">
        <v>700</v>
      </c>
      <c r="B543" s="74">
        <v>46214</v>
      </c>
      <c r="C543" s="75">
        <v>1000</v>
      </c>
    </row>
    <row r="544" spans="1:3" x14ac:dyDescent="0.25">
      <c r="A544" s="1" t="s">
        <v>104</v>
      </c>
      <c r="B544" s="74">
        <v>46214</v>
      </c>
      <c r="C544" s="75">
        <v>1000</v>
      </c>
    </row>
    <row r="545" spans="1:3" x14ac:dyDescent="0.25">
      <c r="A545" s="1" t="s">
        <v>970</v>
      </c>
      <c r="B545" s="74">
        <v>46214</v>
      </c>
      <c r="C545" s="75">
        <v>25000</v>
      </c>
    </row>
    <row r="546" spans="1:3" x14ac:dyDescent="0.25">
      <c r="A546" s="1" t="s">
        <v>1158</v>
      </c>
      <c r="B546" s="74">
        <v>46215</v>
      </c>
      <c r="C546" s="75">
        <v>40000</v>
      </c>
    </row>
    <row r="547" spans="1:3" x14ac:dyDescent="0.25">
      <c r="A547" s="1" t="s">
        <v>837</v>
      </c>
      <c r="B547" s="74">
        <v>46215</v>
      </c>
      <c r="C547" s="75">
        <v>1000</v>
      </c>
    </row>
    <row r="548" spans="1:3" x14ac:dyDescent="0.25">
      <c r="A548" s="1" t="s">
        <v>492</v>
      </c>
      <c r="B548" s="74">
        <v>46215</v>
      </c>
      <c r="C548" s="75">
        <v>8000</v>
      </c>
    </row>
    <row r="549" spans="1:3" x14ac:dyDescent="0.25">
      <c r="A549" s="1" t="s">
        <v>505</v>
      </c>
      <c r="B549" s="74">
        <v>46215</v>
      </c>
      <c r="C549" s="75">
        <v>25000</v>
      </c>
    </row>
    <row r="550" spans="1:3" x14ac:dyDescent="0.25">
      <c r="A550" s="1" t="s">
        <v>920</v>
      </c>
      <c r="B550" s="74">
        <v>46215</v>
      </c>
      <c r="C550" s="75">
        <v>10000</v>
      </c>
    </row>
    <row r="551" spans="1:3" x14ac:dyDescent="0.25">
      <c r="A551" s="1" t="s">
        <v>898</v>
      </c>
      <c r="B551" s="74">
        <v>46215</v>
      </c>
      <c r="C551" s="75">
        <v>1000</v>
      </c>
    </row>
    <row r="552" spans="1:3" x14ac:dyDescent="0.25">
      <c r="A552" s="1" t="s">
        <v>1243</v>
      </c>
      <c r="B552" s="74">
        <v>46215</v>
      </c>
      <c r="C552" s="75">
        <v>1000</v>
      </c>
    </row>
    <row r="553" spans="1:3" x14ac:dyDescent="0.25">
      <c r="A553" s="1" t="s">
        <v>326</v>
      </c>
      <c r="B553" s="74">
        <v>46215</v>
      </c>
      <c r="C553" s="75">
        <v>4000</v>
      </c>
    </row>
    <row r="554" spans="1:3" x14ac:dyDescent="0.25">
      <c r="A554" s="1" t="s">
        <v>835</v>
      </c>
      <c r="B554" s="74">
        <v>46215</v>
      </c>
      <c r="C554" s="75">
        <v>4000</v>
      </c>
    </row>
    <row r="555" spans="1:3" x14ac:dyDescent="0.25">
      <c r="A555" s="1" t="s">
        <v>464</v>
      </c>
      <c r="B555" s="74">
        <v>46215</v>
      </c>
      <c r="C555" s="75">
        <v>1000</v>
      </c>
    </row>
    <row r="556" spans="1:3" x14ac:dyDescent="0.25">
      <c r="A556" s="1" t="s">
        <v>156</v>
      </c>
      <c r="B556" s="74">
        <v>46215</v>
      </c>
      <c r="C556" s="75">
        <v>1000</v>
      </c>
    </row>
    <row r="557" spans="1:3" x14ac:dyDescent="0.25">
      <c r="A557" s="1" t="s">
        <v>903</v>
      </c>
      <c r="B557" s="74">
        <v>46215</v>
      </c>
      <c r="C557" s="75">
        <v>4000</v>
      </c>
    </row>
    <row r="558" spans="1:3" x14ac:dyDescent="0.25">
      <c r="A558" s="1" t="s">
        <v>348</v>
      </c>
      <c r="B558" s="74">
        <v>46215</v>
      </c>
      <c r="C558" s="75">
        <v>2000</v>
      </c>
    </row>
    <row r="559" spans="1:3" x14ac:dyDescent="0.25">
      <c r="A559" s="1" t="s">
        <v>1349</v>
      </c>
      <c r="B559" s="74">
        <v>46215</v>
      </c>
      <c r="C559" s="75">
        <v>1000</v>
      </c>
    </row>
    <row r="560" spans="1:3" x14ac:dyDescent="0.25">
      <c r="A560" s="1" t="s">
        <v>1268</v>
      </c>
      <c r="B560" s="74">
        <v>46215</v>
      </c>
      <c r="C560" s="75">
        <v>1000</v>
      </c>
    </row>
    <row r="561" spans="1:3" x14ac:dyDescent="0.25">
      <c r="A561" s="1" t="s">
        <v>784</v>
      </c>
      <c r="B561" s="74">
        <v>46215</v>
      </c>
      <c r="C561" s="75">
        <v>1200</v>
      </c>
    </row>
    <row r="562" spans="1:3" x14ac:dyDescent="0.25">
      <c r="A562" s="1" t="s">
        <v>197</v>
      </c>
      <c r="B562" s="74">
        <v>46215</v>
      </c>
      <c r="C562" s="75">
        <v>42000</v>
      </c>
    </row>
    <row r="563" spans="1:3" x14ac:dyDescent="0.25">
      <c r="A563" s="1" t="s">
        <v>885</v>
      </c>
      <c r="B563" s="74">
        <v>46215</v>
      </c>
      <c r="C563" s="75">
        <v>2000</v>
      </c>
    </row>
    <row r="564" spans="1:3" x14ac:dyDescent="0.25">
      <c r="A564" s="1" t="s">
        <v>440</v>
      </c>
      <c r="B564" s="74">
        <v>46215</v>
      </c>
      <c r="C564" s="75">
        <v>1000</v>
      </c>
    </row>
    <row r="565" spans="1:3" x14ac:dyDescent="0.25">
      <c r="A565" s="1" t="s">
        <v>1015</v>
      </c>
      <c r="B565" s="74">
        <v>46215</v>
      </c>
      <c r="C565" s="75">
        <v>3000</v>
      </c>
    </row>
    <row r="566" spans="1:3" x14ac:dyDescent="0.25">
      <c r="A566" s="1" t="s">
        <v>1235</v>
      </c>
      <c r="B566" s="74">
        <v>46216</v>
      </c>
      <c r="C566" s="75">
        <v>11100</v>
      </c>
    </row>
    <row r="567" spans="1:3" x14ac:dyDescent="0.25">
      <c r="A567" s="1" t="s">
        <v>5</v>
      </c>
      <c r="B567" s="74">
        <v>46216</v>
      </c>
      <c r="C567" s="75">
        <v>1000</v>
      </c>
    </row>
    <row r="568" spans="1:3" x14ac:dyDescent="0.25">
      <c r="A568" s="1" t="s">
        <v>382</v>
      </c>
      <c r="B568" s="74">
        <v>46216</v>
      </c>
      <c r="C568" s="75">
        <v>1000</v>
      </c>
    </row>
    <row r="569" spans="1:3" x14ac:dyDescent="0.25">
      <c r="A569" s="1" t="s">
        <v>270</v>
      </c>
      <c r="B569" s="74">
        <v>46216</v>
      </c>
      <c r="C569" s="75">
        <v>25000</v>
      </c>
    </row>
    <row r="570" spans="1:3" x14ac:dyDescent="0.25">
      <c r="A570" s="1" t="s">
        <v>653</v>
      </c>
      <c r="B570" s="74">
        <v>46216</v>
      </c>
      <c r="C570" s="75">
        <v>1000</v>
      </c>
    </row>
    <row r="571" spans="1:3" x14ac:dyDescent="0.25">
      <c r="A571" s="1" t="s">
        <v>1336</v>
      </c>
      <c r="B571" s="74">
        <v>46216</v>
      </c>
      <c r="C571" s="75">
        <v>1200</v>
      </c>
    </row>
    <row r="572" spans="1:3" x14ac:dyDescent="0.25">
      <c r="A572" s="1" t="s">
        <v>924</v>
      </c>
      <c r="B572" s="74">
        <v>46216</v>
      </c>
      <c r="C572" s="75">
        <v>1000</v>
      </c>
    </row>
    <row r="573" spans="1:3" x14ac:dyDescent="0.25">
      <c r="A573" s="1" t="s">
        <v>359</v>
      </c>
      <c r="B573" s="74">
        <v>46216</v>
      </c>
      <c r="C573" s="75">
        <v>2000</v>
      </c>
    </row>
    <row r="574" spans="1:3" x14ac:dyDescent="0.25">
      <c r="A574" s="1" t="s">
        <v>515</v>
      </c>
      <c r="B574" s="74">
        <v>46216</v>
      </c>
      <c r="C574" s="75">
        <v>1000</v>
      </c>
    </row>
    <row r="575" spans="1:3" x14ac:dyDescent="0.25">
      <c r="A575" s="1" t="s">
        <v>448</v>
      </c>
      <c r="B575" s="74">
        <v>46216</v>
      </c>
      <c r="C575" s="75">
        <v>1000</v>
      </c>
    </row>
    <row r="576" spans="1:3" x14ac:dyDescent="0.25">
      <c r="A576" s="1" t="s">
        <v>335</v>
      </c>
      <c r="B576" s="74">
        <v>46216</v>
      </c>
      <c r="C576" s="75">
        <v>2000</v>
      </c>
    </row>
    <row r="577" spans="1:3" x14ac:dyDescent="0.25">
      <c r="A577" s="1" t="s">
        <v>506</v>
      </c>
      <c r="B577" s="74">
        <v>46216</v>
      </c>
      <c r="C577" s="75">
        <v>5000</v>
      </c>
    </row>
    <row r="578" spans="1:3" x14ac:dyDescent="0.25">
      <c r="A578" s="1" t="s">
        <v>443</v>
      </c>
      <c r="B578" s="74">
        <v>46216</v>
      </c>
      <c r="C578" s="75">
        <v>1500</v>
      </c>
    </row>
    <row r="579" spans="1:3" x14ac:dyDescent="0.25">
      <c r="A579" s="1" t="s">
        <v>629</v>
      </c>
      <c r="B579" s="74">
        <v>46216</v>
      </c>
      <c r="C579" s="75">
        <v>2000</v>
      </c>
    </row>
    <row r="580" spans="1:3" x14ac:dyDescent="0.25">
      <c r="A580" s="1" t="s">
        <v>806</v>
      </c>
      <c r="B580" s="74">
        <v>46216</v>
      </c>
      <c r="C580" s="75">
        <v>1000</v>
      </c>
    </row>
    <row r="581" spans="1:3" x14ac:dyDescent="0.25">
      <c r="A581" s="1" t="s">
        <v>53</v>
      </c>
      <c r="B581" s="74">
        <v>46216</v>
      </c>
      <c r="C581" s="75">
        <v>1000</v>
      </c>
    </row>
    <row r="582" spans="1:3" x14ac:dyDescent="0.25">
      <c r="A582" s="1" t="s">
        <v>1153</v>
      </c>
      <c r="B582" s="74">
        <v>46216</v>
      </c>
      <c r="C582" s="75">
        <v>10000</v>
      </c>
    </row>
    <row r="583" spans="1:3" x14ac:dyDescent="0.25">
      <c r="A583" s="1" t="s">
        <v>1302</v>
      </c>
      <c r="B583" s="74">
        <v>46216</v>
      </c>
      <c r="C583" s="75">
        <v>1000</v>
      </c>
    </row>
    <row r="584" spans="1:3" x14ac:dyDescent="0.25">
      <c r="A584" s="1" t="s">
        <v>221</v>
      </c>
      <c r="B584" s="74">
        <v>46216</v>
      </c>
      <c r="C584" s="75">
        <v>1000</v>
      </c>
    </row>
    <row r="585" spans="1:3" x14ac:dyDescent="0.25">
      <c r="A585" s="1" t="s">
        <v>187</v>
      </c>
      <c r="B585" s="74">
        <v>46216</v>
      </c>
      <c r="C585" s="75">
        <v>7750</v>
      </c>
    </row>
    <row r="586" spans="1:3" x14ac:dyDescent="0.25">
      <c r="A586" s="1" t="s">
        <v>1150</v>
      </c>
      <c r="B586" s="74">
        <v>46216</v>
      </c>
      <c r="C586" s="75">
        <v>1000</v>
      </c>
    </row>
    <row r="587" spans="1:3" x14ac:dyDescent="0.25">
      <c r="A587" s="1" t="s">
        <v>704</v>
      </c>
      <c r="B587" s="74">
        <v>46216</v>
      </c>
      <c r="C587" s="75">
        <v>1800</v>
      </c>
    </row>
    <row r="588" spans="1:3" x14ac:dyDescent="0.25">
      <c r="A588" s="1" t="s">
        <v>732</v>
      </c>
      <c r="B588" s="74">
        <v>46216</v>
      </c>
      <c r="C588" s="75">
        <v>4000</v>
      </c>
    </row>
    <row r="589" spans="1:3" x14ac:dyDescent="0.25">
      <c r="A589" s="1" t="s">
        <v>936</v>
      </c>
      <c r="B589" s="74">
        <v>46216</v>
      </c>
      <c r="C589" s="75">
        <v>1000</v>
      </c>
    </row>
    <row r="590" spans="1:3" x14ac:dyDescent="0.25">
      <c r="A590" s="1" t="s">
        <v>986</v>
      </c>
      <c r="B590" s="74">
        <v>46216</v>
      </c>
      <c r="C590" s="75">
        <v>1000</v>
      </c>
    </row>
    <row r="591" spans="1:3" x14ac:dyDescent="0.25">
      <c r="A591" s="1" t="s">
        <v>1319</v>
      </c>
      <c r="B591" s="74">
        <v>46216</v>
      </c>
      <c r="C591" s="75">
        <v>1000</v>
      </c>
    </row>
    <row r="592" spans="1:3" x14ac:dyDescent="0.25">
      <c r="A592" s="1" t="s">
        <v>899</v>
      </c>
      <c r="B592" s="74">
        <v>46216</v>
      </c>
      <c r="C592" s="75">
        <v>1000</v>
      </c>
    </row>
    <row r="593" spans="1:3" x14ac:dyDescent="0.25">
      <c r="A593" s="1" t="s">
        <v>1273</v>
      </c>
      <c r="B593" s="74">
        <v>46216</v>
      </c>
      <c r="C593" s="75">
        <v>1000</v>
      </c>
    </row>
    <row r="594" spans="1:3" x14ac:dyDescent="0.25">
      <c r="A594" s="1" t="s">
        <v>264</v>
      </c>
      <c r="B594" s="74">
        <v>46216</v>
      </c>
      <c r="C594" s="75">
        <v>3000</v>
      </c>
    </row>
    <row r="595" spans="1:3" x14ac:dyDescent="0.25">
      <c r="A595" s="1" t="s">
        <v>956</v>
      </c>
      <c r="B595" s="74">
        <v>46216</v>
      </c>
      <c r="C595" s="75">
        <v>1000</v>
      </c>
    </row>
    <row r="596" spans="1:3" x14ac:dyDescent="0.25">
      <c r="A596" s="1" t="s">
        <v>446</v>
      </c>
      <c r="B596" s="74">
        <v>46216</v>
      </c>
      <c r="C596" s="75">
        <v>1000</v>
      </c>
    </row>
    <row r="597" spans="1:3" x14ac:dyDescent="0.25">
      <c r="A597" s="1" t="s">
        <v>333</v>
      </c>
      <c r="B597" s="74">
        <v>46216</v>
      </c>
      <c r="C597" s="75">
        <v>1000</v>
      </c>
    </row>
    <row r="598" spans="1:3" x14ac:dyDescent="0.25">
      <c r="A598" s="1" t="s">
        <v>720</v>
      </c>
      <c r="B598" s="74">
        <v>46216</v>
      </c>
      <c r="C598" s="75">
        <v>1000</v>
      </c>
    </row>
    <row r="599" spans="1:3" x14ac:dyDescent="0.25">
      <c r="A599" s="1" t="s">
        <v>544</v>
      </c>
      <c r="B599" s="74">
        <v>46216</v>
      </c>
      <c r="C599" s="75">
        <v>1000</v>
      </c>
    </row>
    <row r="600" spans="1:3" x14ac:dyDescent="0.25">
      <c r="A600" s="1" t="s">
        <v>436</v>
      </c>
      <c r="B600" s="74">
        <v>46216</v>
      </c>
      <c r="C600" s="75">
        <v>3500</v>
      </c>
    </row>
    <row r="601" spans="1:3" x14ac:dyDescent="0.25">
      <c r="A601" s="1" t="s">
        <v>1098</v>
      </c>
      <c r="B601" s="74">
        <v>46216</v>
      </c>
      <c r="C601" s="75">
        <v>1000</v>
      </c>
    </row>
    <row r="602" spans="1:3" x14ac:dyDescent="0.25">
      <c r="A602" s="1" t="s">
        <v>292</v>
      </c>
      <c r="B602" s="74">
        <v>46216</v>
      </c>
      <c r="C602" s="75">
        <v>6000</v>
      </c>
    </row>
    <row r="603" spans="1:3" x14ac:dyDescent="0.25">
      <c r="A603" s="1" t="s">
        <v>185</v>
      </c>
      <c r="B603" s="74">
        <v>46216</v>
      </c>
      <c r="C603" s="75">
        <v>10000</v>
      </c>
    </row>
    <row r="604" spans="1:3" x14ac:dyDescent="0.25">
      <c r="A604" s="1" t="s">
        <v>896</v>
      </c>
      <c r="B604" s="74">
        <v>46216</v>
      </c>
      <c r="C604" s="75">
        <v>8000</v>
      </c>
    </row>
    <row r="605" spans="1:3" x14ac:dyDescent="0.25">
      <c r="A605" s="1" t="s">
        <v>1012</v>
      </c>
      <c r="B605" s="74">
        <v>46216</v>
      </c>
      <c r="C605" s="75">
        <v>1000</v>
      </c>
    </row>
    <row r="606" spans="1:3" x14ac:dyDescent="0.25">
      <c r="A606" s="1" t="s">
        <v>147</v>
      </c>
      <c r="B606" s="74">
        <v>46216</v>
      </c>
      <c r="C606" s="75">
        <v>1000</v>
      </c>
    </row>
    <row r="607" spans="1:3" x14ac:dyDescent="0.25">
      <c r="A607" s="1" t="s">
        <v>851</v>
      </c>
      <c r="B607" s="74">
        <v>46216</v>
      </c>
      <c r="C607" s="75">
        <v>1000</v>
      </c>
    </row>
    <row r="608" spans="1:3" x14ac:dyDescent="0.25">
      <c r="A608" s="1" t="s">
        <v>991</v>
      </c>
      <c r="B608" s="74">
        <v>46216</v>
      </c>
      <c r="C608" s="75">
        <v>25000</v>
      </c>
    </row>
    <row r="609" spans="1:3" x14ac:dyDescent="0.25">
      <c r="A609" s="1" t="s">
        <v>377</v>
      </c>
      <c r="B609" s="74">
        <v>46216</v>
      </c>
      <c r="C609" s="75">
        <v>1000</v>
      </c>
    </row>
    <row r="610" spans="1:3" x14ac:dyDescent="0.25">
      <c r="A610" s="1" t="s">
        <v>21</v>
      </c>
      <c r="B610" s="74">
        <v>46216</v>
      </c>
      <c r="C610" s="75">
        <v>5000</v>
      </c>
    </row>
    <row r="611" spans="1:3" x14ac:dyDescent="0.25">
      <c r="A611" s="1" t="s">
        <v>378</v>
      </c>
      <c r="B611" s="74">
        <v>46216</v>
      </c>
      <c r="C611" s="75">
        <v>35000</v>
      </c>
    </row>
    <row r="612" spans="1:3" x14ac:dyDescent="0.25">
      <c r="A612" s="1" t="s">
        <v>1149</v>
      </c>
      <c r="B612" s="74">
        <v>46216</v>
      </c>
      <c r="C612" s="75">
        <v>1000</v>
      </c>
    </row>
    <row r="613" spans="1:3" x14ac:dyDescent="0.25">
      <c r="A613" s="1" t="s">
        <v>299</v>
      </c>
      <c r="B613" s="74">
        <v>46217</v>
      </c>
      <c r="C613" s="75">
        <v>1000</v>
      </c>
    </row>
    <row r="614" spans="1:3" x14ac:dyDescent="0.25">
      <c r="A614" s="1" t="s">
        <v>726</v>
      </c>
      <c r="B614" s="74">
        <v>46217</v>
      </c>
      <c r="C614" s="75">
        <v>3000</v>
      </c>
    </row>
    <row r="615" spans="1:3" x14ac:dyDescent="0.25">
      <c r="A615" s="1" t="s">
        <v>821</v>
      </c>
      <c r="B615" s="74">
        <v>46217</v>
      </c>
      <c r="C615" s="75">
        <v>1000</v>
      </c>
    </row>
    <row r="616" spans="1:3" x14ac:dyDescent="0.25">
      <c r="A616" s="1" t="s">
        <v>607</v>
      </c>
      <c r="B616" s="74">
        <v>46217</v>
      </c>
      <c r="C616" s="75">
        <v>3003</v>
      </c>
    </row>
    <row r="617" spans="1:3" x14ac:dyDescent="0.25">
      <c r="A617" s="1" t="s">
        <v>863</v>
      </c>
      <c r="B617" s="74">
        <v>46217</v>
      </c>
      <c r="C617" s="75">
        <v>1000</v>
      </c>
    </row>
    <row r="618" spans="1:3" x14ac:dyDescent="0.25">
      <c r="A618" s="1" t="s">
        <v>1369</v>
      </c>
      <c r="B618" s="74">
        <v>46217</v>
      </c>
      <c r="C618" s="75">
        <v>2000</v>
      </c>
    </row>
    <row r="619" spans="1:3" x14ac:dyDescent="0.25">
      <c r="A619" s="1" t="s">
        <v>421</v>
      </c>
      <c r="B619" s="74">
        <v>46217</v>
      </c>
      <c r="C619" s="75">
        <v>1000</v>
      </c>
    </row>
    <row r="620" spans="1:3" x14ac:dyDescent="0.25">
      <c r="A620" s="1" t="s">
        <v>1058</v>
      </c>
      <c r="B620" s="74">
        <v>46217</v>
      </c>
      <c r="C620" s="75">
        <v>2000</v>
      </c>
    </row>
    <row r="621" spans="1:3" x14ac:dyDescent="0.25">
      <c r="A621" s="1" t="s">
        <v>727</v>
      </c>
      <c r="B621" s="74">
        <v>46217</v>
      </c>
      <c r="C621" s="75">
        <v>1000</v>
      </c>
    </row>
    <row r="622" spans="1:3" x14ac:dyDescent="0.25">
      <c r="A622" s="1" t="s">
        <v>354</v>
      </c>
      <c r="B622" s="74">
        <v>46217</v>
      </c>
      <c r="C622" s="75">
        <v>3000</v>
      </c>
    </row>
    <row r="623" spans="1:3" x14ac:dyDescent="0.25">
      <c r="A623" s="1" t="s">
        <v>945</v>
      </c>
      <c r="B623" s="74">
        <v>46217</v>
      </c>
      <c r="C623" s="75">
        <v>1000</v>
      </c>
    </row>
    <row r="624" spans="1:3" x14ac:dyDescent="0.25">
      <c r="A624" s="1" t="s">
        <v>96</v>
      </c>
      <c r="B624" s="74">
        <v>46217</v>
      </c>
      <c r="C624" s="75">
        <v>1000</v>
      </c>
    </row>
    <row r="625" spans="1:3" x14ac:dyDescent="0.25">
      <c r="A625" s="1" t="s">
        <v>1347</v>
      </c>
      <c r="B625" s="74">
        <v>46217</v>
      </c>
      <c r="C625" s="75">
        <v>1000</v>
      </c>
    </row>
    <row r="626" spans="1:3" x14ac:dyDescent="0.25">
      <c r="A626" s="1" t="s">
        <v>583</v>
      </c>
      <c r="B626" s="74">
        <v>46217</v>
      </c>
      <c r="C626" s="75">
        <v>1000</v>
      </c>
    </row>
    <row r="627" spans="1:3" x14ac:dyDescent="0.25">
      <c r="A627" s="1" t="s">
        <v>1061</v>
      </c>
      <c r="B627" s="74">
        <v>46217</v>
      </c>
      <c r="C627" s="75">
        <v>1000</v>
      </c>
    </row>
    <row r="628" spans="1:3" x14ac:dyDescent="0.25">
      <c r="A628" s="1" t="s">
        <v>1055</v>
      </c>
      <c r="B628" s="74">
        <v>46217</v>
      </c>
      <c r="C628" s="75">
        <v>1000</v>
      </c>
    </row>
    <row r="629" spans="1:3" x14ac:dyDescent="0.25">
      <c r="A629" s="1" t="s">
        <v>316</v>
      </c>
      <c r="B629" s="74">
        <v>46217</v>
      </c>
      <c r="C629" s="75">
        <v>1000</v>
      </c>
    </row>
    <row r="630" spans="1:3" x14ac:dyDescent="0.25">
      <c r="A630" s="1" t="s">
        <v>1340</v>
      </c>
      <c r="B630" s="74">
        <v>46217</v>
      </c>
      <c r="C630" s="75">
        <v>1000</v>
      </c>
    </row>
    <row r="631" spans="1:3" x14ac:dyDescent="0.25">
      <c r="A631" s="1" t="s">
        <v>125</v>
      </c>
      <c r="B631" s="74">
        <v>46217</v>
      </c>
      <c r="C631" s="75">
        <v>2000</v>
      </c>
    </row>
    <row r="632" spans="1:3" x14ac:dyDescent="0.25">
      <c r="A632" s="1" t="s">
        <v>291</v>
      </c>
      <c r="B632" s="74">
        <v>46217</v>
      </c>
      <c r="C632" s="75">
        <v>1000</v>
      </c>
    </row>
    <row r="633" spans="1:3" x14ac:dyDescent="0.25">
      <c r="A633" s="1" t="s">
        <v>380</v>
      </c>
      <c r="B633" s="74">
        <v>46217</v>
      </c>
      <c r="C633" s="75">
        <v>2000</v>
      </c>
    </row>
    <row r="634" spans="1:3" x14ac:dyDescent="0.25">
      <c r="A634" s="1" t="s">
        <v>664</v>
      </c>
      <c r="B634" s="74">
        <v>46217</v>
      </c>
      <c r="C634" s="75">
        <v>1000</v>
      </c>
    </row>
    <row r="635" spans="1:3" x14ac:dyDescent="0.25">
      <c r="A635" s="1" t="s">
        <v>1014</v>
      </c>
      <c r="B635" s="74">
        <v>46217</v>
      </c>
      <c r="C635" s="75">
        <v>1000</v>
      </c>
    </row>
    <row r="636" spans="1:3" x14ac:dyDescent="0.25">
      <c r="A636" s="1" t="s">
        <v>801</v>
      </c>
      <c r="B636" s="74">
        <v>46217</v>
      </c>
      <c r="C636" s="75">
        <v>5000</v>
      </c>
    </row>
    <row r="637" spans="1:3" x14ac:dyDescent="0.25">
      <c r="A637" s="1" t="s">
        <v>628</v>
      </c>
      <c r="B637" s="74">
        <v>46217</v>
      </c>
      <c r="C637" s="75">
        <v>1000</v>
      </c>
    </row>
    <row r="638" spans="1:3" x14ac:dyDescent="0.25">
      <c r="A638" s="1" t="s">
        <v>575</v>
      </c>
      <c r="B638" s="74">
        <v>46217</v>
      </c>
      <c r="C638" s="75">
        <v>2000</v>
      </c>
    </row>
    <row r="639" spans="1:3" x14ac:dyDescent="0.25">
      <c r="A639" s="1" t="s">
        <v>444</v>
      </c>
      <c r="B639" s="74">
        <v>46217</v>
      </c>
      <c r="C639" s="75">
        <v>2000</v>
      </c>
    </row>
    <row r="640" spans="1:3" x14ac:dyDescent="0.25">
      <c r="A640" s="1" t="s">
        <v>581</v>
      </c>
      <c r="B640" s="74">
        <v>46217</v>
      </c>
      <c r="C640" s="75">
        <v>233</v>
      </c>
    </row>
    <row r="641" spans="1:3" x14ac:dyDescent="0.25">
      <c r="A641" s="1" t="s">
        <v>471</v>
      </c>
      <c r="B641" s="74">
        <v>46217</v>
      </c>
      <c r="C641" s="75">
        <v>1000</v>
      </c>
    </row>
    <row r="642" spans="1:3" x14ac:dyDescent="0.25">
      <c r="A642" s="1" t="s">
        <v>909</v>
      </c>
      <c r="B642" s="74">
        <v>46217</v>
      </c>
      <c r="C642" s="75">
        <v>1000</v>
      </c>
    </row>
    <row r="643" spans="1:3" x14ac:dyDescent="0.25">
      <c r="A643" s="1" t="s">
        <v>1290</v>
      </c>
      <c r="B643" s="74">
        <v>46217</v>
      </c>
      <c r="C643" s="75">
        <v>1000</v>
      </c>
    </row>
    <row r="644" spans="1:3" x14ac:dyDescent="0.25">
      <c r="A644" s="1" t="s">
        <v>364</v>
      </c>
      <c r="B644" s="74">
        <v>46217</v>
      </c>
      <c r="C644" s="75">
        <v>38480</v>
      </c>
    </row>
    <row r="645" spans="1:3" x14ac:dyDescent="0.25">
      <c r="A645" s="1" t="s">
        <v>1067</v>
      </c>
      <c r="B645" s="74">
        <v>46217</v>
      </c>
      <c r="C645" s="75">
        <v>1000</v>
      </c>
    </row>
    <row r="646" spans="1:3" x14ac:dyDescent="0.25">
      <c r="A646" s="1" t="s">
        <v>396</v>
      </c>
      <c r="B646" s="74">
        <v>46217</v>
      </c>
      <c r="C646" s="75">
        <v>5000</v>
      </c>
    </row>
    <row r="647" spans="1:3" x14ac:dyDescent="0.25">
      <c r="A647" s="1" t="s">
        <v>1196</v>
      </c>
      <c r="B647" s="74">
        <v>46217</v>
      </c>
      <c r="C647" s="75">
        <v>3000</v>
      </c>
    </row>
    <row r="648" spans="1:3" x14ac:dyDescent="0.25">
      <c r="A648" s="1" t="s">
        <v>1276</v>
      </c>
      <c r="B648" s="74">
        <v>46217</v>
      </c>
      <c r="C648" s="75">
        <v>3000</v>
      </c>
    </row>
    <row r="649" spans="1:3" x14ac:dyDescent="0.25">
      <c r="A649" s="1" t="s">
        <v>1260</v>
      </c>
      <c r="B649" s="74">
        <v>46217</v>
      </c>
      <c r="C649" s="75">
        <v>5000</v>
      </c>
    </row>
    <row r="650" spans="1:3" x14ac:dyDescent="0.25">
      <c r="A650" s="1" t="s">
        <v>648</v>
      </c>
      <c r="B650" s="74">
        <v>46217</v>
      </c>
      <c r="C650" s="75">
        <v>1050</v>
      </c>
    </row>
    <row r="651" spans="1:3" x14ac:dyDescent="0.25">
      <c r="A651" s="1" t="s">
        <v>284</v>
      </c>
      <c r="B651" s="74">
        <v>46217</v>
      </c>
      <c r="C651" s="75">
        <v>1000</v>
      </c>
    </row>
    <row r="652" spans="1:3" x14ac:dyDescent="0.25">
      <c r="A652" s="1" t="s">
        <v>813</v>
      </c>
      <c r="B652" s="74">
        <v>46217</v>
      </c>
      <c r="C652" s="75">
        <v>4000</v>
      </c>
    </row>
    <row r="653" spans="1:3" x14ac:dyDescent="0.25">
      <c r="A653" s="1" t="s">
        <v>117</v>
      </c>
      <c r="B653" s="74">
        <v>46217</v>
      </c>
      <c r="C653" s="75">
        <v>1000</v>
      </c>
    </row>
    <row r="654" spans="1:3" x14ac:dyDescent="0.25">
      <c r="A654" s="1" t="s">
        <v>195</v>
      </c>
      <c r="B654" s="74">
        <v>46217</v>
      </c>
      <c r="C654" s="75">
        <v>1000</v>
      </c>
    </row>
    <row r="655" spans="1:3" x14ac:dyDescent="0.25">
      <c r="A655" s="1" t="s">
        <v>990</v>
      </c>
      <c r="B655" s="74">
        <v>46217</v>
      </c>
      <c r="C655" s="75">
        <v>7000</v>
      </c>
    </row>
    <row r="656" spans="1:3" x14ac:dyDescent="0.25">
      <c r="A656" s="1" t="s">
        <v>1020</v>
      </c>
      <c r="B656" s="74">
        <v>46217</v>
      </c>
      <c r="C656" s="75">
        <v>2000</v>
      </c>
    </row>
    <row r="657" spans="1:3" x14ac:dyDescent="0.25">
      <c r="A657" s="1" t="s">
        <v>724</v>
      </c>
      <c r="B657" s="74">
        <v>46217</v>
      </c>
      <c r="C657" s="75">
        <v>1000</v>
      </c>
    </row>
    <row r="658" spans="1:3" x14ac:dyDescent="0.25">
      <c r="A658" s="1" t="s">
        <v>293</v>
      </c>
      <c r="B658" s="74">
        <v>46217</v>
      </c>
      <c r="C658" s="75">
        <v>1000</v>
      </c>
    </row>
    <row r="659" spans="1:3" x14ac:dyDescent="0.25">
      <c r="A659" s="1" t="s">
        <v>722</v>
      </c>
      <c r="B659" s="74">
        <v>46217</v>
      </c>
      <c r="C659" s="75">
        <v>30000</v>
      </c>
    </row>
    <row r="660" spans="1:3" x14ac:dyDescent="0.25">
      <c r="A660" s="1" t="s">
        <v>228</v>
      </c>
      <c r="B660" s="74">
        <v>46217</v>
      </c>
      <c r="C660" s="75">
        <v>2000</v>
      </c>
    </row>
    <row r="661" spans="1:3" x14ac:dyDescent="0.25">
      <c r="A661" s="1" t="s">
        <v>915</v>
      </c>
      <c r="B661" s="74">
        <v>46217</v>
      </c>
      <c r="C661" s="75">
        <v>1000</v>
      </c>
    </row>
    <row r="662" spans="1:3" x14ac:dyDescent="0.25">
      <c r="A662" s="1" t="s">
        <v>995</v>
      </c>
      <c r="B662" s="74">
        <v>46217</v>
      </c>
      <c r="C662" s="75">
        <v>1000</v>
      </c>
    </row>
    <row r="663" spans="1:3" x14ac:dyDescent="0.25">
      <c r="A663" s="1" t="s">
        <v>876</v>
      </c>
      <c r="B663" s="74">
        <v>46217</v>
      </c>
      <c r="C663" s="75">
        <v>20000</v>
      </c>
    </row>
    <row r="664" spans="1:3" x14ac:dyDescent="0.25">
      <c r="A664" s="1" t="s">
        <v>1265</v>
      </c>
      <c r="B664" s="74">
        <v>46217</v>
      </c>
      <c r="C664" s="75">
        <v>1360</v>
      </c>
    </row>
    <row r="665" spans="1:3" x14ac:dyDescent="0.25">
      <c r="A665" s="1" t="s">
        <v>845</v>
      </c>
      <c r="B665" s="74">
        <v>46217</v>
      </c>
      <c r="C665" s="75">
        <v>2000</v>
      </c>
    </row>
    <row r="666" spans="1:3" x14ac:dyDescent="0.25">
      <c r="A666" s="1" t="s">
        <v>613</v>
      </c>
      <c r="B666" s="74">
        <v>46217</v>
      </c>
      <c r="C666" s="75">
        <v>9000</v>
      </c>
    </row>
    <row r="667" spans="1:3" x14ac:dyDescent="0.25">
      <c r="A667" s="1" t="s">
        <v>631</v>
      </c>
      <c r="B667" s="74">
        <v>46217</v>
      </c>
      <c r="C667" s="75">
        <v>3698</v>
      </c>
    </row>
    <row r="668" spans="1:3" x14ac:dyDescent="0.25">
      <c r="A668" s="1" t="s">
        <v>620</v>
      </c>
      <c r="B668" s="74">
        <v>46217</v>
      </c>
      <c r="C668" s="75">
        <v>4500</v>
      </c>
    </row>
    <row r="669" spans="1:3" x14ac:dyDescent="0.25">
      <c r="A669" s="1" t="s">
        <v>895</v>
      </c>
      <c r="B669" s="74">
        <v>46217</v>
      </c>
      <c r="C669" s="75">
        <v>40000</v>
      </c>
    </row>
    <row r="670" spans="1:3" x14ac:dyDescent="0.25">
      <c r="A670" s="1" t="s">
        <v>551</v>
      </c>
      <c r="B670" s="74">
        <v>46217</v>
      </c>
      <c r="C670" s="75">
        <v>1000</v>
      </c>
    </row>
    <row r="671" spans="1:3" x14ac:dyDescent="0.25">
      <c r="A671" s="1" t="s">
        <v>743</v>
      </c>
      <c r="B671" s="74">
        <v>46217</v>
      </c>
      <c r="C671" s="75">
        <v>2000</v>
      </c>
    </row>
    <row r="672" spans="1:3" x14ac:dyDescent="0.25">
      <c r="A672" s="1" t="s">
        <v>237</v>
      </c>
      <c r="B672" s="74">
        <v>46217</v>
      </c>
      <c r="C672" s="75">
        <v>11000</v>
      </c>
    </row>
    <row r="673" spans="1:3" x14ac:dyDescent="0.25">
      <c r="A673" s="1" t="s">
        <v>306</v>
      </c>
      <c r="B673" s="74">
        <v>46217</v>
      </c>
      <c r="C673" s="75">
        <v>2000</v>
      </c>
    </row>
    <row r="674" spans="1:3" x14ac:dyDescent="0.25">
      <c r="A674" s="1" t="s">
        <v>485</v>
      </c>
      <c r="B674" s="74">
        <v>46217</v>
      </c>
      <c r="C674" s="75">
        <v>2000</v>
      </c>
    </row>
    <row r="675" spans="1:3" x14ac:dyDescent="0.25">
      <c r="A675" s="1" t="s">
        <v>1357</v>
      </c>
      <c r="B675" s="74">
        <v>46217</v>
      </c>
      <c r="C675" s="75">
        <v>13000</v>
      </c>
    </row>
    <row r="676" spans="1:3" x14ac:dyDescent="0.25">
      <c r="A676" s="1" t="s">
        <v>941</v>
      </c>
      <c r="B676" s="74">
        <v>46217</v>
      </c>
      <c r="C676" s="75">
        <v>1000</v>
      </c>
    </row>
    <row r="677" spans="1:3" x14ac:dyDescent="0.25">
      <c r="A677" s="1" t="s">
        <v>398</v>
      </c>
      <c r="B677" s="74">
        <v>46217</v>
      </c>
      <c r="C677" s="75">
        <v>1000</v>
      </c>
    </row>
    <row r="678" spans="1:3" x14ac:dyDescent="0.25">
      <c r="A678" s="1" t="s">
        <v>101</v>
      </c>
      <c r="B678" s="74">
        <v>46218</v>
      </c>
      <c r="C678" s="75">
        <v>1000</v>
      </c>
    </row>
    <row r="679" spans="1:3" x14ac:dyDescent="0.25">
      <c r="A679" s="1" t="s">
        <v>624</v>
      </c>
      <c r="B679" s="74">
        <v>46218</v>
      </c>
      <c r="C679" s="75">
        <v>6000</v>
      </c>
    </row>
    <row r="680" spans="1:3" x14ac:dyDescent="0.25">
      <c r="A680" s="1" t="s">
        <v>1240</v>
      </c>
      <c r="B680" s="74">
        <v>46218</v>
      </c>
      <c r="C680" s="75">
        <v>1000</v>
      </c>
    </row>
    <row r="681" spans="1:3" x14ac:dyDescent="0.25">
      <c r="A681" s="1" t="s">
        <v>717</v>
      </c>
      <c r="B681" s="74">
        <v>46218</v>
      </c>
      <c r="C681" s="75">
        <v>1050</v>
      </c>
    </row>
    <row r="682" spans="1:3" x14ac:dyDescent="0.25">
      <c r="A682" s="1" t="s">
        <v>90</v>
      </c>
      <c r="B682" s="74">
        <v>46218</v>
      </c>
      <c r="C682" s="75">
        <v>1000</v>
      </c>
    </row>
    <row r="683" spans="1:3" x14ac:dyDescent="0.25">
      <c r="A683" s="1" t="s">
        <v>1147</v>
      </c>
      <c r="B683" s="74">
        <v>46218</v>
      </c>
      <c r="C683" s="75">
        <v>1000</v>
      </c>
    </row>
    <row r="684" spans="1:3" x14ac:dyDescent="0.25">
      <c r="A684" s="1" t="s">
        <v>979</v>
      </c>
      <c r="B684" s="74">
        <v>46218</v>
      </c>
      <c r="C684" s="75">
        <v>1000</v>
      </c>
    </row>
    <row r="685" spans="1:3" x14ac:dyDescent="0.25">
      <c r="A685" s="1" t="s">
        <v>1322</v>
      </c>
      <c r="B685" s="74">
        <v>46218</v>
      </c>
      <c r="C685" s="75">
        <v>5000</v>
      </c>
    </row>
    <row r="686" spans="1:3" x14ac:dyDescent="0.25">
      <c r="A686" s="1" t="s">
        <v>1169</v>
      </c>
      <c r="B686" s="74">
        <v>46218</v>
      </c>
      <c r="C686" s="75">
        <v>1000</v>
      </c>
    </row>
    <row r="687" spans="1:3" x14ac:dyDescent="0.25">
      <c r="A687" s="1" t="s">
        <v>1079</v>
      </c>
      <c r="B687" s="74">
        <v>46218</v>
      </c>
      <c r="C687" s="75">
        <v>2000</v>
      </c>
    </row>
    <row r="688" spans="1:3" x14ac:dyDescent="0.25">
      <c r="A688" s="1" t="s">
        <v>1152</v>
      </c>
      <c r="B688" s="74">
        <v>46218</v>
      </c>
      <c r="C688" s="75">
        <v>1000</v>
      </c>
    </row>
    <row r="689" spans="1:3" x14ac:dyDescent="0.25">
      <c r="A689" s="1" t="s">
        <v>623</v>
      </c>
      <c r="B689" s="74">
        <v>46218</v>
      </c>
      <c r="C689" s="75">
        <v>1000</v>
      </c>
    </row>
    <row r="690" spans="1:3" x14ac:dyDescent="0.25">
      <c r="A690" s="1" t="s">
        <v>1008</v>
      </c>
      <c r="B690" s="74">
        <v>46218</v>
      </c>
      <c r="C690" s="75">
        <v>3000</v>
      </c>
    </row>
    <row r="691" spans="1:3" x14ac:dyDescent="0.25">
      <c r="A691" s="1" t="s">
        <v>802</v>
      </c>
      <c r="B691" s="74">
        <v>46218</v>
      </c>
      <c r="C691" s="75">
        <v>1100</v>
      </c>
    </row>
    <row r="692" spans="1:3" x14ac:dyDescent="0.25">
      <c r="A692" s="1" t="s">
        <v>274</v>
      </c>
      <c r="B692" s="74">
        <v>46218</v>
      </c>
      <c r="C692" s="75">
        <v>20000</v>
      </c>
    </row>
    <row r="693" spans="1:3" x14ac:dyDescent="0.25">
      <c r="A693" s="1" t="s">
        <v>70</v>
      </c>
      <c r="B693" s="74">
        <v>46218</v>
      </c>
      <c r="C693" s="75">
        <v>1000</v>
      </c>
    </row>
    <row r="694" spans="1:3" x14ac:dyDescent="0.25">
      <c r="A694" s="1" t="s">
        <v>283</v>
      </c>
      <c r="B694" s="74">
        <v>46218</v>
      </c>
      <c r="C694" s="75">
        <v>10000</v>
      </c>
    </row>
    <row r="695" spans="1:3" x14ac:dyDescent="0.25">
      <c r="A695" s="1" t="s">
        <v>503</v>
      </c>
      <c r="B695" s="74">
        <v>46218</v>
      </c>
      <c r="C695" s="75">
        <v>5000</v>
      </c>
    </row>
    <row r="696" spans="1:3" x14ac:dyDescent="0.25">
      <c r="A696" s="1" t="s">
        <v>522</v>
      </c>
      <c r="B696" s="74">
        <v>46218</v>
      </c>
      <c r="C696" s="75">
        <v>1000</v>
      </c>
    </row>
    <row r="697" spans="1:3" x14ac:dyDescent="0.25">
      <c r="A697" s="1" t="s">
        <v>32</v>
      </c>
      <c r="B697" s="74">
        <v>46218</v>
      </c>
      <c r="C697" s="75">
        <v>1000</v>
      </c>
    </row>
    <row r="698" spans="1:3" x14ac:dyDescent="0.25">
      <c r="A698" s="1" t="s">
        <v>289</v>
      </c>
      <c r="B698" s="74">
        <v>46218</v>
      </c>
      <c r="C698" s="75">
        <v>1000</v>
      </c>
    </row>
    <row r="699" spans="1:3" x14ac:dyDescent="0.25">
      <c r="A699" s="1" t="s">
        <v>317</v>
      </c>
      <c r="B699" s="74">
        <v>46218</v>
      </c>
      <c r="C699" s="75">
        <v>1000</v>
      </c>
    </row>
    <row r="700" spans="1:3" x14ac:dyDescent="0.25">
      <c r="A700" s="1" t="s">
        <v>1086</v>
      </c>
      <c r="B700" s="74">
        <v>46218</v>
      </c>
      <c r="C700" s="75">
        <v>100048</v>
      </c>
    </row>
    <row r="701" spans="1:3" x14ac:dyDescent="0.25">
      <c r="A701" s="1" t="s">
        <v>989</v>
      </c>
      <c r="B701" s="74">
        <v>46218</v>
      </c>
      <c r="C701" s="75">
        <v>1000</v>
      </c>
    </row>
    <row r="702" spans="1:3" x14ac:dyDescent="0.25">
      <c r="A702" s="1" t="s">
        <v>184</v>
      </c>
      <c r="B702" s="74">
        <v>46218</v>
      </c>
      <c r="C702" s="75">
        <v>50000</v>
      </c>
    </row>
    <row r="703" spans="1:3" x14ac:dyDescent="0.25">
      <c r="A703" s="1" t="s">
        <v>719</v>
      </c>
      <c r="B703" s="74">
        <v>46218</v>
      </c>
      <c r="C703" s="75">
        <v>3000</v>
      </c>
    </row>
    <row r="704" spans="1:3" x14ac:dyDescent="0.25">
      <c r="A704" s="1" t="s">
        <v>1251</v>
      </c>
      <c r="B704" s="74">
        <v>46218</v>
      </c>
      <c r="C704" s="75">
        <v>2000</v>
      </c>
    </row>
    <row r="705" spans="1:3" x14ac:dyDescent="0.25">
      <c r="A705" s="1" t="s">
        <v>1285</v>
      </c>
      <c r="B705" s="74">
        <v>46218</v>
      </c>
      <c r="C705" s="75">
        <v>3000</v>
      </c>
    </row>
    <row r="706" spans="1:3" x14ac:dyDescent="0.25">
      <c r="A706" s="1" t="s">
        <v>677</v>
      </c>
      <c r="B706" s="74">
        <v>46218</v>
      </c>
      <c r="C706" s="75">
        <v>5000</v>
      </c>
    </row>
    <row r="707" spans="1:3" x14ac:dyDescent="0.25">
      <c r="A707" s="1" t="s">
        <v>1145</v>
      </c>
      <c r="B707" s="74">
        <v>46218</v>
      </c>
      <c r="C707" s="75">
        <v>1000</v>
      </c>
    </row>
    <row r="708" spans="1:3" x14ac:dyDescent="0.25">
      <c r="A708" s="1" t="s">
        <v>167</v>
      </c>
      <c r="B708" s="74">
        <v>46218</v>
      </c>
      <c r="C708" s="75">
        <v>1000</v>
      </c>
    </row>
    <row r="709" spans="1:3" x14ac:dyDescent="0.25">
      <c r="A709" s="1" t="s">
        <v>449</v>
      </c>
      <c r="B709" s="74">
        <v>46218</v>
      </c>
      <c r="C709" s="75">
        <v>1000</v>
      </c>
    </row>
    <row r="710" spans="1:3" x14ac:dyDescent="0.25">
      <c r="A710" s="1" t="s">
        <v>193</v>
      </c>
      <c r="B710" s="74">
        <v>46218</v>
      </c>
      <c r="C710" s="75">
        <v>1000</v>
      </c>
    </row>
    <row r="711" spans="1:3" x14ac:dyDescent="0.25">
      <c r="A711" s="1" t="s">
        <v>397</v>
      </c>
      <c r="B711" s="74">
        <v>46218</v>
      </c>
      <c r="C711" s="75">
        <v>1000</v>
      </c>
    </row>
    <row r="712" spans="1:3" x14ac:dyDescent="0.25">
      <c r="A712" s="1" t="s">
        <v>535</v>
      </c>
      <c r="B712" s="74">
        <v>46218</v>
      </c>
      <c r="C712" s="75">
        <v>10504</v>
      </c>
    </row>
    <row r="713" spans="1:3" x14ac:dyDescent="0.25">
      <c r="A713" s="1" t="s">
        <v>1279</v>
      </c>
      <c r="B713" s="74">
        <v>46218</v>
      </c>
      <c r="C713" s="75">
        <v>1000</v>
      </c>
    </row>
    <row r="714" spans="1:3" x14ac:dyDescent="0.25">
      <c r="A714" s="1" t="s">
        <v>350</v>
      </c>
      <c r="B714" s="74">
        <v>46218</v>
      </c>
      <c r="C714" s="75">
        <v>5000</v>
      </c>
    </row>
    <row r="715" spans="1:3" x14ac:dyDescent="0.25">
      <c r="A715" s="1" t="s">
        <v>107</v>
      </c>
      <c r="B715" s="74">
        <v>46218</v>
      </c>
      <c r="C715" s="75">
        <v>1000</v>
      </c>
    </row>
    <row r="716" spans="1:3" x14ac:dyDescent="0.25">
      <c r="A716" s="1" t="s">
        <v>441</v>
      </c>
      <c r="B716" s="74">
        <v>46218</v>
      </c>
      <c r="C716" s="75">
        <v>5799</v>
      </c>
    </row>
    <row r="717" spans="1:3" x14ac:dyDescent="0.25">
      <c r="A717" s="1" t="s">
        <v>630</v>
      </c>
      <c r="B717" s="74">
        <v>46218</v>
      </c>
      <c r="C717" s="75">
        <v>1000</v>
      </c>
    </row>
    <row r="718" spans="1:3" x14ac:dyDescent="0.25">
      <c r="A718" s="1" t="s">
        <v>290</v>
      </c>
      <c r="B718" s="74">
        <v>46218</v>
      </c>
      <c r="C718" s="75">
        <v>1200</v>
      </c>
    </row>
    <row r="719" spans="1:3" x14ac:dyDescent="0.25">
      <c r="A719" s="1" t="s">
        <v>1341</v>
      </c>
      <c r="B719" s="74">
        <v>46218</v>
      </c>
      <c r="C719" s="75">
        <v>1000</v>
      </c>
    </row>
    <row r="720" spans="1:3" x14ac:dyDescent="0.25">
      <c r="A720" s="1" t="s">
        <v>800</v>
      </c>
      <c r="B720" s="74">
        <v>46218</v>
      </c>
      <c r="C720" s="75">
        <v>1000</v>
      </c>
    </row>
    <row r="721" spans="1:3" x14ac:dyDescent="0.25">
      <c r="A721" s="1" t="s">
        <v>214</v>
      </c>
      <c r="B721" s="74">
        <v>46218</v>
      </c>
      <c r="C721" s="75">
        <v>13000</v>
      </c>
    </row>
    <row r="722" spans="1:3" x14ac:dyDescent="0.25">
      <c r="A722" s="1" t="s">
        <v>1359</v>
      </c>
      <c r="B722" s="74">
        <v>46218</v>
      </c>
      <c r="C722" s="75">
        <v>1000</v>
      </c>
    </row>
    <row r="723" spans="1:3" x14ac:dyDescent="0.25">
      <c r="A723" s="1" t="s">
        <v>907</v>
      </c>
      <c r="B723" s="74">
        <v>46218</v>
      </c>
      <c r="C723" s="75">
        <v>3500</v>
      </c>
    </row>
    <row r="724" spans="1:3" x14ac:dyDescent="0.25">
      <c r="A724" s="1" t="s">
        <v>1135</v>
      </c>
      <c r="B724" s="74">
        <v>46218</v>
      </c>
      <c r="C724" s="75">
        <v>2000</v>
      </c>
    </row>
    <row r="725" spans="1:3" x14ac:dyDescent="0.25">
      <c r="A725" s="1" t="s">
        <v>523</v>
      </c>
      <c r="B725" s="74">
        <v>46218</v>
      </c>
      <c r="C725" s="75">
        <v>28500</v>
      </c>
    </row>
    <row r="726" spans="1:3" x14ac:dyDescent="0.25">
      <c r="A726" s="1" t="s">
        <v>585</v>
      </c>
      <c r="B726" s="74">
        <v>46218</v>
      </c>
      <c r="C726" s="75">
        <v>1000</v>
      </c>
    </row>
    <row r="727" spans="1:3" x14ac:dyDescent="0.25">
      <c r="A727" s="1" t="s">
        <v>40</v>
      </c>
      <c r="B727" s="74">
        <v>46218</v>
      </c>
      <c r="C727" s="75">
        <v>6000</v>
      </c>
    </row>
    <row r="728" spans="1:3" x14ac:dyDescent="0.25">
      <c r="A728" s="1" t="s">
        <v>238</v>
      </c>
      <c r="B728" s="74">
        <v>46218</v>
      </c>
      <c r="C728" s="75">
        <v>5000</v>
      </c>
    </row>
    <row r="729" spans="1:3" x14ac:dyDescent="0.25">
      <c r="A729" s="1" t="s">
        <v>437</v>
      </c>
      <c r="B729" s="74">
        <v>46218</v>
      </c>
      <c r="C729" s="75">
        <v>1000</v>
      </c>
    </row>
    <row r="730" spans="1:3" x14ac:dyDescent="0.25">
      <c r="A730" s="1" t="s">
        <v>783</v>
      </c>
      <c r="B730" s="74">
        <v>46218</v>
      </c>
      <c r="C730" s="75">
        <v>1000</v>
      </c>
    </row>
    <row r="731" spans="1:3" x14ac:dyDescent="0.25">
      <c r="A731" s="1" t="s">
        <v>697</v>
      </c>
      <c r="B731" s="74">
        <v>46219</v>
      </c>
      <c r="C731" s="75">
        <v>501</v>
      </c>
    </row>
    <row r="732" spans="1:3" x14ac:dyDescent="0.25">
      <c r="A732" s="1" t="s">
        <v>379</v>
      </c>
      <c r="B732" s="74">
        <v>46219</v>
      </c>
      <c r="C732" s="75">
        <v>1000</v>
      </c>
    </row>
    <row r="733" spans="1:3" x14ac:dyDescent="0.25">
      <c r="A733" s="1" t="s">
        <v>957</v>
      </c>
      <c r="B733" s="74">
        <v>46219</v>
      </c>
      <c r="C733" s="75">
        <v>2000</v>
      </c>
    </row>
    <row r="734" spans="1:3" x14ac:dyDescent="0.25">
      <c r="A734" s="1" t="s">
        <v>1060</v>
      </c>
      <c r="B734" s="74">
        <v>46219</v>
      </c>
      <c r="C734" s="75">
        <v>3000</v>
      </c>
    </row>
    <row r="735" spans="1:3" x14ac:dyDescent="0.25">
      <c r="A735" s="1" t="s">
        <v>686</v>
      </c>
      <c r="B735" s="74">
        <v>46219</v>
      </c>
      <c r="C735" s="75">
        <v>512</v>
      </c>
    </row>
    <row r="736" spans="1:3" x14ac:dyDescent="0.25">
      <c r="A736" s="1" t="s">
        <v>1103</v>
      </c>
      <c r="B736" s="74">
        <v>46219</v>
      </c>
      <c r="C736" s="75">
        <v>1572</v>
      </c>
    </row>
    <row r="737" spans="1:3" x14ac:dyDescent="0.25">
      <c r="A737" s="1" t="s">
        <v>721</v>
      </c>
      <c r="B737" s="74">
        <v>46219</v>
      </c>
      <c r="C737" s="75">
        <v>40000</v>
      </c>
    </row>
    <row r="738" spans="1:3" x14ac:dyDescent="0.25">
      <c r="A738" s="1" t="s">
        <v>533</v>
      </c>
      <c r="B738" s="74">
        <v>46219</v>
      </c>
      <c r="C738" s="75">
        <v>38000</v>
      </c>
    </row>
    <row r="739" spans="1:3" x14ac:dyDescent="0.25">
      <c r="A739" s="1" t="s">
        <v>1355</v>
      </c>
      <c r="B739" s="74">
        <v>46219</v>
      </c>
      <c r="C739" s="75">
        <v>1001</v>
      </c>
    </row>
    <row r="740" spans="1:3" x14ac:dyDescent="0.25">
      <c r="A740" s="1" t="s">
        <v>124</v>
      </c>
      <c r="B740" s="74">
        <v>46219</v>
      </c>
      <c r="C740" s="75">
        <v>1000</v>
      </c>
    </row>
    <row r="741" spans="1:3" x14ac:dyDescent="0.25">
      <c r="A741" s="1" t="s">
        <v>406</v>
      </c>
      <c r="B741" s="74">
        <v>46219</v>
      </c>
      <c r="C741" s="75">
        <v>2000</v>
      </c>
    </row>
    <row r="742" spans="1:3" x14ac:dyDescent="0.25">
      <c r="A742" s="1" t="s">
        <v>230</v>
      </c>
      <c r="B742" s="74">
        <v>46219</v>
      </c>
      <c r="C742" s="75">
        <v>1000</v>
      </c>
    </row>
    <row r="743" spans="1:3" x14ac:dyDescent="0.25">
      <c r="A743" s="1" t="s">
        <v>646</v>
      </c>
      <c r="B743" s="74">
        <v>46219</v>
      </c>
      <c r="C743" s="75">
        <v>5000</v>
      </c>
    </row>
    <row r="744" spans="1:3" x14ac:dyDescent="0.25">
      <c r="A744" s="1" t="s">
        <v>844</v>
      </c>
      <c r="B744" s="74">
        <v>46219</v>
      </c>
      <c r="C744" s="75">
        <v>1000</v>
      </c>
    </row>
    <row r="745" spans="1:3" x14ac:dyDescent="0.25">
      <c r="A745" s="1" t="s">
        <v>1277</v>
      </c>
      <c r="B745" s="74">
        <v>46219</v>
      </c>
      <c r="C745" s="75">
        <v>1000</v>
      </c>
    </row>
    <row r="746" spans="1:3" x14ac:dyDescent="0.25">
      <c r="A746" s="1" t="s">
        <v>51</v>
      </c>
      <c r="B746" s="74">
        <v>46219</v>
      </c>
      <c r="C746" s="75">
        <v>1000</v>
      </c>
    </row>
    <row r="747" spans="1:3" x14ac:dyDescent="0.25">
      <c r="A747" s="1" t="s">
        <v>893</v>
      </c>
      <c r="B747" s="74">
        <v>46219</v>
      </c>
      <c r="C747" s="75">
        <v>1000</v>
      </c>
    </row>
    <row r="748" spans="1:3" x14ac:dyDescent="0.25">
      <c r="A748" s="1" t="s">
        <v>236</v>
      </c>
      <c r="B748" s="74">
        <v>46219</v>
      </c>
      <c r="C748" s="75">
        <v>1200</v>
      </c>
    </row>
    <row r="749" spans="1:3" x14ac:dyDescent="0.25">
      <c r="A749" s="1" t="s">
        <v>1077</v>
      </c>
      <c r="B749" s="74">
        <v>46219</v>
      </c>
      <c r="C749" s="75">
        <v>4700</v>
      </c>
    </row>
    <row r="750" spans="1:3" x14ac:dyDescent="0.25">
      <c r="A750" s="1" t="s">
        <v>488</v>
      </c>
      <c r="B750" s="74">
        <v>46219</v>
      </c>
      <c r="C750" s="75">
        <v>1000</v>
      </c>
    </row>
    <row r="751" spans="1:3" x14ac:dyDescent="0.25">
      <c r="A751" s="1" t="s">
        <v>525</v>
      </c>
      <c r="B751" s="74">
        <v>46219</v>
      </c>
      <c r="C751" s="75">
        <v>5000</v>
      </c>
    </row>
    <row r="752" spans="1:3" x14ac:dyDescent="0.25">
      <c r="A752" s="1" t="s">
        <v>637</v>
      </c>
      <c r="B752" s="74">
        <v>46219</v>
      </c>
      <c r="C752" s="75">
        <v>2000</v>
      </c>
    </row>
    <row r="753" spans="1:3" x14ac:dyDescent="0.25">
      <c r="A753" s="1" t="s">
        <v>103</v>
      </c>
      <c r="B753" s="74">
        <v>46219</v>
      </c>
      <c r="C753" s="75">
        <v>5999</v>
      </c>
    </row>
    <row r="754" spans="1:3" x14ac:dyDescent="0.25">
      <c r="A754" s="1" t="s">
        <v>451</v>
      </c>
      <c r="B754" s="74">
        <v>46219</v>
      </c>
      <c r="C754" s="75">
        <v>4000</v>
      </c>
    </row>
    <row r="755" spans="1:3" x14ac:dyDescent="0.25">
      <c r="A755" s="1" t="s">
        <v>1307</v>
      </c>
      <c r="B755" s="74">
        <v>46219</v>
      </c>
      <c r="C755" s="75">
        <v>9000</v>
      </c>
    </row>
    <row r="756" spans="1:3" x14ac:dyDescent="0.25">
      <c r="A756" s="1" t="s">
        <v>1134</v>
      </c>
      <c r="B756" s="74">
        <v>46219</v>
      </c>
      <c r="C756" s="75">
        <v>1000</v>
      </c>
    </row>
    <row r="757" spans="1:3" x14ac:dyDescent="0.25">
      <c r="A757" s="1" t="s">
        <v>662</v>
      </c>
      <c r="B757" s="74">
        <v>46219</v>
      </c>
      <c r="C757" s="75">
        <v>20000</v>
      </c>
    </row>
    <row r="758" spans="1:3" x14ac:dyDescent="0.25">
      <c r="A758" s="1" t="s">
        <v>285</v>
      </c>
      <c r="B758" s="74">
        <v>46219</v>
      </c>
      <c r="C758" s="75">
        <v>10000</v>
      </c>
    </row>
    <row r="759" spans="1:3" x14ac:dyDescent="0.25">
      <c r="A759" s="1" t="s">
        <v>859</v>
      </c>
      <c r="B759" s="74">
        <v>46219</v>
      </c>
      <c r="C759" s="75">
        <v>1000</v>
      </c>
    </row>
    <row r="760" spans="1:3" x14ac:dyDescent="0.25">
      <c r="A760" s="1" t="s">
        <v>557</v>
      </c>
      <c r="B760" s="74">
        <v>46219</v>
      </c>
      <c r="C760" s="75">
        <v>501</v>
      </c>
    </row>
    <row r="761" spans="1:3" x14ac:dyDescent="0.25">
      <c r="A761" s="1" t="s">
        <v>1005</v>
      </c>
      <c r="B761" s="74">
        <v>46219</v>
      </c>
      <c r="C761" s="75">
        <v>1001</v>
      </c>
    </row>
    <row r="762" spans="1:3" x14ac:dyDescent="0.25">
      <c r="A762" s="1" t="s">
        <v>932</v>
      </c>
      <c r="B762" s="74">
        <v>46219</v>
      </c>
      <c r="C762" s="75">
        <v>1000</v>
      </c>
    </row>
    <row r="763" spans="1:3" x14ac:dyDescent="0.25">
      <c r="A763" s="1" t="s">
        <v>688</v>
      </c>
      <c r="B763" s="74">
        <v>46219</v>
      </c>
      <c r="C763" s="75">
        <v>988</v>
      </c>
    </row>
    <row r="764" spans="1:3" x14ac:dyDescent="0.25">
      <c r="A764" s="1" t="s">
        <v>1021</v>
      </c>
      <c r="B764" s="74">
        <v>46219</v>
      </c>
      <c r="C764" s="75">
        <v>1000</v>
      </c>
    </row>
    <row r="765" spans="1:3" x14ac:dyDescent="0.25">
      <c r="A765" s="1" t="s">
        <v>1321</v>
      </c>
      <c r="B765" s="74">
        <v>46219</v>
      </c>
      <c r="C765" s="75">
        <v>1000</v>
      </c>
    </row>
    <row r="766" spans="1:3" x14ac:dyDescent="0.25">
      <c r="A766" s="1" t="s">
        <v>213</v>
      </c>
      <c r="B766" s="74">
        <v>46219</v>
      </c>
      <c r="C766" s="75">
        <v>500</v>
      </c>
    </row>
    <row r="767" spans="1:3" x14ac:dyDescent="0.25">
      <c r="A767" s="1" t="s">
        <v>1119</v>
      </c>
      <c r="B767" s="74">
        <v>46219</v>
      </c>
      <c r="C767" s="75">
        <v>1000</v>
      </c>
    </row>
    <row r="768" spans="1:3" x14ac:dyDescent="0.25">
      <c r="A768" s="1" t="s">
        <v>891</v>
      </c>
      <c r="B768" s="74">
        <v>46219</v>
      </c>
      <c r="C768" s="75">
        <v>1000</v>
      </c>
    </row>
    <row r="769" spans="1:3" x14ac:dyDescent="0.25">
      <c r="A769" s="1" t="s">
        <v>577</v>
      </c>
      <c r="B769" s="74">
        <v>46219</v>
      </c>
      <c r="C769" s="75">
        <v>4000</v>
      </c>
    </row>
    <row r="770" spans="1:3" x14ac:dyDescent="0.25">
      <c r="A770" s="1" t="s">
        <v>640</v>
      </c>
      <c r="B770" s="74">
        <v>46219</v>
      </c>
      <c r="C770" s="75">
        <v>1000</v>
      </c>
    </row>
    <row r="771" spans="1:3" x14ac:dyDescent="0.25">
      <c r="A771" s="1" t="s">
        <v>797</v>
      </c>
      <c r="B771" s="74">
        <v>46219</v>
      </c>
      <c r="C771" s="75">
        <v>1000</v>
      </c>
    </row>
    <row r="772" spans="1:3" x14ac:dyDescent="0.25">
      <c r="A772" s="1" t="s">
        <v>698</v>
      </c>
      <c r="B772" s="74">
        <v>46219</v>
      </c>
      <c r="C772" s="75">
        <v>4879</v>
      </c>
    </row>
    <row r="773" spans="1:3" x14ac:dyDescent="0.25">
      <c r="A773" s="1" t="s">
        <v>555</v>
      </c>
      <c r="B773" s="74">
        <v>46219</v>
      </c>
      <c r="C773" s="75">
        <v>3000</v>
      </c>
    </row>
    <row r="774" spans="1:3" x14ac:dyDescent="0.25">
      <c r="A774" s="1" t="s">
        <v>337</v>
      </c>
      <c r="B774" s="74">
        <v>46219</v>
      </c>
      <c r="C774" s="75">
        <v>5000</v>
      </c>
    </row>
    <row r="775" spans="1:3" x14ac:dyDescent="0.25">
      <c r="A775" s="1" t="s">
        <v>825</v>
      </c>
      <c r="B775" s="74">
        <v>46219</v>
      </c>
      <c r="C775" s="75">
        <v>1001</v>
      </c>
    </row>
    <row r="776" spans="1:3" x14ac:dyDescent="0.25">
      <c r="A776" s="1" t="s">
        <v>476</v>
      </c>
      <c r="B776" s="74">
        <v>46219</v>
      </c>
      <c r="C776" s="75">
        <v>1000</v>
      </c>
    </row>
    <row r="777" spans="1:3" x14ac:dyDescent="0.25">
      <c r="A777" s="1" t="s">
        <v>1052</v>
      </c>
      <c r="B777" s="74">
        <v>46219</v>
      </c>
      <c r="C777" s="75">
        <v>1000</v>
      </c>
    </row>
    <row r="778" spans="1:3" x14ac:dyDescent="0.25">
      <c r="A778" s="1" t="s">
        <v>823</v>
      </c>
      <c r="B778" s="74">
        <v>46219</v>
      </c>
      <c r="C778" s="75">
        <v>9000</v>
      </c>
    </row>
    <row r="779" spans="1:3" x14ac:dyDescent="0.25">
      <c r="A779" s="1" t="s">
        <v>1171</v>
      </c>
      <c r="B779" s="74">
        <v>46219</v>
      </c>
      <c r="C779" s="75">
        <v>2000</v>
      </c>
    </row>
    <row r="780" spans="1:3" x14ac:dyDescent="0.25">
      <c r="A780" s="1" t="s">
        <v>461</v>
      </c>
      <c r="B780" s="74">
        <v>46219</v>
      </c>
      <c r="C780" s="75">
        <v>1000</v>
      </c>
    </row>
    <row r="781" spans="1:3" x14ac:dyDescent="0.25">
      <c r="A781" s="1" t="s">
        <v>1342</v>
      </c>
      <c r="B781" s="74">
        <v>46219</v>
      </c>
      <c r="C781" s="75">
        <v>20000</v>
      </c>
    </row>
    <row r="782" spans="1:3" x14ac:dyDescent="0.25">
      <c r="A782" s="1" t="s">
        <v>964</v>
      </c>
      <c r="B782" s="74">
        <v>46219</v>
      </c>
      <c r="C782" s="75">
        <v>2000</v>
      </c>
    </row>
    <row r="783" spans="1:3" x14ac:dyDescent="0.25">
      <c r="A783" s="1" t="s">
        <v>940</v>
      </c>
      <c r="B783" s="74">
        <v>46219</v>
      </c>
      <c r="C783" s="75">
        <v>1025</v>
      </c>
    </row>
    <row r="784" spans="1:3" x14ac:dyDescent="0.25">
      <c r="A784" s="1" t="s">
        <v>1082</v>
      </c>
      <c r="B784" s="74">
        <v>46219</v>
      </c>
      <c r="C784" s="75">
        <v>5000</v>
      </c>
    </row>
    <row r="785" spans="1:3" x14ac:dyDescent="0.25">
      <c r="A785" s="1" t="s">
        <v>661</v>
      </c>
      <c r="B785" s="74">
        <v>46219</v>
      </c>
      <c r="C785" s="75">
        <v>10000</v>
      </c>
    </row>
    <row r="786" spans="1:3" x14ac:dyDescent="0.25">
      <c r="A786" s="1" t="s">
        <v>265</v>
      </c>
      <c r="B786" s="74">
        <v>46219</v>
      </c>
      <c r="C786" s="75">
        <v>14022</v>
      </c>
    </row>
    <row r="787" spans="1:3" x14ac:dyDescent="0.25">
      <c r="A787" s="1" t="s">
        <v>262</v>
      </c>
      <c r="B787" s="74">
        <v>46220</v>
      </c>
      <c r="C787" s="75">
        <v>2000</v>
      </c>
    </row>
    <row r="788" spans="1:3" x14ac:dyDescent="0.25">
      <c r="A788" s="1" t="s">
        <v>1257</v>
      </c>
      <c r="B788" s="74">
        <v>46220</v>
      </c>
      <c r="C788" s="75">
        <v>980</v>
      </c>
    </row>
    <row r="789" spans="1:3" x14ac:dyDescent="0.25">
      <c r="A789" s="1" t="s">
        <v>427</v>
      </c>
      <c r="B789" s="74">
        <v>46220</v>
      </c>
      <c r="C789" s="75">
        <v>5000</v>
      </c>
    </row>
    <row r="790" spans="1:3" x14ac:dyDescent="0.25">
      <c r="A790" s="1" t="s">
        <v>1326</v>
      </c>
      <c r="B790" s="74">
        <v>46220</v>
      </c>
      <c r="C790" s="75">
        <v>28350</v>
      </c>
    </row>
    <row r="791" spans="1:3" x14ac:dyDescent="0.25">
      <c r="A791" s="1" t="s">
        <v>1217</v>
      </c>
      <c r="B791" s="74">
        <v>46220</v>
      </c>
      <c r="C791" s="75">
        <v>1000</v>
      </c>
    </row>
    <row r="792" spans="1:3" x14ac:dyDescent="0.25">
      <c r="A792" s="1" t="s">
        <v>1117</v>
      </c>
      <c r="B792" s="74">
        <v>46220</v>
      </c>
      <c r="C792" s="75">
        <v>1000</v>
      </c>
    </row>
    <row r="793" spans="1:3" x14ac:dyDescent="0.25">
      <c r="A793" s="1" t="s">
        <v>121</v>
      </c>
      <c r="B793" s="74">
        <v>46220</v>
      </c>
      <c r="C793" s="75">
        <v>1205</v>
      </c>
    </row>
    <row r="794" spans="1:3" x14ac:dyDescent="0.25">
      <c r="A794" s="1" t="s">
        <v>1007</v>
      </c>
      <c r="B794" s="74">
        <v>46220</v>
      </c>
      <c r="C794" s="75">
        <v>1356</v>
      </c>
    </row>
    <row r="795" spans="1:3" x14ac:dyDescent="0.25">
      <c r="A795" s="1" t="s">
        <v>165</v>
      </c>
      <c r="B795" s="74">
        <v>46220</v>
      </c>
      <c r="C795" s="75">
        <v>1000</v>
      </c>
    </row>
    <row r="796" spans="1:3" x14ac:dyDescent="0.25">
      <c r="A796" s="1" t="s">
        <v>868</v>
      </c>
      <c r="B796" s="74">
        <v>46220</v>
      </c>
      <c r="C796" s="75">
        <v>44400</v>
      </c>
    </row>
    <row r="797" spans="1:3" x14ac:dyDescent="0.25">
      <c r="A797" s="1" t="s">
        <v>678</v>
      </c>
      <c r="B797" s="74">
        <v>46220</v>
      </c>
      <c r="C797" s="75">
        <v>491</v>
      </c>
    </row>
    <row r="798" spans="1:3" x14ac:dyDescent="0.25">
      <c r="A798" s="1" t="s">
        <v>24</v>
      </c>
      <c r="B798" s="74">
        <v>46220</v>
      </c>
      <c r="C798" s="75">
        <v>1000</v>
      </c>
    </row>
    <row r="799" spans="1:3" x14ac:dyDescent="0.25">
      <c r="A799" s="1" t="s">
        <v>457</v>
      </c>
      <c r="B799" s="74">
        <v>46220</v>
      </c>
      <c r="C799" s="75">
        <v>2038.6</v>
      </c>
    </row>
    <row r="800" spans="1:3" x14ac:dyDescent="0.25">
      <c r="A800" s="1" t="s">
        <v>267</v>
      </c>
      <c r="B800" s="74">
        <v>46220</v>
      </c>
      <c r="C800" s="75">
        <v>1000</v>
      </c>
    </row>
    <row r="801" spans="1:3" x14ac:dyDescent="0.25">
      <c r="A801" s="1" t="s">
        <v>11</v>
      </c>
      <c r="B801" s="74">
        <v>46220</v>
      </c>
      <c r="C801" s="75">
        <v>1000</v>
      </c>
    </row>
    <row r="802" spans="1:3" x14ac:dyDescent="0.25">
      <c r="A802" s="1" t="s">
        <v>861</v>
      </c>
      <c r="B802" s="74">
        <v>46220</v>
      </c>
      <c r="C802" s="75">
        <v>3500</v>
      </c>
    </row>
    <row r="803" spans="1:3" x14ac:dyDescent="0.25">
      <c r="A803" s="1" t="s">
        <v>601</v>
      </c>
      <c r="B803" s="74">
        <v>46220</v>
      </c>
      <c r="C803" s="75">
        <v>5000</v>
      </c>
    </row>
    <row r="804" spans="1:3" x14ac:dyDescent="0.25">
      <c r="A804" s="1" t="s">
        <v>1122</v>
      </c>
      <c r="B804" s="74">
        <v>46220</v>
      </c>
      <c r="C804" s="75">
        <v>622</v>
      </c>
    </row>
    <row r="805" spans="1:3" x14ac:dyDescent="0.25">
      <c r="A805" s="1" t="s">
        <v>546</v>
      </c>
      <c r="B805" s="74">
        <v>46220</v>
      </c>
      <c r="C805" s="75">
        <v>1000</v>
      </c>
    </row>
    <row r="806" spans="1:3" x14ac:dyDescent="0.25">
      <c r="A806" s="1" t="s">
        <v>865</v>
      </c>
      <c r="B806" s="74">
        <v>46220</v>
      </c>
      <c r="C806" s="75">
        <v>500</v>
      </c>
    </row>
    <row r="807" spans="1:3" x14ac:dyDescent="0.25">
      <c r="A807" s="1" t="s">
        <v>216</v>
      </c>
      <c r="B807" s="74">
        <v>46220</v>
      </c>
      <c r="C807" s="75">
        <v>5000</v>
      </c>
    </row>
    <row r="808" spans="1:3" x14ac:dyDescent="0.25">
      <c r="A808" s="1" t="s">
        <v>647</v>
      </c>
      <c r="B808" s="74">
        <v>46220</v>
      </c>
      <c r="C808" s="75">
        <v>1000</v>
      </c>
    </row>
    <row r="809" spans="1:3" x14ac:dyDescent="0.25">
      <c r="A809" s="1" t="s">
        <v>1213</v>
      </c>
      <c r="B809" s="74">
        <v>46220</v>
      </c>
      <c r="C809" s="75">
        <v>885</v>
      </c>
    </row>
    <row r="810" spans="1:3" x14ac:dyDescent="0.25">
      <c r="A810" s="1" t="s">
        <v>860</v>
      </c>
      <c r="B810" s="74">
        <v>46220</v>
      </c>
      <c r="C810" s="75">
        <v>3000</v>
      </c>
    </row>
    <row r="811" spans="1:3" x14ac:dyDescent="0.25">
      <c r="A811" s="1" t="s">
        <v>334</v>
      </c>
      <c r="B811" s="74">
        <v>46220</v>
      </c>
      <c r="C811" s="75">
        <v>1000</v>
      </c>
    </row>
    <row r="812" spans="1:3" x14ac:dyDescent="0.25">
      <c r="A812" s="1" t="s">
        <v>386</v>
      </c>
      <c r="B812" s="74">
        <v>46220</v>
      </c>
      <c r="C812" s="75">
        <v>38837</v>
      </c>
    </row>
    <row r="813" spans="1:3" x14ac:dyDescent="0.25">
      <c r="A813" s="1" t="s">
        <v>543</v>
      </c>
      <c r="B813" s="74">
        <v>46220</v>
      </c>
      <c r="C813" s="75">
        <v>1000</v>
      </c>
    </row>
    <row r="814" spans="1:3" x14ac:dyDescent="0.25">
      <c r="A814" s="1" t="s">
        <v>828</v>
      </c>
      <c r="B814" s="74">
        <v>46220</v>
      </c>
      <c r="C814" s="75">
        <v>10000</v>
      </c>
    </row>
    <row r="815" spans="1:3" x14ac:dyDescent="0.25">
      <c r="A815" s="1" t="s">
        <v>75</v>
      </c>
      <c r="B815" s="74">
        <v>46220</v>
      </c>
      <c r="C815" s="75">
        <v>2000</v>
      </c>
    </row>
    <row r="816" spans="1:3" x14ac:dyDescent="0.25">
      <c r="A816" s="1" t="s">
        <v>811</v>
      </c>
      <c r="B816" s="74">
        <v>46220</v>
      </c>
      <c r="C816" s="75">
        <v>948</v>
      </c>
    </row>
    <row r="817" spans="1:3" x14ac:dyDescent="0.25">
      <c r="A817" s="1" t="s">
        <v>1085</v>
      </c>
      <c r="B817" s="74">
        <v>46220</v>
      </c>
      <c r="C817" s="75">
        <v>2000</v>
      </c>
    </row>
    <row r="818" spans="1:3" x14ac:dyDescent="0.25">
      <c r="A818" s="1" t="s">
        <v>390</v>
      </c>
      <c r="B818" s="74">
        <v>46220</v>
      </c>
      <c r="C818" s="75">
        <v>2000</v>
      </c>
    </row>
    <row r="819" spans="1:3" x14ac:dyDescent="0.25">
      <c r="A819" s="1" t="s">
        <v>1223</v>
      </c>
      <c r="B819" s="74">
        <v>46220</v>
      </c>
      <c r="C819" s="75">
        <v>1000</v>
      </c>
    </row>
    <row r="820" spans="1:3" x14ac:dyDescent="0.25">
      <c r="A820" s="1" t="s">
        <v>1115</v>
      </c>
      <c r="B820" s="74">
        <v>46220</v>
      </c>
      <c r="C820" s="75">
        <v>500</v>
      </c>
    </row>
    <row r="821" spans="1:3" x14ac:dyDescent="0.25">
      <c r="A821" s="1" t="s">
        <v>643</v>
      </c>
      <c r="B821" s="74">
        <v>46220</v>
      </c>
      <c r="C821" s="75">
        <v>4070</v>
      </c>
    </row>
    <row r="822" spans="1:3" x14ac:dyDescent="0.25">
      <c r="A822" s="1" t="s">
        <v>172</v>
      </c>
      <c r="B822" s="74">
        <v>46220</v>
      </c>
      <c r="C822" s="75">
        <v>2000</v>
      </c>
    </row>
    <row r="823" spans="1:3" x14ac:dyDescent="0.25">
      <c r="A823" s="1" t="s">
        <v>690</v>
      </c>
      <c r="B823" s="74">
        <v>46220</v>
      </c>
      <c r="C823" s="75">
        <v>50000</v>
      </c>
    </row>
    <row r="824" spans="1:3" x14ac:dyDescent="0.25">
      <c r="A824" s="1" t="s">
        <v>84</v>
      </c>
      <c r="B824" s="74">
        <v>46220</v>
      </c>
      <c r="C824" s="75">
        <v>1000</v>
      </c>
    </row>
    <row r="825" spans="1:3" x14ac:dyDescent="0.25">
      <c r="A825" s="1" t="s">
        <v>415</v>
      </c>
      <c r="B825" s="74">
        <v>46220</v>
      </c>
      <c r="C825" s="75">
        <v>1000</v>
      </c>
    </row>
    <row r="826" spans="1:3" x14ac:dyDescent="0.25">
      <c r="A826" s="1" t="s">
        <v>772</v>
      </c>
      <c r="B826" s="74">
        <v>46220</v>
      </c>
      <c r="C826" s="75">
        <v>598</v>
      </c>
    </row>
    <row r="827" spans="1:3" x14ac:dyDescent="0.25">
      <c r="A827" s="1" t="s">
        <v>79</v>
      </c>
      <c r="B827" s="74">
        <v>46220</v>
      </c>
      <c r="C827" s="75">
        <v>1492</v>
      </c>
    </row>
    <row r="828" spans="1:3" x14ac:dyDescent="0.25">
      <c r="A828" s="1" t="s">
        <v>766</v>
      </c>
      <c r="B828" s="74">
        <v>46220</v>
      </c>
      <c r="C828" s="75">
        <v>2000</v>
      </c>
    </row>
    <row r="829" spans="1:3" x14ac:dyDescent="0.25">
      <c r="A829" s="1" t="s">
        <v>179</v>
      </c>
      <c r="B829" s="74">
        <v>46220</v>
      </c>
      <c r="C829" s="75">
        <v>1000</v>
      </c>
    </row>
    <row r="830" spans="1:3" x14ac:dyDescent="0.25">
      <c r="A830" s="1" t="s">
        <v>1118</v>
      </c>
      <c r="B830" s="74">
        <v>46220</v>
      </c>
      <c r="C830" s="75">
        <v>1000</v>
      </c>
    </row>
    <row r="831" spans="1:3" x14ac:dyDescent="0.25">
      <c r="A831" s="1" t="s">
        <v>171</v>
      </c>
      <c r="B831" s="74">
        <v>46220</v>
      </c>
      <c r="C831" s="75">
        <v>2000</v>
      </c>
    </row>
    <row r="832" spans="1:3" x14ac:dyDescent="0.25">
      <c r="A832" s="1" t="s">
        <v>1216</v>
      </c>
      <c r="B832" s="74">
        <v>46220</v>
      </c>
      <c r="C832" s="75">
        <v>1000</v>
      </c>
    </row>
    <row r="833" spans="1:3" x14ac:dyDescent="0.25">
      <c r="A833" s="1" t="s">
        <v>1289</v>
      </c>
      <c r="B833" s="74">
        <v>46220</v>
      </c>
      <c r="C833" s="75">
        <v>1000</v>
      </c>
    </row>
    <row r="834" spans="1:3" x14ac:dyDescent="0.25">
      <c r="A834" s="1" t="s">
        <v>341</v>
      </c>
      <c r="B834" s="74">
        <v>46220</v>
      </c>
      <c r="C834" s="75">
        <v>10000</v>
      </c>
    </row>
    <row r="835" spans="1:3" x14ac:dyDescent="0.25">
      <c r="A835" s="1" t="s">
        <v>203</v>
      </c>
      <c r="B835" s="74">
        <v>46220</v>
      </c>
      <c r="C835" s="75">
        <v>1000</v>
      </c>
    </row>
    <row r="836" spans="1:3" x14ac:dyDescent="0.25">
      <c r="A836" s="1" t="s">
        <v>118</v>
      </c>
      <c r="B836" s="74">
        <v>46220</v>
      </c>
      <c r="C836" s="75">
        <v>126</v>
      </c>
    </row>
    <row r="837" spans="1:3" x14ac:dyDescent="0.25">
      <c r="A837" s="1" t="s">
        <v>641</v>
      </c>
      <c r="B837" s="74">
        <v>46220</v>
      </c>
      <c r="C837" s="75">
        <v>16605</v>
      </c>
    </row>
    <row r="838" spans="1:3" x14ac:dyDescent="0.25">
      <c r="A838" s="1" t="s">
        <v>1379</v>
      </c>
      <c r="B838" s="74">
        <v>46220</v>
      </c>
      <c r="C838" s="75">
        <v>500</v>
      </c>
    </row>
    <row r="839" spans="1:3" x14ac:dyDescent="0.25">
      <c r="A839" s="1" t="s">
        <v>1298</v>
      </c>
      <c r="B839" s="74">
        <v>46220</v>
      </c>
      <c r="C839" s="75">
        <v>1000</v>
      </c>
    </row>
    <row r="840" spans="1:3" x14ac:dyDescent="0.25">
      <c r="A840" s="1" t="s">
        <v>953</v>
      </c>
      <c r="B840" s="74">
        <v>46220</v>
      </c>
      <c r="C840" s="75">
        <v>1000</v>
      </c>
    </row>
    <row r="841" spans="1:3" x14ac:dyDescent="0.25">
      <c r="A841" s="1" t="s">
        <v>1028</v>
      </c>
      <c r="B841" s="74">
        <v>46220</v>
      </c>
      <c r="C841" s="75">
        <v>501</v>
      </c>
    </row>
    <row r="842" spans="1:3" x14ac:dyDescent="0.25">
      <c r="A842" s="1" t="s">
        <v>904</v>
      </c>
      <c r="B842" s="74">
        <v>46220</v>
      </c>
      <c r="C842" s="75">
        <v>5000</v>
      </c>
    </row>
    <row r="843" spans="1:3" x14ac:dyDescent="0.25">
      <c r="A843" s="1" t="s">
        <v>1048</v>
      </c>
      <c r="B843" s="74">
        <v>46220</v>
      </c>
      <c r="C843" s="75">
        <v>862</v>
      </c>
    </row>
    <row r="844" spans="1:3" x14ac:dyDescent="0.25">
      <c r="A844" s="1" t="s">
        <v>310</v>
      </c>
      <c r="B844" s="74">
        <v>46220</v>
      </c>
      <c r="C844" s="75">
        <v>1200</v>
      </c>
    </row>
    <row r="845" spans="1:3" x14ac:dyDescent="0.25">
      <c r="A845" s="1" t="s">
        <v>916</v>
      </c>
      <c r="B845" s="74">
        <v>46220</v>
      </c>
      <c r="C845" s="75">
        <v>1500</v>
      </c>
    </row>
    <row r="846" spans="1:3" x14ac:dyDescent="0.25">
      <c r="A846" s="1" t="s">
        <v>1046</v>
      </c>
      <c r="B846" s="74">
        <v>46220</v>
      </c>
      <c r="C846" s="75">
        <v>1000</v>
      </c>
    </row>
    <row r="847" spans="1:3" x14ac:dyDescent="0.25">
      <c r="A847" s="1" t="s">
        <v>632</v>
      </c>
      <c r="B847" s="74">
        <v>46220</v>
      </c>
      <c r="C847" s="75">
        <v>2000</v>
      </c>
    </row>
    <row r="848" spans="1:3" x14ac:dyDescent="0.25">
      <c r="A848" s="1" t="s">
        <v>961</v>
      </c>
      <c r="B848" s="74">
        <v>46220</v>
      </c>
      <c r="C848" s="75">
        <v>1000</v>
      </c>
    </row>
    <row r="849" spans="1:3" x14ac:dyDescent="0.25">
      <c r="A849" s="1" t="s">
        <v>996</v>
      </c>
      <c r="B849" s="74">
        <v>46220</v>
      </c>
      <c r="C849" s="75">
        <v>1000</v>
      </c>
    </row>
    <row r="850" spans="1:3" x14ac:dyDescent="0.25">
      <c r="A850" s="1" t="s">
        <v>692</v>
      </c>
      <c r="B850" s="74">
        <v>46220</v>
      </c>
      <c r="C850" s="75">
        <v>1500</v>
      </c>
    </row>
    <row r="851" spans="1:3" x14ac:dyDescent="0.25">
      <c r="A851" s="1" t="s">
        <v>1299</v>
      </c>
      <c r="B851" s="74">
        <v>46220</v>
      </c>
      <c r="C851" s="75">
        <v>1000</v>
      </c>
    </row>
    <row r="852" spans="1:3" x14ac:dyDescent="0.25">
      <c r="A852" s="1" t="s">
        <v>824</v>
      </c>
      <c r="B852" s="74">
        <v>46220</v>
      </c>
      <c r="C852" s="75">
        <v>10000</v>
      </c>
    </row>
    <row r="853" spans="1:3" x14ac:dyDescent="0.25">
      <c r="A853" s="1" t="s">
        <v>420</v>
      </c>
      <c r="B853" s="74">
        <v>46220</v>
      </c>
      <c r="C853" s="75">
        <v>491</v>
      </c>
    </row>
    <row r="854" spans="1:3" x14ac:dyDescent="0.25">
      <c r="A854" s="1" t="s">
        <v>1050</v>
      </c>
      <c r="B854" s="74">
        <v>46220</v>
      </c>
      <c r="C854" s="75">
        <v>3939</v>
      </c>
    </row>
    <row r="855" spans="1:3" x14ac:dyDescent="0.25">
      <c r="A855" s="1" t="s">
        <v>1306</v>
      </c>
      <c r="B855" s="74">
        <v>46220</v>
      </c>
      <c r="C855" s="75">
        <v>2000</v>
      </c>
    </row>
    <row r="856" spans="1:3" x14ac:dyDescent="0.25">
      <c r="A856" s="1" t="s">
        <v>1040</v>
      </c>
      <c r="B856" s="74">
        <v>46220</v>
      </c>
      <c r="C856" s="75">
        <v>500</v>
      </c>
    </row>
    <row r="857" spans="1:3" x14ac:dyDescent="0.25">
      <c r="A857" s="1" t="s">
        <v>180</v>
      </c>
      <c r="B857" s="74">
        <v>46221</v>
      </c>
      <c r="C857" s="75">
        <v>1000</v>
      </c>
    </row>
    <row r="858" spans="1:3" x14ac:dyDescent="0.25">
      <c r="A858" s="1" t="s">
        <v>507</v>
      </c>
      <c r="B858" s="74">
        <v>46221</v>
      </c>
      <c r="C858" s="75">
        <v>933</v>
      </c>
    </row>
    <row r="859" spans="1:3" x14ac:dyDescent="0.25">
      <c r="A859" s="1" t="s">
        <v>1036</v>
      </c>
      <c r="B859" s="74">
        <v>46221</v>
      </c>
      <c r="C859" s="75">
        <v>2000</v>
      </c>
    </row>
    <row r="860" spans="1:3" x14ac:dyDescent="0.25">
      <c r="A860" s="1" t="s">
        <v>452</v>
      </c>
      <c r="B860" s="74">
        <v>46221</v>
      </c>
      <c r="C860" s="75">
        <v>1000</v>
      </c>
    </row>
    <row r="861" spans="1:3" x14ac:dyDescent="0.25">
      <c r="A861" s="1" t="s">
        <v>553</v>
      </c>
      <c r="B861" s="74">
        <v>46221</v>
      </c>
      <c r="C861" s="75">
        <v>736</v>
      </c>
    </row>
    <row r="862" spans="1:3" x14ac:dyDescent="0.25">
      <c r="A862" s="1" t="s">
        <v>509</v>
      </c>
      <c r="B862" s="74">
        <v>46221</v>
      </c>
      <c r="C862" s="75">
        <v>499</v>
      </c>
    </row>
    <row r="863" spans="1:3" x14ac:dyDescent="0.25">
      <c r="A863" s="1" t="s">
        <v>305</v>
      </c>
      <c r="B863" s="74">
        <v>46221</v>
      </c>
      <c r="C863" s="75">
        <v>5156</v>
      </c>
    </row>
    <row r="864" spans="1:3" x14ac:dyDescent="0.25">
      <c r="A864" s="1" t="s">
        <v>1375</v>
      </c>
      <c r="B864" s="74">
        <v>46221</v>
      </c>
      <c r="C864" s="75">
        <v>500</v>
      </c>
    </row>
    <row r="865" spans="1:3" x14ac:dyDescent="0.25">
      <c r="A865" s="1" t="s">
        <v>846</v>
      </c>
      <c r="B865" s="74">
        <v>46221</v>
      </c>
      <c r="C865" s="75">
        <v>1000</v>
      </c>
    </row>
    <row r="866" spans="1:3" x14ac:dyDescent="0.25">
      <c r="A866" s="1" t="s">
        <v>1212</v>
      </c>
      <c r="B866" s="74">
        <v>46221</v>
      </c>
      <c r="C866" s="75">
        <v>1000</v>
      </c>
    </row>
    <row r="867" spans="1:3" x14ac:dyDescent="0.25">
      <c r="A867" s="1" t="s">
        <v>810</v>
      </c>
      <c r="B867" s="74">
        <v>46221</v>
      </c>
      <c r="C867" s="75">
        <v>1000</v>
      </c>
    </row>
    <row r="868" spans="1:3" x14ac:dyDescent="0.25">
      <c r="A868" s="1" t="s">
        <v>258</v>
      </c>
      <c r="B868" s="74">
        <v>46221</v>
      </c>
      <c r="C868" s="75">
        <v>1000</v>
      </c>
    </row>
    <row r="869" spans="1:3" x14ac:dyDescent="0.25">
      <c r="A869" s="1" t="s">
        <v>1112</v>
      </c>
      <c r="B869" s="74">
        <v>46221</v>
      </c>
      <c r="C869" s="75">
        <v>1000</v>
      </c>
    </row>
    <row r="870" spans="1:3" x14ac:dyDescent="0.25">
      <c r="A870" s="1" t="s">
        <v>186</v>
      </c>
      <c r="B870" s="74">
        <v>46221</v>
      </c>
      <c r="C870" s="75">
        <v>1000</v>
      </c>
    </row>
    <row r="871" spans="1:3" x14ac:dyDescent="0.25">
      <c r="A871" s="1" t="s">
        <v>438</v>
      </c>
      <c r="B871" s="74">
        <v>46221</v>
      </c>
      <c r="C871" s="75">
        <v>1000</v>
      </c>
    </row>
    <row r="872" spans="1:3" x14ac:dyDescent="0.25">
      <c r="A872" s="1" t="s">
        <v>315</v>
      </c>
      <c r="B872" s="74">
        <v>46221</v>
      </c>
      <c r="C872" s="75">
        <v>1000</v>
      </c>
    </row>
    <row r="873" spans="1:3" x14ac:dyDescent="0.25">
      <c r="A873" s="1" t="s">
        <v>1121</v>
      </c>
      <c r="B873" s="74">
        <v>46221</v>
      </c>
      <c r="C873" s="75">
        <v>791</v>
      </c>
    </row>
    <row r="874" spans="1:3" x14ac:dyDescent="0.25">
      <c r="A874" s="1" t="s">
        <v>1224</v>
      </c>
      <c r="B874" s="74">
        <v>46221</v>
      </c>
      <c r="C874" s="75">
        <v>7500</v>
      </c>
    </row>
    <row r="875" spans="1:3" x14ac:dyDescent="0.25">
      <c r="A875" s="1" t="s">
        <v>202</v>
      </c>
      <c r="B875" s="74">
        <v>46222</v>
      </c>
      <c r="C875" s="75">
        <v>5300</v>
      </c>
    </row>
    <row r="876" spans="1:3" x14ac:dyDescent="0.25">
      <c r="A876" s="1" t="s">
        <v>773</v>
      </c>
      <c r="B876" s="74">
        <v>46222</v>
      </c>
      <c r="C876" s="75">
        <v>1099.21</v>
      </c>
    </row>
    <row r="877" spans="1:3" x14ac:dyDescent="0.25">
      <c r="A877" s="1" t="s">
        <v>460</v>
      </c>
      <c r="B877" s="74">
        <v>46222</v>
      </c>
      <c r="C877" s="75">
        <v>5553</v>
      </c>
    </row>
    <row r="878" spans="1:3" x14ac:dyDescent="0.25">
      <c r="A878" s="1" t="s">
        <v>83</v>
      </c>
      <c r="B878" s="74">
        <v>46222</v>
      </c>
      <c r="C878" s="75">
        <v>2000</v>
      </c>
    </row>
    <row r="879" spans="1:3" x14ac:dyDescent="0.25">
      <c r="A879" s="1" t="s">
        <v>74</v>
      </c>
      <c r="B879" s="74">
        <v>46222</v>
      </c>
      <c r="C879" s="75">
        <v>1000</v>
      </c>
    </row>
    <row r="880" spans="1:3" x14ac:dyDescent="0.25">
      <c r="A880" s="1" t="s">
        <v>1022</v>
      </c>
      <c r="B880" s="74">
        <v>46222</v>
      </c>
      <c r="C880" s="75">
        <v>10000</v>
      </c>
    </row>
    <row r="881" spans="1:3" x14ac:dyDescent="0.25">
      <c r="A881" s="1" t="s">
        <v>279</v>
      </c>
      <c r="B881" s="74">
        <v>46222</v>
      </c>
      <c r="C881" s="75">
        <v>10000</v>
      </c>
    </row>
    <row r="882" spans="1:3" x14ac:dyDescent="0.25">
      <c r="A882" s="1" t="s">
        <v>1116</v>
      </c>
      <c r="B882" s="74">
        <v>46222</v>
      </c>
      <c r="C882" s="75">
        <v>1000</v>
      </c>
    </row>
    <row r="883" spans="1:3" x14ac:dyDescent="0.25">
      <c r="A883" s="1" t="s">
        <v>799</v>
      </c>
      <c r="B883" s="74">
        <v>46222</v>
      </c>
      <c r="C883" s="75">
        <v>10000</v>
      </c>
    </row>
    <row r="884" spans="1:3" x14ac:dyDescent="0.25">
      <c r="A884" s="1" t="s">
        <v>849</v>
      </c>
      <c r="B884" s="74">
        <v>46222</v>
      </c>
      <c r="C884" s="75">
        <v>1000</v>
      </c>
    </row>
    <row r="885" spans="1:3" x14ac:dyDescent="0.25">
      <c r="A885" s="1" t="s">
        <v>217</v>
      </c>
      <c r="B885" s="74">
        <v>46222</v>
      </c>
      <c r="C885" s="75">
        <v>1000</v>
      </c>
    </row>
    <row r="886" spans="1:3" x14ac:dyDescent="0.25">
      <c r="A886" s="1" t="s">
        <v>513</v>
      </c>
      <c r="B886" s="74">
        <v>46222</v>
      </c>
      <c r="C886" s="75">
        <v>500</v>
      </c>
    </row>
    <row r="887" spans="1:3" x14ac:dyDescent="0.25">
      <c r="A887" s="1" t="s">
        <v>1253</v>
      </c>
      <c r="B887" s="74">
        <v>46222</v>
      </c>
      <c r="C887" s="75">
        <v>46000</v>
      </c>
    </row>
    <row r="888" spans="1:3" x14ac:dyDescent="0.25">
      <c r="A888" s="1" t="s">
        <v>1218</v>
      </c>
      <c r="B888" s="74">
        <v>46222</v>
      </c>
      <c r="C888" s="75">
        <v>527</v>
      </c>
    </row>
    <row r="889" spans="1:3" x14ac:dyDescent="0.25">
      <c r="A889" s="1" t="s">
        <v>616</v>
      </c>
      <c r="B889" s="74">
        <v>46222</v>
      </c>
      <c r="C889" s="75">
        <v>5000</v>
      </c>
    </row>
    <row r="890" spans="1:3" x14ac:dyDescent="0.25">
      <c r="A890" s="1" t="s">
        <v>1343</v>
      </c>
      <c r="B890" s="74">
        <v>46222</v>
      </c>
      <c r="C890" s="75">
        <v>2000</v>
      </c>
    </row>
    <row r="891" spans="1:3" x14ac:dyDescent="0.25">
      <c r="A891" s="1" t="s">
        <v>1095</v>
      </c>
      <c r="B891" s="74">
        <v>46222</v>
      </c>
      <c r="C891" s="75">
        <v>2000</v>
      </c>
    </row>
    <row r="892" spans="1:3" x14ac:dyDescent="0.25">
      <c r="A892" s="1" t="s">
        <v>100</v>
      </c>
      <c r="B892" s="74">
        <v>46222</v>
      </c>
      <c r="C892" s="75">
        <v>4000</v>
      </c>
    </row>
    <row r="893" spans="1:3" x14ac:dyDescent="0.25">
      <c r="A893" s="1" t="s">
        <v>7</v>
      </c>
      <c r="B893" s="74">
        <v>46222</v>
      </c>
      <c r="C893" s="75">
        <v>8400</v>
      </c>
    </row>
    <row r="894" spans="1:3" x14ac:dyDescent="0.25">
      <c r="A894" s="1" t="s">
        <v>866</v>
      </c>
      <c r="B894" s="74">
        <v>46222</v>
      </c>
      <c r="C894" s="75">
        <v>500</v>
      </c>
    </row>
    <row r="895" spans="1:3" x14ac:dyDescent="0.25">
      <c r="A895" s="1" t="s">
        <v>89</v>
      </c>
      <c r="B895" s="74">
        <v>46223</v>
      </c>
      <c r="C895" s="75">
        <v>1000</v>
      </c>
    </row>
    <row r="896" spans="1:3" x14ac:dyDescent="0.25">
      <c r="A896" s="1" t="s">
        <v>638</v>
      </c>
      <c r="B896" s="74">
        <v>46223</v>
      </c>
      <c r="C896" s="75">
        <v>1000</v>
      </c>
    </row>
    <row r="897" spans="1:3" x14ac:dyDescent="0.25">
      <c r="A897" s="1" t="s">
        <v>1303</v>
      </c>
      <c r="B897" s="74">
        <v>46223</v>
      </c>
      <c r="C897" s="75">
        <v>1000</v>
      </c>
    </row>
    <row r="898" spans="1:3" x14ac:dyDescent="0.25">
      <c r="A898" s="1" t="s">
        <v>890</v>
      </c>
      <c r="B898" s="74">
        <v>46223</v>
      </c>
      <c r="C898" s="75">
        <v>16000</v>
      </c>
    </row>
    <row r="899" spans="1:3" x14ac:dyDescent="0.25">
      <c r="A899" s="1" t="s">
        <v>345</v>
      </c>
      <c r="B899" s="74">
        <v>46223</v>
      </c>
      <c r="C899" s="75">
        <v>1000</v>
      </c>
    </row>
    <row r="900" spans="1:3" x14ac:dyDescent="0.25">
      <c r="A900" s="1" t="s">
        <v>1003</v>
      </c>
      <c r="B900" s="74">
        <v>46223</v>
      </c>
      <c r="C900" s="75">
        <v>2000</v>
      </c>
    </row>
    <row r="901" spans="1:3" x14ac:dyDescent="0.25">
      <c r="A901" s="1" t="s">
        <v>298</v>
      </c>
      <c r="B901" s="74">
        <v>46223</v>
      </c>
      <c r="C901" s="75">
        <v>1000</v>
      </c>
    </row>
    <row r="902" spans="1:3" x14ac:dyDescent="0.25">
      <c r="A902" s="1" t="s">
        <v>387</v>
      </c>
      <c r="B902" s="74">
        <v>46223</v>
      </c>
      <c r="C902" s="75">
        <v>1000</v>
      </c>
    </row>
    <row r="903" spans="1:3" x14ac:dyDescent="0.25">
      <c r="A903" s="1" t="s">
        <v>191</v>
      </c>
      <c r="B903" s="74">
        <v>46223</v>
      </c>
      <c r="C903" s="75">
        <v>2000</v>
      </c>
    </row>
    <row r="904" spans="1:3" x14ac:dyDescent="0.25">
      <c r="A904" s="1" t="s">
        <v>137</v>
      </c>
      <c r="B904" s="74">
        <v>46223</v>
      </c>
      <c r="C904" s="75">
        <v>1000</v>
      </c>
    </row>
    <row r="905" spans="1:3" x14ac:dyDescent="0.25">
      <c r="A905" s="1" t="s">
        <v>411</v>
      </c>
      <c r="B905" s="74">
        <v>46223</v>
      </c>
      <c r="C905" s="75">
        <v>10000</v>
      </c>
    </row>
    <row r="906" spans="1:3" x14ac:dyDescent="0.25">
      <c r="A906" s="1" t="s">
        <v>675</v>
      </c>
      <c r="B906" s="74">
        <v>46223</v>
      </c>
      <c r="C906" s="75">
        <v>2000</v>
      </c>
    </row>
    <row r="907" spans="1:3" x14ac:dyDescent="0.25">
      <c r="A907" s="1" t="s">
        <v>552</v>
      </c>
      <c r="B907" s="74">
        <v>46223</v>
      </c>
      <c r="C907" s="75">
        <v>2000</v>
      </c>
    </row>
    <row r="908" spans="1:3" x14ac:dyDescent="0.25">
      <c r="A908" s="1" t="s">
        <v>1249</v>
      </c>
      <c r="B908" s="74">
        <v>46223</v>
      </c>
      <c r="C908" s="75">
        <v>1000</v>
      </c>
    </row>
    <row r="909" spans="1:3" x14ac:dyDescent="0.25">
      <c r="A909" s="1" t="s">
        <v>296</v>
      </c>
      <c r="B909" s="74">
        <v>46223</v>
      </c>
      <c r="C909" s="75">
        <v>1000</v>
      </c>
    </row>
    <row r="910" spans="1:3" x14ac:dyDescent="0.25">
      <c r="A910" s="1" t="s">
        <v>595</v>
      </c>
      <c r="B910" s="74">
        <v>46223</v>
      </c>
      <c r="C910" s="75">
        <v>10000</v>
      </c>
    </row>
    <row r="911" spans="1:3" x14ac:dyDescent="0.25">
      <c r="A911" s="1" t="s">
        <v>478</v>
      </c>
      <c r="B911" s="74">
        <v>46223</v>
      </c>
      <c r="C911" s="75">
        <v>3001</v>
      </c>
    </row>
    <row r="912" spans="1:3" x14ac:dyDescent="0.25">
      <c r="A912" s="1" t="s">
        <v>422</v>
      </c>
      <c r="B912" s="74">
        <v>46223</v>
      </c>
      <c r="C912" s="75">
        <v>2000</v>
      </c>
    </row>
    <row r="913" spans="1:3" x14ac:dyDescent="0.25">
      <c r="A913" s="1" t="s">
        <v>41</v>
      </c>
      <c r="B913" s="74">
        <v>46223</v>
      </c>
      <c r="C913" s="75">
        <v>1001</v>
      </c>
    </row>
    <row r="914" spans="1:3" x14ac:dyDescent="0.25">
      <c r="A914" s="1" t="s">
        <v>445</v>
      </c>
      <c r="B914" s="74">
        <v>46223</v>
      </c>
      <c r="C914" s="75">
        <v>4100</v>
      </c>
    </row>
    <row r="915" spans="1:3" x14ac:dyDescent="0.25">
      <c r="A915" s="1" t="s">
        <v>731</v>
      </c>
      <c r="B915" s="74">
        <v>46223</v>
      </c>
      <c r="C915" s="75">
        <v>2000</v>
      </c>
    </row>
    <row r="916" spans="1:3" x14ac:dyDescent="0.25">
      <c r="A916" s="1" t="s">
        <v>1018</v>
      </c>
      <c r="B916" s="74">
        <v>46223</v>
      </c>
      <c r="C916" s="75">
        <v>1000</v>
      </c>
    </row>
    <row r="917" spans="1:3" x14ac:dyDescent="0.25">
      <c r="A917" s="1" t="s">
        <v>1199</v>
      </c>
      <c r="B917" s="74">
        <v>46223</v>
      </c>
      <c r="C917" s="75">
        <v>500</v>
      </c>
    </row>
    <row r="918" spans="1:3" x14ac:dyDescent="0.25">
      <c r="A918" s="1" t="s">
        <v>129</v>
      </c>
      <c r="B918" s="74">
        <v>46223</v>
      </c>
      <c r="C918" s="75">
        <v>14300</v>
      </c>
    </row>
    <row r="919" spans="1:3" x14ac:dyDescent="0.25">
      <c r="A919" s="1" t="s">
        <v>1136</v>
      </c>
      <c r="B919" s="74">
        <v>46223</v>
      </c>
      <c r="C919" s="75">
        <v>3000</v>
      </c>
    </row>
    <row r="920" spans="1:3" x14ac:dyDescent="0.25">
      <c r="A920" s="1" t="s">
        <v>559</v>
      </c>
      <c r="B920" s="74">
        <v>46223</v>
      </c>
      <c r="C920" s="75">
        <v>1001</v>
      </c>
    </row>
    <row r="921" spans="1:3" x14ac:dyDescent="0.25">
      <c r="A921" s="1" t="s">
        <v>684</v>
      </c>
      <c r="B921" s="74">
        <v>46223</v>
      </c>
      <c r="C921" s="75">
        <v>10000</v>
      </c>
    </row>
    <row r="922" spans="1:3" x14ac:dyDescent="0.25">
      <c r="A922" s="1" t="s">
        <v>594</v>
      </c>
      <c r="B922" s="74">
        <v>46223</v>
      </c>
      <c r="C922" s="75">
        <v>1000</v>
      </c>
    </row>
    <row r="923" spans="1:3" x14ac:dyDescent="0.25">
      <c r="A923" s="1" t="s">
        <v>261</v>
      </c>
      <c r="B923" s="74">
        <v>46223</v>
      </c>
      <c r="C923" s="75">
        <v>1000</v>
      </c>
    </row>
    <row r="924" spans="1:3" x14ac:dyDescent="0.25">
      <c r="A924" s="1" t="s">
        <v>833</v>
      </c>
      <c r="B924" s="74">
        <v>46223</v>
      </c>
      <c r="C924" s="75">
        <v>1000</v>
      </c>
    </row>
    <row r="925" spans="1:3" x14ac:dyDescent="0.25">
      <c r="A925" s="1" t="s">
        <v>1043</v>
      </c>
      <c r="B925" s="74">
        <v>46223</v>
      </c>
      <c r="C925" s="75">
        <v>1000</v>
      </c>
    </row>
    <row r="926" spans="1:3" x14ac:dyDescent="0.25">
      <c r="A926" s="1" t="s">
        <v>36</v>
      </c>
      <c r="B926" s="74">
        <v>46223</v>
      </c>
      <c r="C926" s="75">
        <v>1000</v>
      </c>
    </row>
    <row r="927" spans="1:3" x14ac:dyDescent="0.25">
      <c r="A927" s="1" t="s">
        <v>301</v>
      </c>
      <c r="B927" s="74">
        <v>46223</v>
      </c>
      <c r="C927" s="75">
        <v>1000</v>
      </c>
    </row>
    <row r="928" spans="1:3" x14ac:dyDescent="0.25">
      <c r="A928" s="1" t="s">
        <v>42</v>
      </c>
      <c r="B928" s="74">
        <v>46223</v>
      </c>
      <c r="C928" s="75">
        <v>1000</v>
      </c>
    </row>
    <row r="929" spans="1:3" x14ac:dyDescent="0.25">
      <c r="A929" s="1" t="s">
        <v>796</v>
      </c>
      <c r="B929" s="74">
        <v>46223</v>
      </c>
      <c r="C929" s="75">
        <v>25000</v>
      </c>
    </row>
    <row r="930" spans="1:3" x14ac:dyDescent="0.25">
      <c r="A930" s="1" t="s">
        <v>1330</v>
      </c>
      <c r="B930" s="74">
        <v>46223</v>
      </c>
      <c r="C930" s="75">
        <v>2000</v>
      </c>
    </row>
    <row r="931" spans="1:3" x14ac:dyDescent="0.25">
      <c r="A931" s="1" t="s">
        <v>1133</v>
      </c>
      <c r="B931" s="74">
        <v>46223</v>
      </c>
      <c r="C931" s="75">
        <v>18000</v>
      </c>
    </row>
    <row r="932" spans="1:3" x14ac:dyDescent="0.25">
      <c r="A932" s="1" t="s">
        <v>201</v>
      </c>
      <c r="B932" s="74">
        <v>46223</v>
      </c>
      <c r="C932" s="75">
        <v>1000</v>
      </c>
    </row>
    <row r="933" spans="1:3" x14ac:dyDescent="0.25">
      <c r="A933" s="1" t="s">
        <v>834</v>
      </c>
      <c r="B933" s="74">
        <v>46223</v>
      </c>
      <c r="C933" s="75">
        <v>2000</v>
      </c>
    </row>
    <row r="934" spans="1:3" x14ac:dyDescent="0.25">
      <c r="A934" s="1" t="s">
        <v>635</v>
      </c>
      <c r="B934" s="74">
        <v>46223</v>
      </c>
      <c r="C934" s="75">
        <v>51000</v>
      </c>
    </row>
    <row r="935" spans="1:3" x14ac:dyDescent="0.25">
      <c r="A935" s="1" t="s">
        <v>181</v>
      </c>
      <c r="B935" s="74">
        <v>46223</v>
      </c>
      <c r="C935" s="75">
        <v>1000</v>
      </c>
    </row>
    <row r="936" spans="1:3" x14ac:dyDescent="0.25">
      <c r="A936" s="1" t="s">
        <v>987</v>
      </c>
      <c r="B936" s="74">
        <v>46223</v>
      </c>
      <c r="C936" s="75">
        <v>35000</v>
      </c>
    </row>
    <row r="937" spans="1:3" x14ac:dyDescent="0.25">
      <c r="A937" s="1" t="s">
        <v>814</v>
      </c>
      <c r="B937" s="74">
        <v>46223</v>
      </c>
      <c r="C937" s="75">
        <v>6000</v>
      </c>
    </row>
    <row r="938" spans="1:3" x14ac:dyDescent="0.25">
      <c r="A938" s="1" t="s">
        <v>602</v>
      </c>
      <c r="B938" s="74">
        <v>46223</v>
      </c>
      <c r="C938" s="75">
        <v>4000</v>
      </c>
    </row>
    <row r="939" spans="1:3" x14ac:dyDescent="0.25">
      <c r="A939" s="1" t="s">
        <v>475</v>
      </c>
      <c r="B939" s="74">
        <v>46223</v>
      </c>
      <c r="C939" s="75">
        <v>4034</v>
      </c>
    </row>
    <row r="940" spans="1:3" x14ac:dyDescent="0.25">
      <c r="A940" s="1" t="s">
        <v>542</v>
      </c>
      <c r="B940" s="74">
        <v>46223</v>
      </c>
      <c r="C940" s="75">
        <v>15000</v>
      </c>
    </row>
    <row r="941" spans="1:3" x14ac:dyDescent="0.25">
      <c r="A941" s="1" t="s">
        <v>992</v>
      </c>
      <c r="B941" s="74">
        <v>46223</v>
      </c>
      <c r="C941" s="75">
        <v>1000</v>
      </c>
    </row>
    <row r="942" spans="1:3" x14ac:dyDescent="0.25">
      <c r="A942" s="1" t="s">
        <v>453</v>
      </c>
      <c r="B942" s="74">
        <v>46223</v>
      </c>
      <c r="C942" s="75">
        <v>1000</v>
      </c>
    </row>
    <row r="943" spans="1:3" x14ac:dyDescent="0.25">
      <c r="A943" s="1" t="s">
        <v>1184</v>
      </c>
      <c r="B943" s="74">
        <v>46223</v>
      </c>
      <c r="C943" s="75">
        <v>1000</v>
      </c>
    </row>
    <row r="944" spans="1:3" x14ac:dyDescent="0.25">
      <c r="A944" s="1" t="s">
        <v>1185</v>
      </c>
      <c r="B944" s="74">
        <v>46223</v>
      </c>
      <c r="C944" s="75">
        <v>1000</v>
      </c>
    </row>
    <row r="945" spans="1:3" x14ac:dyDescent="0.25">
      <c r="A945" s="1" t="s">
        <v>287</v>
      </c>
      <c r="B945" s="74">
        <v>46223</v>
      </c>
      <c r="C945" s="75">
        <v>1000</v>
      </c>
    </row>
    <row r="946" spans="1:3" x14ac:dyDescent="0.25">
      <c r="A946" s="1" t="s">
        <v>1002</v>
      </c>
      <c r="B946" s="74">
        <v>46223</v>
      </c>
      <c r="C946" s="75">
        <v>20000</v>
      </c>
    </row>
    <row r="947" spans="1:3" x14ac:dyDescent="0.25">
      <c r="A947" s="1" t="s">
        <v>791</v>
      </c>
      <c r="B947" s="74">
        <v>46223</v>
      </c>
      <c r="C947" s="75">
        <v>1000</v>
      </c>
    </row>
    <row r="948" spans="1:3" x14ac:dyDescent="0.25">
      <c r="A948" s="1" t="s">
        <v>14</v>
      </c>
      <c r="B948" s="74">
        <v>46223</v>
      </c>
      <c r="C948" s="75">
        <v>2000</v>
      </c>
    </row>
    <row r="949" spans="1:3" x14ac:dyDescent="0.25">
      <c r="A949" s="1" t="s">
        <v>149</v>
      </c>
      <c r="B949" s="74">
        <v>46223</v>
      </c>
      <c r="C949" s="75">
        <v>500</v>
      </c>
    </row>
    <row r="950" spans="1:3" x14ac:dyDescent="0.25">
      <c r="A950" s="1" t="s">
        <v>85</v>
      </c>
      <c r="B950" s="74">
        <v>46223</v>
      </c>
      <c r="C950" s="75">
        <v>1000</v>
      </c>
    </row>
    <row r="951" spans="1:3" x14ac:dyDescent="0.25">
      <c r="A951" s="1" t="s">
        <v>1329</v>
      </c>
      <c r="B951" s="74">
        <v>46223</v>
      </c>
      <c r="C951" s="75">
        <v>1000</v>
      </c>
    </row>
    <row r="952" spans="1:3" x14ac:dyDescent="0.25">
      <c r="A952" s="1" t="s">
        <v>469</v>
      </c>
      <c r="B952" s="74">
        <v>46223</v>
      </c>
      <c r="C952" s="75">
        <v>6000</v>
      </c>
    </row>
    <row r="953" spans="1:3" x14ac:dyDescent="0.25">
      <c r="A953" s="1" t="s">
        <v>556</v>
      </c>
      <c r="B953" s="74">
        <v>46223</v>
      </c>
      <c r="C953" s="75">
        <v>5500</v>
      </c>
    </row>
    <row r="954" spans="1:3" x14ac:dyDescent="0.25">
      <c r="A954" s="1" t="s">
        <v>458</v>
      </c>
      <c r="B954" s="74">
        <v>46223</v>
      </c>
      <c r="C954" s="75">
        <v>10000</v>
      </c>
    </row>
    <row r="955" spans="1:3" x14ac:dyDescent="0.25">
      <c r="A955" s="1" t="s">
        <v>1156</v>
      </c>
      <c r="B955" s="74">
        <v>46223</v>
      </c>
      <c r="C955" s="75">
        <v>1000</v>
      </c>
    </row>
    <row r="956" spans="1:3" x14ac:dyDescent="0.25">
      <c r="A956" s="1" t="s">
        <v>304</v>
      </c>
      <c r="B956" s="74">
        <v>46223</v>
      </c>
      <c r="C956" s="75">
        <v>767</v>
      </c>
    </row>
    <row r="957" spans="1:3" x14ac:dyDescent="0.25">
      <c r="A957" s="1" t="s">
        <v>1331</v>
      </c>
      <c r="B957" s="74">
        <v>46223</v>
      </c>
      <c r="C957" s="75">
        <v>1000</v>
      </c>
    </row>
    <row r="958" spans="1:3" x14ac:dyDescent="0.25">
      <c r="A958" s="1" t="s">
        <v>905</v>
      </c>
      <c r="B958" s="74">
        <v>46223</v>
      </c>
      <c r="C958" s="75">
        <v>1000</v>
      </c>
    </row>
    <row r="959" spans="1:3" x14ac:dyDescent="0.25">
      <c r="A959" s="1" t="s">
        <v>997</v>
      </c>
      <c r="B959" s="74">
        <v>46223</v>
      </c>
      <c r="C959" s="75">
        <v>7000</v>
      </c>
    </row>
    <row r="960" spans="1:3" x14ac:dyDescent="0.25">
      <c r="A960" s="1" t="s">
        <v>781</v>
      </c>
      <c r="B960" s="74">
        <v>46224</v>
      </c>
      <c r="C960" s="75">
        <v>5000</v>
      </c>
    </row>
    <row r="961" spans="1:3" x14ac:dyDescent="0.25">
      <c r="A961" s="1" t="s">
        <v>1284</v>
      </c>
      <c r="B961" s="74">
        <v>46224</v>
      </c>
      <c r="C961" s="75">
        <v>440</v>
      </c>
    </row>
    <row r="962" spans="1:3" x14ac:dyDescent="0.25">
      <c r="A962" s="1" t="s">
        <v>1078</v>
      </c>
      <c r="B962" s="74">
        <v>46224</v>
      </c>
      <c r="C962" s="75">
        <v>1000</v>
      </c>
    </row>
    <row r="963" spans="1:3" x14ac:dyDescent="0.25">
      <c r="A963" s="1" t="s">
        <v>778</v>
      </c>
      <c r="B963" s="74">
        <v>46224</v>
      </c>
      <c r="C963" s="75">
        <v>10000</v>
      </c>
    </row>
    <row r="964" spans="1:3" x14ac:dyDescent="0.25">
      <c r="A964" s="1" t="s">
        <v>829</v>
      </c>
      <c r="B964" s="74">
        <v>46224</v>
      </c>
      <c r="C964" s="75">
        <v>1000</v>
      </c>
    </row>
    <row r="965" spans="1:3" x14ac:dyDescent="0.25">
      <c r="A965" s="1" t="s">
        <v>1258</v>
      </c>
      <c r="B965" s="74">
        <v>46224</v>
      </c>
      <c r="C965" s="75">
        <v>5000</v>
      </c>
    </row>
    <row r="966" spans="1:3" x14ac:dyDescent="0.25">
      <c r="A966" s="1" t="s">
        <v>794</v>
      </c>
      <c r="B966" s="74">
        <v>46224</v>
      </c>
      <c r="C966" s="75">
        <v>40000</v>
      </c>
    </row>
    <row r="967" spans="1:3" x14ac:dyDescent="0.25">
      <c r="A967" s="1" t="s">
        <v>413</v>
      </c>
      <c r="B967" s="74">
        <v>46224</v>
      </c>
      <c r="C967" s="75">
        <v>2000</v>
      </c>
    </row>
    <row r="968" spans="1:3" x14ac:dyDescent="0.25">
      <c r="A968" s="1" t="s">
        <v>97</v>
      </c>
      <c r="B968" s="74">
        <v>46224</v>
      </c>
      <c r="C968" s="75">
        <v>1000</v>
      </c>
    </row>
    <row r="969" spans="1:3" x14ac:dyDescent="0.25">
      <c r="A969" s="1" t="s">
        <v>128</v>
      </c>
      <c r="B969" s="74">
        <v>46224</v>
      </c>
      <c r="C969" s="75">
        <v>10000</v>
      </c>
    </row>
    <row r="970" spans="1:3" x14ac:dyDescent="0.25">
      <c r="A970" s="1" t="s">
        <v>605</v>
      </c>
      <c r="B970" s="74">
        <v>46224</v>
      </c>
      <c r="C970" s="75">
        <v>10000</v>
      </c>
    </row>
    <row r="971" spans="1:3" x14ac:dyDescent="0.25">
      <c r="A971" s="1" t="s">
        <v>1066</v>
      </c>
      <c r="B971" s="74">
        <v>46224</v>
      </c>
      <c r="C971" s="75">
        <v>2000</v>
      </c>
    </row>
    <row r="972" spans="1:3" x14ac:dyDescent="0.25">
      <c r="A972" s="1" t="s">
        <v>752</v>
      </c>
      <c r="B972" s="74">
        <v>46224</v>
      </c>
      <c r="C972" s="75">
        <v>2000</v>
      </c>
    </row>
    <row r="973" spans="1:3" x14ac:dyDescent="0.25">
      <c r="A973" s="1" t="s">
        <v>912</v>
      </c>
      <c r="B973" s="74">
        <v>46224</v>
      </c>
      <c r="C973" s="75">
        <v>2500</v>
      </c>
    </row>
    <row r="974" spans="1:3" x14ac:dyDescent="0.25">
      <c r="A974" s="1" t="s">
        <v>1356</v>
      </c>
      <c r="B974" s="74">
        <v>46224</v>
      </c>
      <c r="C974" s="75">
        <v>1000</v>
      </c>
    </row>
    <row r="975" spans="1:3" x14ac:dyDescent="0.25">
      <c r="A975" s="1" t="s">
        <v>540</v>
      </c>
      <c r="B975" s="74">
        <v>46224</v>
      </c>
      <c r="C975" s="75">
        <v>5000</v>
      </c>
    </row>
    <row r="976" spans="1:3" x14ac:dyDescent="0.25">
      <c r="A976" s="1" t="s">
        <v>111</v>
      </c>
      <c r="B976" s="74">
        <v>46224</v>
      </c>
      <c r="C976" s="75">
        <v>2500</v>
      </c>
    </row>
    <row r="977" spans="1:3" x14ac:dyDescent="0.25">
      <c r="A977" s="1" t="s">
        <v>403</v>
      </c>
      <c r="B977" s="74">
        <v>46224</v>
      </c>
      <c r="C977" s="75">
        <v>1000</v>
      </c>
    </row>
    <row r="978" spans="1:3" x14ac:dyDescent="0.25">
      <c r="A978" s="1" t="s">
        <v>980</v>
      </c>
      <c r="B978" s="74">
        <v>46224</v>
      </c>
      <c r="C978" s="75">
        <v>10000</v>
      </c>
    </row>
    <row r="979" spans="1:3" x14ac:dyDescent="0.25">
      <c r="A979" s="1" t="s">
        <v>614</v>
      </c>
      <c r="B979" s="74">
        <v>46224</v>
      </c>
      <c r="C979" s="75">
        <v>1000</v>
      </c>
    </row>
    <row r="980" spans="1:3" x14ac:dyDescent="0.25">
      <c r="A980" s="1" t="s">
        <v>1195</v>
      </c>
      <c r="B980" s="74">
        <v>46224</v>
      </c>
      <c r="C980" s="75">
        <v>10000</v>
      </c>
    </row>
    <row r="981" spans="1:3" x14ac:dyDescent="0.25">
      <c r="A981" s="1" t="s">
        <v>1056</v>
      </c>
      <c r="B981" s="74">
        <v>46224</v>
      </c>
      <c r="C981" s="75">
        <v>2000</v>
      </c>
    </row>
    <row r="982" spans="1:3" x14ac:dyDescent="0.25">
      <c r="A982" s="1" t="s">
        <v>975</v>
      </c>
      <c r="B982" s="74">
        <v>46224</v>
      </c>
      <c r="C982" s="75">
        <v>11000</v>
      </c>
    </row>
    <row r="983" spans="1:3" x14ac:dyDescent="0.25">
      <c r="A983" s="1" t="s">
        <v>1248</v>
      </c>
      <c r="B983" s="74">
        <v>46224</v>
      </c>
      <c r="C983" s="75">
        <v>13000</v>
      </c>
    </row>
    <row r="984" spans="1:3" x14ac:dyDescent="0.25">
      <c r="A984" s="1" t="s">
        <v>762</v>
      </c>
      <c r="B984" s="74">
        <v>46224</v>
      </c>
      <c r="C984" s="75">
        <v>1000</v>
      </c>
    </row>
    <row r="985" spans="1:3" x14ac:dyDescent="0.25">
      <c r="A985" s="1" t="s">
        <v>1032</v>
      </c>
      <c r="B985" s="74">
        <v>46224</v>
      </c>
      <c r="C985" s="75">
        <v>1000</v>
      </c>
    </row>
    <row r="986" spans="1:3" x14ac:dyDescent="0.25">
      <c r="A986" s="1" t="s">
        <v>69</v>
      </c>
      <c r="B986" s="74">
        <v>46224</v>
      </c>
      <c r="C986" s="75">
        <v>1000</v>
      </c>
    </row>
    <row r="987" spans="1:3" x14ac:dyDescent="0.25">
      <c r="A987" s="1" t="s">
        <v>132</v>
      </c>
      <c r="B987" s="74">
        <v>46224</v>
      </c>
      <c r="C987" s="75">
        <v>1000</v>
      </c>
    </row>
    <row r="988" spans="1:3" x14ac:dyDescent="0.25">
      <c r="A988" s="1" t="s">
        <v>1096</v>
      </c>
      <c r="B988" s="74">
        <v>46224</v>
      </c>
      <c r="C988" s="75">
        <v>6000</v>
      </c>
    </row>
    <row r="989" spans="1:3" x14ac:dyDescent="0.25">
      <c r="A989" s="1" t="s">
        <v>325</v>
      </c>
      <c r="B989" s="74">
        <v>46224</v>
      </c>
      <c r="C989" s="75">
        <v>645</v>
      </c>
    </row>
    <row r="990" spans="1:3" x14ac:dyDescent="0.25">
      <c r="A990" s="1" t="s">
        <v>1259</v>
      </c>
      <c r="B990" s="74">
        <v>46224</v>
      </c>
      <c r="C990" s="75">
        <v>1000</v>
      </c>
    </row>
    <row r="991" spans="1:3" x14ac:dyDescent="0.25">
      <c r="A991" s="1" t="s">
        <v>346</v>
      </c>
      <c r="B991" s="74">
        <v>46224</v>
      </c>
      <c r="C991" s="75">
        <v>1000</v>
      </c>
    </row>
    <row r="992" spans="1:3" x14ac:dyDescent="0.25">
      <c r="A992" s="1" t="s">
        <v>1011</v>
      </c>
      <c r="B992" s="74">
        <v>46224</v>
      </c>
      <c r="C992" s="75">
        <v>1000</v>
      </c>
    </row>
    <row r="993" spans="1:3" x14ac:dyDescent="0.25">
      <c r="A993" s="1" t="s">
        <v>376</v>
      </c>
      <c r="B993" s="74">
        <v>46224</v>
      </c>
      <c r="C993" s="75">
        <v>7000</v>
      </c>
    </row>
    <row r="994" spans="1:3" x14ac:dyDescent="0.25">
      <c r="A994" s="1" t="s">
        <v>1000</v>
      </c>
      <c r="B994" s="74">
        <v>46224</v>
      </c>
      <c r="C994" s="75">
        <v>1000</v>
      </c>
    </row>
    <row r="995" spans="1:3" x14ac:dyDescent="0.25">
      <c r="A995" s="1" t="s">
        <v>568</v>
      </c>
      <c r="B995" s="74">
        <v>46224</v>
      </c>
      <c r="C995" s="75">
        <v>3000</v>
      </c>
    </row>
    <row r="996" spans="1:3" x14ac:dyDescent="0.25">
      <c r="A996" s="1" t="s">
        <v>1339</v>
      </c>
      <c r="B996" s="74">
        <v>46224</v>
      </c>
      <c r="C996" s="75">
        <v>5000</v>
      </c>
    </row>
    <row r="997" spans="1:3" x14ac:dyDescent="0.25">
      <c r="A997" s="1" t="s">
        <v>645</v>
      </c>
      <c r="B997" s="74">
        <v>46224</v>
      </c>
      <c r="C997" s="75">
        <v>27</v>
      </c>
    </row>
    <row r="998" spans="1:3" x14ac:dyDescent="0.25">
      <c r="A998" s="1" t="s">
        <v>164</v>
      </c>
      <c r="B998" s="74">
        <v>46224</v>
      </c>
      <c r="C998" s="75">
        <v>771</v>
      </c>
    </row>
    <row r="999" spans="1:3" x14ac:dyDescent="0.25">
      <c r="A999" s="1" t="s">
        <v>1073</v>
      </c>
      <c r="B999" s="74">
        <v>46224</v>
      </c>
      <c r="C999" s="75">
        <v>1000</v>
      </c>
    </row>
    <row r="1000" spans="1:3" x14ac:dyDescent="0.25">
      <c r="A1000" s="1" t="s">
        <v>617</v>
      </c>
      <c r="B1000" s="74">
        <v>46224</v>
      </c>
      <c r="C1000" s="75">
        <v>20000</v>
      </c>
    </row>
    <row r="1001" spans="1:3" x14ac:dyDescent="0.25">
      <c r="A1001" s="1" t="s">
        <v>1310</v>
      </c>
      <c r="B1001" s="74">
        <v>46224</v>
      </c>
      <c r="C1001" s="75">
        <v>1000</v>
      </c>
    </row>
    <row r="1002" spans="1:3" x14ac:dyDescent="0.25">
      <c r="A1002" s="1" t="s">
        <v>879</v>
      </c>
      <c r="B1002" s="74">
        <v>46224</v>
      </c>
      <c r="C1002" s="75">
        <v>1000</v>
      </c>
    </row>
    <row r="1003" spans="1:3" x14ac:dyDescent="0.25">
      <c r="A1003" s="1" t="s">
        <v>1250</v>
      </c>
      <c r="B1003" s="74">
        <v>46224</v>
      </c>
      <c r="C1003" s="75">
        <v>1000</v>
      </c>
    </row>
    <row r="1004" spans="1:3" x14ac:dyDescent="0.25">
      <c r="A1004" s="1" t="s">
        <v>369</v>
      </c>
      <c r="B1004" s="74">
        <v>46224</v>
      </c>
      <c r="C1004" s="75">
        <v>3000</v>
      </c>
    </row>
    <row r="1005" spans="1:3" x14ac:dyDescent="0.25">
      <c r="A1005" s="1" t="s">
        <v>1125</v>
      </c>
      <c r="B1005" s="74">
        <v>46224</v>
      </c>
      <c r="C1005" s="75">
        <v>7000</v>
      </c>
    </row>
    <row r="1006" spans="1:3" x14ac:dyDescent="0.25">
      <c r="A1006" s="1" t="s">
        <v>1278</v>
      </c>
      <c r="B1006" s="74">
        <v>46224</v>
      </c>
      <c r="C1006" s="75">
        <v>1000</v>
      </c>
    </row>
    <row r="1007" spans="1:3" x14ac:dyDescent="0.25">
      <c r="A1007" s="1" t="s">
        <v>347</v>
      </c>
      <c r="B1007" s="74">
        <v>46224</v>
      </c>
      <c r="C1007" s="75">
        <v>10000</v>
      </c>
    </row>
    <row r="1008" spans="1:3" x14ac:dyDescent="0.25">
      <c r="A1008" s="1" t="s">
        <v>1168</v>
      </c>
      <c r="B1008" s="74">
        <v>46224</v>
      </c>
      <c r="C1008" s="75">
        <v>1000</v>
      </c>
    </row>
    <row r="1009" spans="1:3" x14ac:dyDescent="0.25">
      <c r="A1009" s="1" t="s">
        <v>660</v>
      </c>
      <c r="B1009" s="74">
        <v>46224</v>
      </c>
      <c r="C1009" s="75">
        <v>5000</v>
      </c>
    </row>
    <row r="1010" spans="1:3" x14ac:dyDescent="0.25">
      <c r="A1010" s="1" t="s">
        <v>910</v>
      </c>
      <c r="B1010" s="74">
        <v>46224</v>
      </c>
      <c r="C1010" s="75">
        <v>2000</v>
      </c>
    </row>
    <row r="1011" spans="1:3" x14ac:dyDescent="0.25">
      <c r="A1011" s="1" t="s">
        <v>852</v>
      </c>
      <c r="B1011" s="74">
        <v>46224</v>
      </c>
      <c r="C1011" s="75">
        <v>1000</v>
      </c>
    </row>
    <row r="1012" spans="1:3" x14ac:dyDescent="0.25">
      <c r="A1012" s="1" t="s">
        <v>1202</v>
      </c>
      <c r="B1012" s="74">
        <v>46224</v>
      </c>
      <c r="C1012" s="75">
        <v>2000</v>
      </c>
    </row>
    <row r="1013" spans="1:3" x14ac:dyDescent="0.25">
      <c r="A1013" s="1" t="s">
        <v>1229</v>
      </c>
      <c r="B1013" s="74">
        <v>46225</v>
      </c>
      <c r="C1013" s="75">
        <v>10000</v>
      </c>
    </row>
    <row r="1014" spans="1:3" x14ac:dyDescent="0.25">
      <c r="A1014" s="1" t="s">
        <v>1051</v>
      </c>
      <c r="B1014" s="74">
        <v>46225</v>
      </c>
      <c r="C1014" s="75">
        <v>10000</v>
      </c>
    </row>
    <row r="1015" spans="1:3" x14ac:dyDescent="0.25">
      <c r="A1015" s="1" t="s">
        <v>877</v>
      </c>
      <c r="B1015" s="74">
        <v>46225</v>
      </c>
      <c r="C1015" s="75">
        <v>1000</v>
      </c>
    </row>
    <row r="1016" spans="1:3" x14ac:dyDescent="0.25">
      <c r="A1016" s="1" t="s">
        <v>728</v>
      </c>
      <c r="B1016" s="74">
        <v>46225</v>
      </c>
      <c r="C1016" s="75">
        <v>12000</v>
      </c>
    </row>
    <row r="1017" spans="1:3" x14ac:dyDescent="0.25">
      <c r="A1017" s="1" t="s">
        <v>455</v>
      </c>
      <c r="B1017" s="74">
        <v>46225</v>
      </c>
      <c r="C1017" s="75">
        <v>2000</v>
      </c>
    </row>
    <row r="1018" spans="1:3" x14ac:dyDescent="0.25">
      <c r="A1018" s="1" t="s">
        <v>114</v>
      </c>
      <c r="B1018" s="74">
        <v>46225</v>
      </c>
      <c r="C1018" s="75">
        <v>40000</v>
      </c>
    </row>
    <row r="1019" spans="1:3" x14ac:dyDescent="0.25">
      <c r="A1019" s="1" t="s">
        <v>934</v>
      </c>
      <c r="B1019" s="74">
        <v>46225</v>
      </c>
      <c r="C1019" s="75">
        <v>1000</v>
      </c>
    </row>
    <row r="1020" spans="1:3" x14ac:dyDescent="0.25">
      <c r="A1020" s="1" t="s">
        <v>65</v>
      </c>
      <c r="B1020" s="74">
        <v>46225</v>
      </c>
      <c r="C1020" s="75">
        <v>2000</v>
      </c>
    </row>
    <row r="1021" spans="1:3" x14ac:dyDescent="0.25">
      <c r="A1021" s="1" t="s">
        <v>1208</v>
      </c>
      <c r="B1021" s="74">
        <v>46225</v>
      </c>
      <c r="C1021" s="75">
        <v>10000</v>
      </c>
    </row>
    <row r="1022" spans="1:3" x14ac:dyDescent="0.25">
      <c r="A1022" s="1" t="s">
        <v>954</v>
      </c>
      <c r="B1022" s="74">
        <v>46225</v>
      </c>
      <c r="C1022" s="75">
        <v>4500</v>
      </c>
    </row>
    <row r="1023" spans="1:3" x14ac:dyDescent="0.25">
      <c r="A1023" s="1" t="s">
        <v>679</v>
      </c>
      <c r="B1023" s="74">
        <v>46225</v>
      </c>
      <c r="C1023" s="75">
        <v>3129</v>
      </c>
    </row>
    <row r="1024" spans="1:3" x14ac:dyDescent="0.25">
      <c r="A1024" s="1" t="s">
        <v>1039</v>
      </c>
      <c r="B1024" s="74">
        <v>46225</v>
      </c>
      <c r="C1024" s="75">
        <v>1000</v>
      </c>
    </row>
    <row r="1025" spans="1:3" x14ac:dyDescent="0.25">
      <c r="A1025" s="1" t="s">
        <v>1113</v>
      </c>
      <c r="B1025" s="74">
        <v>46225</v>
      </c>
      <c r="C1025" s="75">
        <v>1000</v>
      </c>
    </row>
    <row r="1026" spans="1:3" x14ac:dyDescent="0.25">
      <c r="A1026" s="1" t="s">
        <v>424</v>
      </c>
      <c r="B1026" s="74">
        <v>46225</v>
      </c>
      <c r="C1026" s="75">
        <v>2500</v>
      </c>
    </row>
    <row r="1027" spans="1:3" x14ac:dyDescent="0.25">
      <c r="A1027" s="1" t="s">
        <v>808</v>
      </c>
      <c r="B1027" s="74">
        <v>46225</v>
      </c>
      <c r="C1027" s="75">
        <v>42000</v>
      </c>
    </row>
    <row r="1028" spans="1:3" x14ac:dyDescent="0.25">
      <c r="A1028" s="1" t="s">
        <v>275</v>
      </c>
      <c r="B1028" s="74">
        <v>46225</v>
      </c>
      <c r="C1028" s="75">
        <v>18000</v>
      </c>
    </row>
    <row r="1029" spans="1:3" x14ac:dyDescent="0.25">
      <c r="A1029" s="1" t="s">
        <v>988</v>
      </c>
      <c r="B1029" s="74">
        <v>46225</v>
      </c>
      <c r="C1029" s="75">
        <v>6000</v>
      </c>
    </row>
    <row r="1030" spans="1:3" x14ac:dyDescent="0.25">
      <c r="A1030" s="1" t="s">
        <v>372</v>
      </c>
      <c r="B1030" s="74">
        <v>46225</v>
      </c>
      <c r="C1030" s="75">
        <v>10000</v>
      </c>
    </row>
    <row r="1031" spans="1:3" x14ac:dyDescent="0.25">
      <c r="A1031" s="1" t="s">
        <v>60</v>
      </c>
      <c r="B1031" s="74">
        <v>46225</v>
      </c>
      <c r="C1031" s="75">
        <v>605</v>
      </c>
    </row>
    <row r="1032" spans="1:3" x14ac:dyDescent="0.25">
      <c r="A1032" s="1" t="s">
        <v>318</v>
      </c>
      <c r="B1032" s="74">
        <v>46225</v>
      </c>
      <c r="C1032" s="75">
        <v>1000</v>
      </c>
    </row>
    <row r="1033" spans="1:3" x14ac:dyDescent="0.25">
      <c r="A1033" s="1" t="s">
        <v>884</v>
      </c>
      <c r="B1033" s="74">
        <v>46225</v>
      </c>
      <c r="C1033" s="75">
        <v>1000</v>
      </c>
    </row>
    <row r="1034" spans="1:3" x14ac:dyDescent="0.25">
      <c r="A1034" s="1" t="s">
        <v>62</v>
      </c>
      <c r="B1034" s="74">
        <v>46225</v>
      </c>
      <c r="C1034" s="75">
        <v>1000</v>
      </c>
    </row>
    <row r="1035" spans="1:3" x14ac:dyDescent="0.25">
      <c r="A1035" s="1" t="s">
        <v>307</v>
      </c>
      <c r="B1035" s="74">
        <v>46225</v>
      </c>
      <c r="C1035" s="75">
        <v>1000</v>
      </c>
    </row>
    <row r="1036" spans="1:3" x14ac:dyDescent="0.25">
      <c r="A1036" s="1" t="s">
        <v>1130</v>
      </c>
      <c r="B1036" s="74">
        <v>46225</v>
      </c>
      <c r="C1036" s="75">
        <v>4000</v>
      </c>
    </row>
    <row r="1037" spans="1:3" x14ac:dyDescent="0.25">
      <c r="A1037" s="1" t="s">
        <v>576</v>
      </c>
      <c r="B1037" s="74">
        <v>46225</v>
      </c>
      <c r="C1037" s="75">
        <v>5000</v>
      </c>
    </row>
    <row r="1038" spans="1:3" x14ac:dyDescent="0.25">
      <c r="A1038" s="1" t="s">
        <v>489</v>
      </c>
      <c r="B1038" s="74">
        <v>46225</v>
      </c>
      <c r="C1038" s="75">
        <v>1000</v>
      </c>
    </row>
    <row r="1039" spans="1:3" x14ac:dyDescent="0.25">
      <c r="A1039" s="1" t="s">
        <v>324</v>
      </c>
      <c r="B1039" s="74">
        <v>46225</v>
      </c>
      <c r="C1039" s="75">
        <v>1000</v>
      </c>
    </row>
    <row r="1040" spans="1:3" x14ac:dyDescent="0.25">
      <c r="A1040" s="1" t="s">
        <v>1144</v>
      </c>
      <c r="B1040" s="74">
        <v>46225</v>
      </c>
      <c r="C1040" s="75">
        <v>40000</v>
      </c>
    </row>
    <row r="1041" spans="1:3" x14ac:dyDescent="0.25">
      <c r="A1041" s="1" t="s">
        <v>1215</v>
      </c>
      <c r="B1041" s="74">
        <v>46225</v>
      </c>
      <c r="C1041" s="75">
        <v>477</v>
      </c>
    </row>
    <row r="1042" spans="1:3" x14ac:dyDescent="0.25">
      <c r="A1042" s="1" t="s">
        <v>516</v>
      </c>
      <c r="B1042" s="74">
        <v>46225</v>
      </c>
      <c r="C1042" s="75">
        <v>2000</v>
      </c>
    </row>
    <row r="1043" spans="1:3" x14ac:dyDescent="0.25">
      <c r="A1043" s="1" t="s">
        <v>1234</v>
      </c>
      <c r="B1043" s="74">
        <v>46225</v>
      </c>
      <c r="C1043" s="75">
        <v>1000</v>
      </c>
    </row>
    <row r="1044" spans="1:3" x14ac:dyDescent="0.25">
      <c r="A1044" s="1" t="s">
        <v>373</v>
      </c>
      <c r="B1044" s="74">
        <v>46225</v>
      </c>
      <c r="C1044" s="75">
        <v>10000</v>
      </c>
    </row>
    <row r="1045" spans="1:3" x14ac:dyDescent="0.25">
      <c r="A1045" s="1" t="s">
        <v>255</v>
      </c>
      <c r="B1045" s="74">
        <v>46225</v>
      </c>
      <c r="C1045" s="75">
        <v>1000</v>
      </c>
    </row>
    <row r="1046" spans="1:3" x14ac:dyDescent="0.25">
      <c r="A1046" s="1" t="s">
        <v>1236</v>
      </c>
      <c r="B1046" s="74">
        <v>46225</v>
      </c>
      <c r="C1046" s="75">
        <v>1000</v>
      </c>
    </row>
    <row r="1047" spans="1:3" x14ac:dyDescent="0.25">
      <c r="A1047" s="1" t="s">
        <v>1225</v>
      </c>
      <c r="B1047" s="74">
        <v>46225</v>
      </c>
      <c r="C1047" s="75">
        <v>40000</v>
      </c>
    </row>
    <row r="1048" spans="1:3" x14ac:dyDescent="0.25">
      <c r="A1048" s="1" t="s">
        <v>590</v>
      </c>
      <c r="B1048" s="74">
        <v>46225</v>
      </c>
      <c r="C1048" s="75">
        <v>2000</v>
      </c>
    </row>
    <row r="1049" spans="1:3" x14ac:dyDescent="0.25">
      <c r="A1049" s="1" t="s">
        <v>712</v>
      </c>
      <c r="B1049" s="74">
        <v>46225</v>
      </c>
      <c r="C1049" s="75">
        <v>1000</v>
      </c>
    </row>
    <row r="1050" spans="1:3" x14ac:dyDescent="0.25">
      <c r="A1050" s="1" t="s">
        <v>112</v>
      </c>
      <c r="B1050" s="74">
        <v>46225</v>
      </c>
      <c r="C1050" s="75">
        <v>2000</v>
      </c>
    </row>
    <row r="1051" spans="1:3" x14ac:dyDescent="0.25">
      <c r="A1051" s="1" t="s">
        <v>145</v>
      </c>
      <c r="B1051" s="74">
        <v>46225</v>
      </c>
      <c r="C1051" s="75">
        <v>50000</v>
      </c>
    </row>
    <row r="1052" spans="1:3" x14ac:dyDescent="0.25">
      <c r="A1052" s="1" t="s">
        <v>365</v>
      </c>
      <c r="B1052" s="74">
        <v>46225</v>
      </c>
      <c r="C1052" s="75">
        <v>1000</v>
      </c>
    </row>
    <row r="1053" spans="1:3" x14ac:dyDescent="0.25">
      <c r="A1053" s="1" t="s">
        <v>676</v>
      </c>
      <c r="B1053" s="74">
        <v>46225</v>
      </c>
      <c r="C1053" s="75">
        <v>21000</v>
      </c>
    </row>
    <row r="1054" spans="1:3" x14ac:dyDescent="0.25">
      <c r="A1054" s="1" t="s">
        <v>102</v>
      </c>
      <c r="B1054" s="74">
        <v>46225</v>
      </c>
      <c r="C1054" s="75">
        <v>1000</v>
      </c>
    </row>
    <row r="1055" spans="1:3" x14ac:dyDescent="0.25">
      <c r="A1055" s="1" t="s">
        <v>338</v>
      </c>
      <c r="B1055" s="74">
        <v>46225</v>
      </c>
      <c r="C1055" s="75">
        <v>5000</v>
      </c>
    </row>
    <row r="1056" spans="1:3" x14ac:dyDescent="0.25">
      <c r="A1056" s="1" t="s">
        <v>80</v>
      </c>
      <c r="B1056" s="74">
        <v>46225</v>
      </c>
      <c r="C1056" s="75">
        <v>1000</v>
      </c>
    </row>
    <row r="1057" spans="1:3" x14ac:dyDescent="0.25">
      <c r="A1057" s="1" t="s">
        <v>131</v>
      </c>
      <c r="B1057" s="74">
        <v>46225</v>
      </c>
      <c r="C1057" s="75">
        <v>1000</v>
      </c>
    </row>
    <row r="1058" spans="1:3" x14ac:dyDescent="0.25">
      <c r="A1058" s="1" t="s">
        <v>12</v>
      </c>
      <c r="B1058" s="74">
        <v>46226</v>
      </c>
      <c r="C1058" s="75">
        <v>1001</v>
      </c>
    </row>
    <row r="1059" spans="1:3" x14ac:dyDescent="0.25">
      <c r="A1059" s="1" t="s">
        <v>190</v>
      </c>
      <c r="B1059" s="74">
        <v>46226</v>
      </c>
      <c r="C1059" s="75">
        <v>2000</v>
      </c>
    </row>
    <row r="1060" spans="1:3" x14ac:dyDescent="0.25">
      <c r="A1060" s="1" t="s">
        <v>303</v>
      </c>
      <c r="B1060" s="74">
        <v>46226</v>
      </c>
      <c r="C1060" s="75">
        <v>1000</v>
      </c>
    </row>
    <row r="1061" spans="1:3" x14ac:dyDescent="0.25">
      <c r="A1061" s="1" t="s">
        <v>183</v>
      </c>
      <c r="B1061" s="74">
        <v>46226</v>
      </c>
      <c r="C1061" s="75">
        <v>50000</v>
      </c>
    </row>
    <row r="1062" spans="1:3" x14ac:dyDescent="0.25">
      <c r="A1062" s="1" t="s">
        <v>793</v>
      </c>
      <c r="B1062" s="74">
        <v>46226</v>
      </c>
      <c r="C1062" s="75">
        <v>20000</v>
      </c>
    </row>
    <row r="1063" spans="1:3" x14ac:dyDescent="0.25">
      <c r="A1063" s="1" t="s">
        <v>1128</v>
      </c>
      <c r="B1063" s="74">
        <v>46226</v>
      </c>
      <c r="C1063" s="75">
        <v>2500</v>
      </c>
    </row>
    <row r="1064" spans="1:3" x14ac:dyDescent="0.25">
      <c r="A1064" s="1" t="s">
        <v>1024</v>
      </c>
      <c r="B1064" s="74">
        <v>46226</v>
      </c>
      <c r="C1064" s="75">
        <v>1000</v>
      </c>
    </row>
    <row r="1065" spans="1:3" x14ac:dyDescent="0.25">
      <c r="A1065" s="1" t="s">
        <v>1227</v>
      </c>
      <c r="B1065" s="74">
        <v>46226</v>
      </c>
      <c r="C1065" s="75">
        <v>2000</v>
      </c>
    </row>
    <row r="1066" spans="1:3" x14ac:dyDescent="0.25">
      <c r="A1066" s="1" t="s">
        <v>612</v>
      </c>
      <c r="B1066" s="74">
        <v>46226</v>
      </c>
      <c r="C1066" s="75">
        <v>1000</v>
      </c>
    </row>
    <row r="1067" spans="1:3" x14ac:dyDescent="0.25">
      <c r="A1067" s="1" t="s">
        <v>259</v>
      </c>
      <c r="B1067" s="74">
        <v>46226</v>
      </c>
      <c r="C1067" s="75">
        <v>2000</v>
      </c>
    </row>
    <row r="1068" spans="1:3" x14ac:dyDescent="0.25">
      <c r="A1068" s="1" t="s">
        <v>615</v>
      </c>
      <c r="B1068" s="74">
        <v>46226</v>
      </c>
      <c r="C1068" s="75">
        <v>1000</v>
      </c>
    </row>
    <row r="1069" spans="1:3" x14ac:dyDescent="0.25">
      <c r="A1069" s="1" t="s">
        <v>363</v>
      </c>
      <c r="B1069" s="74">
        <v>46226</v>
      </c>
      <c r="C1069" s="75">
        <v>1000</v>
      </c>
    </row>
    <row r="1070" spans="1:3" x14ac:dyDescent="0.25">
      <c r="A1070" s="1" t="s">
        <v>1172</v>
      </c>
      <c r="B1070" s="74">
        <v>46226</v>
      </c>
      <c r="C1070" s="75">
        <v>1000</v>
      </c>
    </row>
    <row r="1071" spans="1:3" x14ac:dyDescent="0.25">
      <c r="A1071" s="1" t="s">
        <v>1143</v>
      </c>
      <c r="B1071" s="74">
        <v>46226</v>
      </c>
      <c r="C1071" s="75">
        <v>2000</v>
      </c>
    </row>
    <row r="1072" spans="1:3" x14ac:dyDescent="0.25">
      <c r="A1072" s="1" t="s">
        <v>465</v>
      </c>
      <c r="B1072" s="74">
        <v>46226</v>
      </c>
      <c r="C1072" s="75">
        <v>1000</v>
      </c>
    </row>
    <row r="1073" spans="1:3" x14ac:dyDescent="0.25">
      <c r="A1073" s="1" t="s">
        <v>67</v>
      </c>
      <c r="B1073" s="74">
        <v>46226</v>
      </c>
      <c r="C1073" s="75">
        <v>1000</v>
      </c>
    </row>
    <row r="1074" spans="1:3" x14ac:dyDescent="0.25">
      <c r="A1074" s="1" t="s">
        <v>973</v>
      </c>
      <c r="B1074" s="74">
        <v>46226</v>
      </c>
      <c r="C1074" s="75">
        <v>1000</v>
      </c>
    </row>
    <row r="1075" spans="1:3" x14ac:dyDescent="0.25">
      <c r="A1075" s="1" t="s">
        <v>194</v>
      </c>
      <c r="B1075" s="74">
        <v>46226</v>
      </c>
      <c r="C1075" s="75">
        <v>1000</v>
      </c>
    </row>
    <row r="1076" spans="1:3" x14ac:dyDescent="0.25">
      <c r="A1076" s="1" t="s">
        <v>917</v>
      </c>
      <c r="B1076" s="74">
        <v>46226</v>
      </c>
      <c r="C1076" s="75">
        <v>1000</v>
      </c>
    </row>
    <row r="1077" spans="1:3" x14ac:dyDescent="0.25">
      <c r="A1077" s="1" t="s">
        <v>982</v>
      </c>
      <c r="B1077" s="74">
        <v>46226</v>
      </c>
      <c r="C1077" s="75">
        <v>3000</v>
      </c>
    </row>
    <row r="1078" spans="1:3" x14ac:dyDescent="0.25">
      <c r="A1078" s="1" t="s">
        <v>746</v>
      </c>
      <c r="B1078" s="74">
        <v>46226</v>
      </c>
      <c r="C1078" s="75">
        <v>1000</v>
      </c>
    </row>
    <row r="1079" spans="1:3" x14ac:dyDescent="0.25">
      <c r="A1079" s="1" t="s">
        <v>351</v>
      </c>
      <c r="B1079" s="74">
        <v>46226</v>
      </c>
      <c r="C1079" s="75">
        <v>1000</v>
      </c>
    </row>
    <row r="1080" spans="1:3" x14ac:dyDescent="0.25">
      <c r="A1080" s="1" t="s">
        <v>29</v>
      </c>
      <c r="B1080" s="74">
        <v>46226</v>
      </c>
      <c r="C1080" s="75">
        <v>10000</v>
      </c>
    </row>
    <row r="1081" spans="1:3" x14ac:dyDescent="0.25">
      <c r="A1081" s="1" t="s">
        <v>1161</v>
      </c>
      <c r="B1081" s="74">
        <v>46226</v>
      </c>
      <c r="C1081" s="75">
        <v>5000</v>
      </c>
    </row>
    <row r="1082" spans="1:3" x14ac:dyDescent="0.25">
      <c r="A1082" s="1" t="s">
        <v>31</v>
      </c>
      <c r="B1082" s="74">
        <v>46226</v>
      </c>
      <c r="C1082" s="75">
        <v>1000</v>
      </c>
    </row>
    <row r="1083" spans="1:3" x14ac:dyDescent="0.25">
      <c r="A1083" s="1" t="s">
        <v>627</v>
      </c>
      <c r="B1083" s="74">
        <v>46226</v>
      </c>
      <c r="C1083" s="75">
        <v>1000</v>
      </c>
    </row>
    <row r="1084" spans="1:3" x14ac:dyDescent="0.25">
      <c r="A1084" s="1" t="s">
        <v>256</v>
      </c>
      <c r="B1084" s="74">
        <v>46226</v>
      </c>
      <c r="C1084" s="75">
        <v>1000</v>
      </c>
    </row>
    <row r="1085" spans="1:3" x14ac:dyDescent="0.25">
      <c r="A1085" s="1" t="s">
        <v>966</v>
      </c>
      <c r="B1085" s="74">
        <v>46226</v>
      </c>
      <c r="C1085" s="75">
        <v>1729</v>
      </c>
    </row>
    <row r="1086" spans="1:3" x14ac:dyDescent="0.25">
      <c r="A1086" s="1" t="s">
        <v>531</v>
      </c>
      <c r="B1086" s="74">
        <v>46226</v>
      </c>
      <c r="C1086" s="75">
        <v>2000</v>
      </c>
    </row>
    <row r="1087" spans="1:3" x14ac:dyDescent="0.25">
      <c r="A1087" s="1" t="s">
        <v>795</v>
      </c>
      <c r="B1087" s="74">
        <v>46226</v>
      </c>
      <c r="C1087" s="75">
        <v>1000</v>
      </c>
    </row>
    <row r="1088" spans="1:3" x14ac:dyDescent="0.25">
      <c r="A1088" s="1" t="s">
        <v>314</v>
      </c>
      <c r="B1088" s="74">
        <v>46226</v>
      </c>
      <c r="C1088" s="75">
        <v>1000</v>
      </c>
    </row>
    <row r="1089" spans="1:3" x14ac:dyDescent="0.25">
      <c r="A1089" s="1" t="s">
        <v>286</v>
      </c>
      <c r="B1089" s="74">
        <v>46226</v>
      </c>
      <c r="C1089" s="75">
        <v>24000</v>
      </c>
    </row>
    <row r="1090" spans="1:3" x14ac:dyDescent="0.25">
      <c r="A1090" s="1" t="s">
        <v>300</v>
      </c>
      <c r="B1090" s="74">
        <v>46226</v>
      </c>
      <c r="C1090" s="75">
        <v>17000</v>
      </c>
    </row>
    <row r="1091" spans="1:3" x14ac:dyDescent="0.25">
      <c r="A1091" s="1" t="s">
        <v>1001</v>
      </c>
      <c r="B1091" s="74">
        <v>46226</v>
      </c>
      <c r="C1091" s="75">
        <v>3800</v>
      </c>
    </row>
    <row r="1092" spans="1:3" x14ac:dyDescent="0.25">
      <c r="A1092" s="1" t="s">
        <v>166</v>
      </c>
      <c r="B1092" s="74">
        <v>46226</v>
      </c>
      <c r="C1092" s="75">
        <v>1000</v>
      </c>
    </row>
    <row r="1093" spans="1:3" x14ac:dyDescent="0.25">
      <c r="A1093" s="1" t="s">
        <v>108</v>
      </c>
      <c r="B1093" s="74">
        <v>46226</v>
      </c>
      <c r="C1093" s="75">
        <v>2000</v>
      </c>
    </row>
    <row r="1094" spans="1:3" x14ac:dyDescent="0.25">
      <c r="A1094" s="1" t="s">
        <v>682</v>
      </c>
      <c r="B1094" s="74">
        <v>46226</v>
      </c>
      <c r="C1094" s="75">
        <v>1000</v>
      </c>
    </row>
    <row r="1095" spans="1:3" x14ac:dyDescent="0.25">
      <c r="A1095" s="1" t="s">
        <v>1</v>
      </c>
      <c r="B1095" s="74">
        <v>46226</v>
      </c>
      <c r="C1095" s="75">
        <v>1000</v>
      </c>
    </row>
    <row r="1096" spans="1:3" x14ac:dyDescent="0.25">
      <c r="A1096" s="1" t="s">
        <v>344</v>
      </c>
      <c r="B1096" s="74">
        <v>46226</v>
      </c>
      <c r="C1096" s="75">
        <v>1000</v>
      </c>
    </row>
    <row r="1097" spans="1:3" x14ac:dyDescent="0.25">
      <c r="A1097" s="1" t="s">
        <v>429</v>
      </c>
      <c r="B1097" s="74">
        <v>46226</v>
      </c>
      <c r="C1097" s="75">
        <v>5000</v>
      </c>
    </row>
    <row r="1098" spans="1:3" x14ac:dyDescent="0.25">
      <c r="A1098" s="1" t="s">
        <v>123</v>
      </c>
      <c r="B1098" s="74">
        <v>46226</v>
      </c>
      <c r="C1098" s="75">
        <v>1000</v>
      </c>
    </row>
    <row r="1099" spans="1:3" x14ac:dyDescent="0.25">
      <c r="A1099" s="1" t="s">
        <v>875</v>
      </c>
      <c r="B1099" s="74">
        <v>46226</v>
      </c>
      <c r="C1099" s="75">
        <v>1000</v>
      </c>
    </row>
    <row r="1100" spans="1:3" x14ac:dyDescent="0.25">
      <c r="A1100" s="1" t="s">
        <v>28</v>
      </c>
      <c r="B1100" s="74">
        <v>46226</v>
      </c>
      <c r="C1100" s="75">
        <v>1000</v>
      </c>
    </row>
    <row r="1101" spans="1:3" x14ac:dyDescent="0.25">
      <c r="A1101" s="1" t="s">
        <v>319</v>
      </c>
      <c r="B1101" s="74">
        <v>46226</v>
      </c>
      <c r="C1101" s="75">
        <v>1000</v>
      </c>
    </row>
    <row r="1102" spans="1:3" x14ac:dyDescent="0.25">
      <c r="A1102" s="1" t="s">
        <v>257</v>
      </c>
      <c r="B1102" s="74">
        <v>46226</v>
      </c>
      <c r="C1102" s="75">
        <v>1000</v>
      </c>
    </row>
    <row r="1103" spans="1:3" x14ac:dyDescent="0.25">
      <c r="A1103" s="1" t="s">
        <v>1163</v>
      </c>
      <c r="B1103" s="74">
        <v>46226</v>
      </c>
      <c r="C1103" s="75">
        <v>1000</v>
      </c>
    </row>
    <row r="1104" spans="1:3" x14ac:dyDescent="0.25">
      <c r="A1104" s="1" t="s">
        <v>812</v>
      </c>
      <c r="B1104" s="74">
        <v>46227</v>
      </c>
      <c r="C1104" s="75">
        <v>1000</v>
      </c>
    </row>
    <row r="1105" spans="1:3" x14ac:dyDescent="0.25">
      <c r="A1105" s="1" t="s">
        <v>426</v>
      </c>
      <c r="B1105" s="74">
        <v>46227</v>
      </c>
      <c r="C1105" s="75">
        <v>35000</v>
      </c>
    </row>
    <row r="1106" spans="1:3" x14ac:dyDescent="0.25">
      <c r="A1106" s="1" t="s">
        <v>922</v>
      </c>
      <c r="B1106" s="74">
        <v>46227</v>
      </c>
      <c r="C1106" s="75">
        <v>3000</v>
      </c>
    </row>
    <row r="1107" spans="1:3" x14ac:dyDescent="0.25">
      <c r="A1107" s="1" t="s">
        <v>1142</v>
      </c>
      <c r="B1107" s="74">
        <v>46227</v>
      </c>
      <c r="C1107" s="75">
        <v>1000</v>
      </c>
    </row>
    <row r="1108" spans="1:3" x14ac:dyDescent="0.25">
      <c r="A1108" s="1" t="s">
        <v>423</v>
      </c>
      <c r="B1108" s="74">
        <v>46227</v>
      </c>
      <c r="C1108" s="75">
        <v>1000</v>
      </c>
    </row>
    <row r="1109" spans="1:3" x14ac:dyDescent="0.25">
      <c r="A1109" s="1" t="s">
        <v>1232</v>
      </c>
      <c r="B1109" s="74">
        <v>46227</v>
      </c>
      <c r="C1109" s="75">
        <v>3000</v>
      </c>
    </row>
    <row r="1110" spans="1:3" x14ac:dyDescent="0.25">
      <c r="A1110" s="1" t="s">
        <v>370</v>
      </c>
      <c r="B1110" s="74">
        <v>46227</v>
      </c>
      <c r="C1110" s="75">
        <v>1000</v>
      </c>
    </row>
    <row r="1111" spans="1:3" x14ac:dyDescent="0.25">
      <c r="A1111" s="1" t="s">
        <v>1089</v>
      </c>
      <c r="B1111" s="74">
        <v>46227</v>
      </c>
      <c r="C1111" s="75">
        <v>1000</v>
      </c>
    </row>
    <row r="1112" spans="1:3" x14ac:dyDescent="0.25">
      <c r="A1112" s="1" t="s">
        <v>817</v>
      </c>
      <c r="B1112" s="74">
        <v>46227</v>
      </c>
      <c r="C1112" s="75">
        <v>3000</v>
      </c>
    </row>
    <row r="1113" spans="1:3" x14ac:dyDescent="0.25">
      <c r="A1113" s="1" t="s">
        <v>9</v>
      </c>
      <c r="B1113" s="74">
        <v>46227</v>
      </c>
      <c r="C1113" s="75">
        <v>500</v>
      </c>
    </row>
    <row r="1114" spans="1:3" x14ac:dyDescent="0.25">
      <c r="A1114" s="1" t="s">
        <v>984</v>
      </c>
      <c r="B1114" s="74">
        <v>46227</v>
      </c>
      <c r="C1114" s="75">
        <v>1000</v>
      </c>
    </row>
    <row r="1115" spans="1:3" x14ac:dyDescent="0.25">
      <c r="A1115" s="1" t="s">
        <v>271</v>
      </c>
      <c r="B1115" s="74">
        <v>46227</v>
      </c>
      <c r="C1115" s="75">
        <v>2000</v>
      </c>
    </row>
    <row r="1116" spans="1:3" x14ac:dyDescent="0.25">
      <c r="A1116" s="1" t="s">
        <v>532</v>
      </c>
      <c r="B1116" s="74">
        <v>46227</v>
      </c>
      <c r="C1116" s="75">
        <v>1000</v>
      </c>
    </row>
    <row r="1117" spans="1:3" x14ac:dyDescent="0.25">
      <c r="A1117" s="1" t="s">
        <v>582</v>
      </c>
      <c r="B1117" s="74">
        <v>46227</v>
      </c>
      <c r="C1117" s="75">
        <v>2000</v>
      </c>
    </row>
    <row r="1118" spans="1:3" x14ac:dyDescent="0.25">
      <c r="A1118" s="1" t="s">
        <v>830</v>
      </c>
      <c r="B1118" s="74">
        <v>46227</v>
      </c>
      <c r="C1118" s="75">
        <v>6000</v>
      </c>
    </row>
    <row r="1119" spans="1:3" x14ac:dyDescent="0.25">
      <c r="A1119" s="1" t="s">
        <v>517</v>
      </c>
      <c r="B1119" s="74">
        <v>46227</v>
      </c>
      <c r="C1119" s="75">
        <v>6000</v>
      </c>
    </row>
    <row r="1120" spans="1:3" x14ac:dyDescent="0.25">
      <c r="A1120" s="1" t="s">
        <v>878</v>
      </c>
      <c r="B1120" s="74">
        <v>46227</v>
      </c>
      <c r="C1120" s="75">
        <v>1000</v>
      </c>
    </row>
    <row r="1121" spans="1:3" x14ac:dyDescent="0.25">
      <c r="A1121" s="1" t="s">
        <v>1380</v>
      </c>
      <c r="B1121" s="74">
        <v>46227</v>
      </c>
      <c r="C1121" s="75">
        <v>5000</v>
      </c>
    </row>
    <row r="1122" spans="1:3" x14ac:dyDescent="0.25">
      <c r="A1122" s="1" t="s">
        <v>1354</v>
      </c>
      <c r="B1122" s="74">
        <v>46227</v>
      </c>
      <c r="C1122" s="75">
        <v>1000</v>
      </c>
    </row>
    <row r="1123" spans="1:3" x14ac:dyDescent="0.25">
      <c r="A1123" s="1" t="s">
        <v>439</v>
      </c>
      <c r="B1123" s="74">
        <v>46227</v>
      </c>
      <c r="C1123" s="75">
        <v>2000</v>
      </c>
    </row>
    <row r="1124" spans="1:3" x14ac:dyDescent="0.25">
      <c r="A1124" s="1" t="s">
        <v>816</v>
      </c>
      <c r="B1124" s="74">
        <v>46227</v>
      </c>
      <c r="C1124" s="75">
        <v>1000</v>
      </c>
    </row>
    <row r="1125" spans="1:3" x14ac:dyDescent="0.25">
      <c r="A1125" s="1" t="s">
        <v>1054</v>
      </c>
      <c r="B1125" s="74">
        <v>46227</v>
      </c>
      <c r="C1125" s="75">
        <v>500</v>
      </c>
    </row>
    <row r="1126" spans="1:3" x14ac:dyDescent="0.25">
      <c r="A1126" s="1" t="s">
        <v>368</v>
      </c>
      <c r="B1126" s="74">
        <v>46227</v>
      </c>
      <c r="C1126" s="75">
        <v>1001</v>
      </c>
    </row>
    <row r="1127" spans="1:3" x14ac:dyDescent="0.25">
      <c r="A1127" s="1" t="s">
        <v>1106</v>
      </c>
      <c r="B1127" s="74">
        <v>46227</v>
      </c>
      <c r="C1127" s="75">
        <v>1000</v>
      </c>
    </row>
    <row r="1128" spans="1:3" x14ac:dyDescent="0.25">
      <c r="A1128" s="1" t="s">
        <v>819</v>
      </c>
      <c r="B1128" s="74">
        <v>46227</v>
      </c>
      <c r="C1128" s="75">
        <v>981</v>
      </c>
    </row>
    <row r="1129" spans="1:3" x14ac:dyDescent="0.25">
      <c r="A1129" s="1" t="s">
        <v>1237</v>
      </c>
      <c r="B1129" s="74">
        <v>46227</v>
      </c>
      <c r="C1129" s="75">
        <v>10000</v>
      </c>
    </row>
    <row r="1130" spans="1:3" x14ac:dyDescent="0.25">
      <c r="A1130" s="1" t="s">
        <v>182</v>
      </c>
      <c r="B1130" s="74">
        <v>46227</v>
      </c>
      <c r="C1130" s="75">
        <v>5000</v>
      </c>
    </row>
    <row r="1131" spans="1:3" x14ac:dyDescent="0.25">
      <c r="A1131" s="1" t="s">
        <v>1222</v>
      </c>
      <c r="B1131" s="74">
        <v>46227</v>
      </c>
      <c r="C1131" s="75">
        <v>7000</v>
      </c>
    </row>
    <row r="1132" spans="1:3" x14ac:dyDescent="0.25">
      <c r="A1132" s="1" t="s">
        <v>430</v>
      </c>
      <c r="B1132" s="74">
        <v>46227</v>
      </c>
      <c r="C1132" s="75">
        <v>4000</v>
      </c>
    </row>
    <row r="1133" spans="1:3" x14ac:dyDescent="0.25">
      <c r="A1133" s="1" t="s">
        <v>715</v>
      </c>
      <c r="B1133" s="74">
        <v>46227</v>
      </c>
      <c r="C1133" s="75">
        <v>2000</v>
      </c>
    </row>
    <row r="1134" spans="1:3" x14ac:dyDescent="0.25">
      <c r="A1134" s="1" t="s">
        <v>1335</v>
      </c>
      <c r="B1134" s="74">
        <v>46227</v>
      </c>
      <c r="C1134" s="75">
        <v>3300</v>
      </c>
    </row>
    <row r="1135" spans="1:3" x14ac:dyDescent="0.25">
      <c r="A1135" s="1" t="s">
        <v>892</v>
      </c>
      <c r="B1135" s="74">
        <v>46227</v>
      </c>
      <c r="C1135" s="75">
        <v>2000</v>
      </c>
    </row>
    <row r="1136" spans="1:3" x14ac:dyDescent="0.25">
      <c r="A1136" s="1" t="s">
        <v>963</v>
      </c>
      <c r="B1136" s="74">
        <v>46227</v>
      </c>
      <c r="C1136" s="75">
        <v>1000</v>
      </c>
    </row>
    <row r="1137" spans="1:3" x14ac:dyDescent="0.25">
      <c r="A1137" s="1" t="s">
        <v>976</v>
      </c>
      <c r="B1137" s="74">
        <v>46227</v>
      </c>
      <c r="C1137" s="75">
        <v>2000</v>
      </c>
    </row>
    <row r="1138" spans="1:3" x14ac:dyDescent="0.25">
      <c r="A1138" s="1" t="s">
        <v>487</v>
      </c>
      <c r="B1138" s="74">
        <v>46227</v>
      </c>
      <c r="C1138" s="75">
        <v>1000</v>
      </c>
    </row>
    <row r="1139" spans="1:3" x14ac:dyDescent="0.25">
      <c r="A1139" s="1" t="s">
        <v>670</v>
      </c>
      <c r="B1139" s="74">
        <v>46227</v>
      </c>
      <c r="C1139" s="75">
        <v>10000</v>
      </c>
    </row>
    <row r="1140" spans="1:3" x14ac:dyDescent="0.25">
      <c r="A1140" s="1" t="s">
        <v>960</v>
      </c>
      <c r="B1140" s="74">
        <v>46227</v>
      </c>
      <c r="C1140" s="75">
        <v>1500</v>
      </c>
    </row>
    <row r="1141" spans="1:3" x14ac:dyDescent="0.25">
      <c r="A1141" s="1" t="s">
        <v>266</v>
      </c>
      <c r="B1141" s="74">
        <v>46227</v>
      </c>
      <c r="C1141" s="75">
        <v>10000</v>
      </c>
    </row>
    <row r="1142" spans="1:3" x14ac:dyDescent="0.25">
      <c r="A1142" s="1" t="s">
        <v>99</v>
      </c>
      <c r="B1142" s="74">
        <v>46227</v>
      </c>
      <c r="C1142" s="75">
        <v>10000</v>
      </c>
    </row>
    <row r="1143" spans="1:3" x14ac:dyDescent="0.25">
      <c r="A1143" s="1" t="s">
        <v>694</v>
      </c>
      <c r="B1143" s="74">
        <v>46227</v>
      </c>
      <c r="C1143" s="75">
        <v>60000</v>
      </c>
    </row>
    <row r="1144" spans="1:3" x14ac:dyDescent="0.25">
      <c r="A1144" s="1" t="s">
        <v>463</v>
      </c>
      <c r="B1144" s="74">
        <v>46228</v>
      </c>
      <c r="C1144" s="75">
        <v>2000</v>
      </c>
    </row>
    <row r="1145" spans="1:3" x14ac:dyDescent="0.25">
      <c r="A1145" s="1" t="s">
        <v>785</v>
      </c>
      <c r="B1145" s="74">
        <v>46228</v>
      </c>
      <c r="C1145" s="75">
        <v>2000</v>
      </c>
    </row>
    <row r="1146" spans="1:3" x14ac:dyDescent="0.25">
      <c r="A1146" s="1" t="s">
        <v>674</v>
      </c>
      <c r="B1146" s="74">
        <v>46228</v>
      </c>
      <c r="C1146" s="75">
        <v>5000</v>
      </c>
    </row>
    <row r="1147" spans="1:3" x14ac:dyDescent="0.25">
      <c r="A1147" s="1" t="s">
        <v>782</v>
      </c>
      <c r="B1147" s="74">
        <v>46229</v>
      </c>
      <c r="C1147" s="75">
        <v>50000</v>
      </c>
    </row>
    <row r="1148" spans="1:3" x14ac:dyDescent="0.25">
      <c r="A1148" s="1" t="s">
        <v>779</v>
      </c>
      <c r="B1148" s="74">
        <v>46229</v>
      </c>
      <c r="C1148" s="75">
        <v>40000</v>
      </c>
    </row>
    <row r="1149" spans="1:3" x14ac:dyDescent="0.25">
      <c r="A1149" s="1" t="s">
        <v>273</v>
      </c>
      <c r="B1149" s="74">
        <v>46229</v>
      </c>
      <c r="C1149" s="75">
        <v>50000</v>
      </c>
    </row>
    <row r="1150" spans="1:3" x14ac:dyDescent="0.25">
      <c r="A1150" s="1" t="s">
        <v>91</v>
      </c>
      <c r="B1150" s="74">
        <v>46229</v>
      </c>
      <c r="C1150" s="75">
        <v>45000</v>
      </c>
    </row>
    <row r="1151" spans="1:3" x14ac:dyDescent="0.25">
      <c r="A1151" s="1" t="s">
        <v>713</v>
      </c>
      <c r="B1151" s="74">
        <v>46229</v>
      </c>
      <c r="C1151" s="75">
        <v>2000</v>
      </c>
    </row>
    <row r="1152" spans="1:3" x14ac:dyDescent="0.25">
      <c r="A1152" s="1" t="s">
        <v>862</v>
      </c>
      <c r="B1152" s="74">
        <v>46229</v>
      </c>
      <c r="C1152" s="75">
        <v>1000</v>
      </c>
    </row>
    <row r="1153" spans="1:3" x14ac:dyDescent="0.25">
      <c r="A1153" s="1" t="s">
        <v>1313</v>
      </c>
      <c r="B1153" s="74">
        <v>46229</v>
      </c>
      <c r="C1153" s="75">
        <v>1000</v>
      </c>
    </row>
    <row r="1154" spans="1:3" x14ac:dyDescent="0.25">
      <c r="A1154" s="1" t="s">
        <v>1314</v>
      </c>
      <c r="B1154" s="74">
        <v>46229</v>
      </c>
      <c r="C1154" s="75">
        <v>1000</v>
      </c>
    </row>
    <row r="1155" spans="1:3" x14ac:dyDescent="0.25">
      <c r="A1155" s="1" t="s">
        <v>86</v>
      </c>
      <c r="B1155" s="74">
        <v>46229</v>
      </c>
      <c r="C1155" s="75">
        <v>2000</v>
      </c>
    </row>
    <row r="1156" spans="1:3" x14ac:dyDescent="0.25">
      <c r="A1156" s="1" t="s">
        <v>1377</v>
      </c>
      <c r="B1156" s="74">
        <v>46229</v>
      </c>
      <c r="C1156" s="75">
        <v>25000</v>
      </c>
    </row>
    <row r="1157" spans="1:3" x14ac:dyDescent="0.25">
      <c r="A1157" s="1" t="s">
        <v>280</v>
      </c>
      <c r="B1157" s="74">
        <v>46229</v>
      </c>
      <c r="C1157" s="75">
        <v>40000</v>
      </c>
    </row>
    <row r="1158" spans="1:3" x14ac:dyDescent="0.25">
      <c r="A1158" s="1" t="s">
        <v>659</v>
      </c>
      <c r="B1158" s="74">
        <v>46230</v>
      </c>
      <c r="C1158" s="75">
        <v>1000</v>
      </c>
    </row>
    <row r="1159" spans="1:3" x14ac:dyDescent="0.25">
      <c r="A1159" s="1" t="s">
        <v>610</v>
      </c>
      <c r="B1159" s="74">
        <v>46230</v>
      </c>
      <c r="C1159" s="75">
        <v>1000</v>
      </c>
    </row>
    <row r="1160" spans="1:3" x14ac:dyDescent="0.25">
      <c r="A1160" s="1" t="s">
        <v>92</v>
      </c>
      <c r="B1160" s="74">
        <v>46230</v>
      </c>
      <c r="C1160" s="75">
        <v>1000</v>
      </c>
    </row>
    <row r="1161" spans="1:3" x14ac:dyDescent="0.25">
      <c r="A1161" s="1" t="s">
        <v>711</v>
      </c>
      <c r="B1161" s="74">
        <v>46230</v>
      </c>
      <c r="C1161" s="75">
        <v>5000</v>
      </c>
    </row>
    <row r="1162" spans="1:3" x14ac:dyDescent="0.25">
      <c r="A1162" s="1" t="s">
        <v>25</v>
      </c>
      <c r="B1162" s="74">
        <v>46230</v>
      </c>
      <c r="C1162" s="75">
        <v>1000</v>
      </c>
    </row>
    <row r="1163" spans="1:3" x14ac:dyDescent="0.25">
      <c r="A1163" s="1" t="s">
        <v>1010</v>
      </c>
      <c r="B1163" s="74">
        <v>46230</v>
      </c>
      <c r="C1163" s="75">
        <v>2000</v>
      </c>
    </row>
    <row r="1164" spans="1:3" x14ac:dyDescent="0.25">
      <c r="A1164" s="1" t="s">
        <v>881</v>
      </c>
      <c r="B1164" s="74">
        <v>46230</v>
      </c>
      <c r="C1164" s="75">
        <v>25000</v>
      </c>
    </row>
    <row r="1165" spans="1:3" x14ac:dyDescent="0.25">
      <c r="A1165" s="1" t="s">
        <v>994</v>
      </c>
      <c r="B1165" s="74">
        <v>46230</v>
      </c>
      <c r="C1165" s="75">
        <v>1000</v>
      </c>
    </row>
    <row r="1166" spans="1:3" x14ac:dyDescent="0.25">
      <c r="A1166" s="1" t="s">
        <v>741</v>
      </c>
      <c r="B1166" s="74">
        <v>46230</v>
      </c>
      <c r="C1166" s="75">
        <v>1000</v>
      </c>
    </row>
    <row r="1167" spans="1:3" x14ac:dyDescent="0.25">
      <c r="A1167" s="1" t="s">
        <v>625</v>
      </c>
      <c r="B1167" s="74">
        <v>46230</v>
      </c>
      <c r="C1167" s="75">
        <v>50000</v>
      </c>
    </row>
    <row r="1168" spans="1:3" x14ac:dyDescent="0.25">
      <c r="A1168" s="1" t="s">
        <v>888</v>
      </c>
      <c r="B1168" s="74">
        <v>46230</v>
      </c>
      <c r="C1168" s="75">
        <v>45000</v>
      </c>
    </row>
    <row r="1169" spans="1:3" x14ac:dyDescent="0.25">
      <c r="A1169" s="1" t="s">
        <v>242</v>
      </c>
      <c r="B1169" s="74">
        <v>46230</v>
      </c>
      <c r="C1169" s="75">
        <v>2304</v>
      </c>
    </row>
    <row r="1170" spans="1:3" x14ac:dyDescent="0.25">
      <c r="A1170" s="1" t="s">
        <v>1317</v>
      </c>
      <c r="B1170" s="74">
        <v>46230</v>
      </c>
      <c r="C1170" s="75">
        <v>30000</v>
      </c>
    </row>
    <row r="1171" spans="1:3" x14ac:dyDescent="0.25">
      <c r="A1171" s="1" t="s">
        <v>521</v>
      </c>
      <c r="B1171" s="74">
        <v>46230</v>
      </c>
      <c r="C1171" s="75">
        <v>1000</v>
      </c>
    </row>
    <row r="1172" spans="1:3" x14ac:dyDescent="0.25">
      <c r="A1172" s="1" t="s">
        <v>490</v>
      </c>
      <c r="B1172" s="74">
        <v>46230</v>
      </c>
      <c r="C1172" s="75">
        <v>1000</v>
      </c>
    </row>
    <row r="1173" spans="1:3" x14ac:dyDescent="0.25">
      <c r="A1173" s="1" t="s">
        <v>545</v>
      </c>
      <c r="B1173" s="74">
        <v>46230</v>
      </c>
      <c r="C1173" s="75">
        <v>2000</v>
      </c>
    </row>
    <row r="1174" spans="1:3" x14ac:dyDescent="0.25">
      <c r="A1174" s="1" t="s">
        <v>769</v>
      </c>
      <c r="B1174" s="74">
        <v>46230</v>
      </c>
      <c r="C1174" s="75">
        <v>25000</v>
      </c>
    </row>
    <row r="1175" spans="1:3" x14ac:dyDescent="0.25">
      <c r="A1175" s="1" t="s">
        <v>10</v>
      </c>
      <c r="B1175" s="74">
        <v>46230</v>
      </c>
      <c r="C1175" s="75">
        <v>1000</v>
      </c>
    </row>
    <row r="1176" spans="1:3" x14ac:dyDescent="0.25">
      <c r="A1176" s="1" t="s">
        <v>1194</v>
      </c>
      <c r="B1176" s="74">
        <v>46230</v>
      </c>
      <c r="C1176" s="75">
        <v>3000</v>
      </c>
    </row>
    <row r="1177" spans="1:3" x14ac:dyDescent="0.25">
      <c r="A1177" s="1" t="s">
        <v>974</v>
      </c>
      <c r="B1177" s="74">
        <v>46230</v>
      </c>
      <c r="C1177" s="75">
        <v>1001</v>
      </c>
    </row>
    <row r="1178" spans="1:3" x14ac:dyDescent="0.25">
      <c r="A1178" s="1" t="s">
        <v>371</v>
      </c>
      <c r="B1178" s="74">
        <v>46230</v>
      </c>
      <c r="C1178" s="75">
        <v>20000</v>
      </c>
    </row>
    <row r="1179" spans="1:3" x14ac:dyDescent="0.25">
      <c r="A1179" s="1" t="s">
        <v>1332</v>
      </c>
      <c r="B1179" s="74">
        <v>46230</v>
      </c>
      <c r="C1179" s="75">
        <v>10000</v>
      </c>
    </row>
    <row r="1180" spans="1:3" x14ac:dyDescent="0.25">
      <c r="A1180" s="1" t="s">
        <v>843</v>
      </c>
      <c r="B1180" s="74">
        <v>46230</v>
      </c>
      <c r="C1180" s="75">
        <v>4000</v>
      </c>
    </row>
    <row r="1181" spans="1:3" x14ac:dyDescent="0.25">
      <c r="A1181" s="1" t="s">
        <v>50</v>
      </c>
      <c r="B1181" s="74">
        <v>46230</v>
      </c>
      <c r="C1181" s="75">
        <v>1000</v>
      </c>
    </row>
    <row r="1182" spans="1:3" x14ac:dyDescent="0.25">
      <c r="A1182" s="1" t="s">
        <v>272</v>
      </c>
      <c r="B1182" s="74">
        <v>46230</v>
      </c>
      <c r="C1182" s="75">
        <v>1000</v>
      </c>
    </row>
    <row r="1183" spans="1:3" x14ac:dyDescent="0.25">
      <c r="A1183" s="1" t="s">
        <v>622</v>
      </c>
      <c r="B1183" s="74">
        <v>46230</v>
      </c>
      <c r="C1183" s="75">
        <v>50000</v>
      </c>
    </row>
    <row r="1184" spans="1:3" x14ac:dyDescent="0.25">
      <c r="A1184" s="1" t="s">
        <v>1123</v>
      </c>
      <c r="B1184" s="74">
        <v>46230</v>
      </c>
      <c r="C1184" s="75">
        <v>12000</v>
      </c>
    </row>
    <row r="1185" spans="1:3" x14ac:dyDescent="0.25">
      <c r="A1185" s="1" t="s">
        <v>931</v>
      </c>
      <c r="B1185" s="74">
        <v>46230</v>
      </c>
      <c r="C1185" s="75">
        <v>1000</v>
      </c>
    </row>
    <row r="1186" spans="1:3" x14ac:dyDescent="0.25">
      <c r="A1186" s="1" t="s">
        <v>1301</v>
      </c>
      <c r="B1186" s="74">
        <v>46230</v>
      </c>
      <c r="C1186" s="75">
        <v>5000</v>
      </c>
    </row>
    <row r="1187" spans="1:3" x14ac:dyDescent="0.25">
      <c r="A1187" s="1" t="s">
        <v>1035</v>
      </c>
      <c r="B1187" s="74">
        <v>46230</v>
      </c>
      <c r="C1187" s="75">
        <v>1000</v>
      </c>
    </row>
    <row r="1188" spans="1:3" x14ac:dyDescent="0.25">
      <c r="A1188" s="1" t="s">
        <v>1221</v>
      </c>
      <c r="B1188" s="74">
        <v>46230</v>
      </c>
      <c r="C1188" s="75">
        <v>1000</v>
      </c>
    </row>
    <row r="1189" spans="1:3" x14ac:dyDescent="0.25">
      <c r="A1189" s="1" t="s">
        <v>1214</v>
      </c>
      <c r="B1189" s="74">
        <v>46230</v>
      </c>
      <c r="C1189" s="75">
        <v>8000</v>
      </c>
    </row>
    <row r="1190" spans="1:3" x14ac:dyDescent="0.25">
      <c r="A1190" s="1" t="s">
        <v>20</v>
      </c>
      <c r="B1190" s="74">
        <v>46230</v>
      </c>
      <c r="C1190" s="75">
        <v>1010</v>
      </c>
    </row>
    <row r="1191" spans="1:3" x14ac:dyDescent="0.25">
      <c r="A1191" s="1" t="s">
        <v>178</v>
      </c>
      <c r="B1191" s="74">
        <v>46230</v>
      </c>
      <c r="C1191" s="75">
        <v>30000</v>
      </c>
    </row>
    <row r="1192" spans="1:3" x14ac:dyDescent="0.25">
      <c r="A1192" s="1" t="s">
        <v>43</v>
      </c>
      <c r="B1192" s="74">
        <v>46230</v>
      </c>
      <c r="C1192" s="75">
        <v>15000</v>
      </c>
    </row>
    <row r="1193" spans="1:3" x14ac:dyDescent="0.25">
      <c r="A1193" s="1" t="s">
        <v>472</v>
      </c>
      <c r="B1193" s="74">
        <v>46230</v>
      </c>
      <c r="C1193" s="75">
        <v>1000</v>
      </c>
    </row>
    <row r="1194" spans="1:3" x14ac:dyDescent="0.25">
      <c r="A1194" s="1" t="s">
        <v>1318</v>
      </c>
      <c r="B1194" s="74">
        <v>46230</v>
      </c>
      <c r="C1194" s="75">
        <v>2000</v>
      </c>
    </row>
    <row r="1195" spans="1:3" x14ac:dyDescent="0.25">
      <c r="A1195" s="1" t="s">
        <v>707</v>
      </c>
      <c r="B1195" s="74">
        <v>46230</v>
      </c>
      <c r="C1195" s="75">
        <v>40000</v>
      </c>
    </row>
    <row r="1196" spans="1:3" x14ac:dyDescent="0.25">
      <c r="A1196" s="1" t="s">
        <v>1088</v>
      </c>
      <c r="B1196" s="74">
        <v>46230</v>
      </c>
      <c r="C1196" s="75">
        <v>1000</v>
      </c>
    </row>
    <row r="1197" spans="1:3" x14ac:dyDescent="0.25">
      <c r="A1197" s="1" t="s">
        <v>780</v>
      </c>
      <c r="B1197" s="74">
        <v>46230</v>
      </c>
      <c r="C1197" s="75">
        <v>1000</v>
      </c>
    </row>
    <row r="1198" spans="1:3" x14ac:dyDescent="0.25">
      <c r="A1198" s="1" t="s">
        <v>1175</v>
      </c>
      <c r="B1198" s="74">
        <v>46230</v>
      </c>
      <c r="C1198" s="75">
        <v>1500</v>
      </c>
    </row>
    <row r="1199" spans="1:3" x14ac:dyDescent="0.25">
      <c r="A1199" s="1" t="s">
        <v>776</v>
      </c>
      <c r="B1199" s="74">
        <v>46230</v>
      </c>
      <c r="C1199" s="75">
        <v>2000</v>
      </c>
    </row>
    <row r="1200" spans="1:3" x14ac:dyDescent="0.25">
      <c r="A1200" s="1" t="s">
        <v>428</v>
      </c>
      <c r="B1200" s="74">
        <v>46230</v>
      </c>
      <c r="C1200" s="75">
        <v>7500</v>
      </c>
    </row>
    <row r="1201" spans="1:3" x14ac:dyDescent="0.25">
      <c r="A1201" s="1" t="s">
        <v>1017</v>
      </c>
      <c r="B1201" s="74">
        <v>46230</v>
      </c>
      <c r="C1201" s="75">
        <v>1000</v>
      </c>
    </row>
    <row r="1202" spans="1:3" x14ac:dyDescent="0.25">
      <c r="A1202" s="1" t="s">
        <v>19</v>
      </c>
      <c r="B1202" s="74">
        <v>46230</v>
      </c>
      <c r="C1202" s="75">
        <v>5000</v>
      </c>
    </row>
    <row r="1203" spans="1:3" x14ac:dyDescent="0.25">
      <c r="A1203" s="1" t="s">
        <v>16</v>
      </c>
      <c r="B1203" s="74">
        <v>46230</v>
      </c>
      <c r="C1203" s="75">
        <v>5000</v>
      </c>
    </row>
    <row r="1204" spans="1:3" x14ac:dyDescent="0.25">
      <c r="A1204" s="1" t="s">
        <v>362</v>
      </c>
      <c r="B1204" s="74">
        <v>46230</v>
      </c>
      <c r="C1204" s="75">
        <v>1000</v>
      </c>
    </row>
    <row r="1205" spans="1:3" x14ac:dyDescent="0.25">
      <c r="A1205" s="1" t="s">
        <v>176</v>
      </c>
      <c r="B1205" s="74">
        <v>46230</v>
      </c>
      <c r="C1205" s="75">
        <v>1000</v>
      </c>
    </row>
    <row r="1206" spans="1:3" x14ac:dyDescent="0.25">
      <c r="A1206" s="1" t="s">
        <v>1127</v>
      </c>
      <c r="B1206" s="74">
        <v>46230</v>
      </c>
      <c r="C1206" s="75">
        <v>3000</v>
      </c>
    </row>
    <row r="1207" spans="1:3" x14ac:dyDescent="0.25">
      <c r="A1207" s="1" t="s">
        <v>1069</v>
      </c>
      <c r="B1207" s="74">
        <v>46230</v>
      </c>
      <c r="C1207" s="75">
        <v>1000</v>
      </c>
    </row>
    <row r="1208" spans="1:3" x14ac:dyDescent="0.25">
      <c r="A1208" s="1" t="s">
        <v>151</v>
      </c>
      <c r="B1208" s="74">
        <v>46230</v>
      </c>
      <c r="C1208" s="75">
        <v>1000</v>
      </c>
    </row>
    <row r="1209" spans="1:3" x14ac:dyDescent="0.25">
      <c r="A1209" s="1" t="s">
        <v>1159</v>
      </c>
      <c r="B1209" s="74">
        <v>46230</v>
      </c>
      <c r="C1209" s="75">
        <v>1011</v>
      </c>
    </row>
    <row r="1210" spans="1:3" x14ac:dyDescent="0.25">
      <c r="A1210" s="1" t="s">
        <v>1074</v>
      </c>
      <c r="B1210" s="74">
        <v>46230</v>
      </c>
      <c r="C1210" s="75">
        <v>2000</v>
      </c>
    </row>
    <row r="1211" spans="1:3" x14ac:dyDescent="0.25">
      <c r="A1211" s="1" t="s">
        <v>977</v>
      </c>
      <c r="B1211" s="74">
        <v>46230</v>
      </c>
      <c r="C1211" s="75">
        <v>2000</v>
      </c>
    </row>
    <row r="1212" spans="1:3" x14ac:dyDescent="0.25">
      <c r="A1212" s="1" t="s">
        <v>621</v>
      </c>
      <c r="B1212" s="74">
        <v>46230</v>
      </c>
      <c r="C1212" s="75">
        <v>1000</v>
      </c>
    </row>
    <row r="1213" spans="1:3" x14ac:dyDescent="0.25">
      <c r="A1213" s="1" t="s">
        <v>425</v>
      </c>
      <c r="B1213" s="74">
        <v>46230</v>
      </c>
      <c r="C1213" s="75">
        <v>20000</v>
      </c>
    </row>
    <row r="1214" spans="1:3" x14ac:dyDescent="0.25">
      <c r="A1214" s="1" t="s">
        <v>1344</v>
      </c>
      <c r="B1214" s="74">
        <v>46230</v>
      </c>
      <c r="C1214" s="75">
        <v>8000</v>
      </c>
    </row>
    <row r="1215" spans="1:3" x14ac:dyDescent="0.25">
      <c r="A1215" s="1" t="s">
        <v>120</v>
      </c>
      <c r="B1215" s="74">
        <v>46230</v>
      </c>
      <c r="C1215" s="75">
        <v>10000</v>
      </c>
    </row>
    <row r="1216" spans="1:3" x14ac:dyDescent="0.25">
      <c r="A1216" s="1" t="s">
        <v>880</v>
      </c>
      <c r="B1216" s="74">
        <v>46230</v>
      </c>
      <c r="C1216" s="75">
        <v>1000</v>
      </c>
    </row>
    <row r="1217" spans="1:3" x14ac:dyDescent="0.25">
      <c r="A1217" s="1" t="s">
        <v>1373</v>
      </c>
      <c r="B1217" s="74">
        <v>46230</v>
      </c>
      <c r="C1217" s="75">
        <v>2000</v>
      </c>
    </row>
    <row r="1218" spans="1:3" x14ac:dyDescent="0.25">
      <c r="A1218" s="1" t="s">
        <v>930</v>
      </c>
      <c r="B1218" s="74">
        <v>46231</v>
      </c>
      <c r="C1218" s="75">
        <v>1000</v>
      </c>
    </row>
    <row r="1219" spans="1:3" x14ac:dyDescent="0.25">
      <c r="A1219" s="1" t="s">
        <v>39</v>
      </c>
      <c r="B1219" s="74">
        <v>46231</v>
      </c>
      <c r="C1219" s="75">
        <v>51000</v>
      </c>
    </row>
    <row r="1220" spans="1:3" x14ac:dyDescent="0.25">
      <c r="A1220" s="1" t="s">
        <v>1198</v>
      </c>
      <c r="B1220" s="74">
        <v>46231</v>
      </c>
      <c r="C1220" s="75">
        <v>1001</v>
      </c>
    </row>
    <row r="1221" spans="1:3" x14ac:dyDescent="0.25">
      <c r="A1221" s="1" t="s">
        <v>586</v>
      </c>
      <c r="B1221" s="74">
        <v>46231</v>
      </c>
      <c r="C1221" s="75">
        <v>2000</v>
      </c>
    </row>
    <row r="1222" spans="1:3" x14ac:dyDescent="0.25">
      <c r="A1222" s="1" t="s">
        <v>709</v>
      </c>
      <c r="B1222" s="74">
        <v>46231</v>
      </c>
      <c r="C1222" s="75">
        <v>3000</v>
      </c>
    </row>
    <row r="1223" spans="1:3" x14ac:dyDescent="0.25">
      <c r="A1223" s="1" t="s">
        <v>1132</v>
      </c>
      <c r="B1223" s="74">
        <v>46231</v>
      </c>
      <c r="C1223" s="75">
        <v>2000</v>
      </c>
    </row>
    <row r="1224" spans="1:3" x14ac:dyDescent="0.25">
      <c r="A1224" s="1" t="s">
        <v>15</v>
      </c>
      <c r="B1224" s="74">
        <v>46231</v>
      </c>
      <c r="C1224" s="75">
        <v>2000</v>
      </c>
    </row>
    <row r="1225" spans="1:3" x14ac:dyDescent="0.25">
      <c r="A1225" s="1" t="s">
        <v>718</v>
      </c>
      <c r="B1225" s="74">
        <v>46231</v>
      </c>
      <c r="C1225" s="75">
        <v>1000</v>
      </c>
    </row>
    <row r="1226" spans="1:3" x14ac:dyDescent="0.25">
      <c r="A1226" s="1" t="s">
        <v>574</v>
      </c>
      <c r="B1226" s="74">
        <v>46231</v>
      </c>
      <c r="C1226" s="75">
        <v>1000</v>
      </c>
    </row>
    <row r="1227" spans="1:3" x14ac:dyDescent="0.25">
      <c r="A1227" s="1" t="s">
        <v>1162</v>
      </c>
      <c r="B1227" s="74">
        <v>46231</v>
      </c>
      <c r="C1227" s="75">
        <v>961</v>
      </c>
    </row>
    <row r="1228" spans="1:3" x14ac:dyDescent="0.25">
      <c r="A1228" s="1" t="s">
        <v>528</v>
      </c>
      <c r="B1228" s="74">
        <v>46231</v>
      </c>
      <c r="C1228" s="75">
        <v>1000</v>
      </c>
    </row>
    <row r="1229" spans="1:3" x14ac:dyDescent="0.25">
      <c r="A1229" s="1" t="s">
        <v>320</v>
      </c>
      <c r="B1229" s="74">
        <v>46231</v>
      </c>
      <c r="C1229" s="75">
        <v>2000</v>
      </c>
    </row>
    <row r="1230" spans="1:3" x14ac:dyDescent="0.25">
      <c r="A1230" s="1" t="s">
        <v>1049</v>
      </c>
      <c r="B1230" s="74">
        <v>46231</v>
      </c>
      <c r="C1230" s="75">
        <v>1001</v>
      </c>
    </row>
    <row r="1231" spans="1:3" x14ac:dyDescent="0.25">
      <c r="A1231" s="1" t="s">
        <v>1023</v>
      </c>
      <c r="B1231" s="74">
        <v>46231</v>
      </c>
      <c r="C1231" s="75">
        <v>1000</v>
      </c>
    </row>
    <row r="1232" spans="1:3" x14ac:dyDescent="0.25">
      <c r="A1232" s="1" t="s">
        <v>1263</v>
      </c>
      <c r="B1232" s="74">
        <v>46231</v>
      </c>
      <c r="C1232" s="75">
        <v>1000</v>
      </c>
    </row>
    <row r="1233" spans="1:3" x14ac:dyDescent="0.25">
      <c r="A1233" s="1" t="s">
        <v>649</v>
      </c>
      <c r="B1233" s="74">
        <v>46231</v>
      </c>
      <c r="C1233" s="75">
        <v>4000</v>
      </c>
    </row>
    <row r="1234" spans="1:3" x14ac:dyDescent="0.25">
      <c r="A1234" s="1" t="s">
        <v>527</v>
      </c>
      <c r="B1234" s="74">
        <v>46231</v>
      </c>
      <c r="C1234" s="75">
        <v>5000</v>
      </c>
    </row>
    <row r="1235" spans="1:3" x14ac:dyDescent="0.25">
      <c r="A1235" s="1" t="s">
        <v>1068</v>
      </c>
      <c r="B1235" s="74">
        <v>46231</v>
      </c>
      <c r="C1235" s="75">
        <v>31000</v>
      </c>
    </row>
    <row r="1236" spans="1:3" x14ac:dyDescent="0.25">
      <c r="A1236" s="1" t="s">
        <v>666</v>
      </c>
      <c r="B1236" s="74">
        <v>46231</v>
      </c>
      <c r="C1236" s="75">
        <v>2000</v>
      </c>
    </row>
    <row r="1237" spans="1:3" x14ac:dyDescent="0.25">
      <c r="A1237" s="1" t="s">
        <v>848</v>
      </c>
      <c r="B1237" s="74">
        <v>46231</v>
      </c>
      <c r="C1237" s="75">
        <v>500</v>
      </c>
    </row>
    <row r="1238" spans="1:3" x14ac:dyDescent="0.25">
      <c r="A1238" s="1" t="s">
        <v>1292</v>
      </c>
      <c r="B1238" s="74">
        <v>46231</v>
      </c>
      <c r="C1238" s="75">
        <v>1000</v>
      </c>
    </row>
    <row r="1239" spans="1:3" x14ac:dyDescent="0.25">
      <c r="A1239" s="1" t="s">
        <v>2</v>
      </c>
      <c r="B1239" s="74">
        <v>46231</v>
      </c>
      <c r="C1239" s="75">
        <v>2000</v>
      </c>
    </row>
    <row r="1240" spans="1:3" x14ac:dyDescent="0.25">
      <c r="A1240" s="1" t="s">
        <v>211</v>
      </c>
      <c r="B1240" s="74">
        <v>46231</v>
      </c>
      <c r="C1240" s="75">
        <v>2900</v>
      </c>
    </row>
    <row r="1241" spans="1:3" x14ac:dyDescent="0.25">
      <c r="A1241" s="1" t="s">
        <v>733</v>
      </c>
      <c r="B1241" s="74">
        <v>46231</v>
      </c>
      <c r="C1241" s="75">
        <v>1000</v>
      </c>
    </row>
    <row r="1242" spans="1:3" x14ac:dyDescent="0.25">
      <c r="A1242" s="1" t="s">
        <v>775</v>
      </c>
      <c r="B1242" s="74">
        <v>46231</v>
      </c>
      <c r="C1242" s="75">
        <v>2000</v>
      </c>
    </row>
    <row r="1243" spans="1:3" x14ac:dyDescent="0.25">
      <c r="A1243" s="1" t="s">
        <v>965</v>
      </c>
      <c r="B1243" s="74">
        <v>46231</v>
      </c>
      <c r="C1243" s="75">
        <v>10000</v>
      </c>
    </row>
    <row r="1244" spans="1:3" x14ac:dyDescent="0.25">
      <c r="A1244" s="1" t="s">
        <v>693</v>
      </c>
      <c r="B1244" s="74">
        <v>46231</v>
      </c>
      <c r="C1244" s="75">
        <v>2000</v>
      </c>
    </row>
    <row r="1245" spans="1:3" x14ac:dyDescent="0.25">
      <c r="A1245" s="1" t="s">
        <v>919</v>
      </c>
      <c r="B1245" s="74">
        <v>46231</v>
      </c>
      <c r="C1245" s="75">
        <v>5000</v>
      </c>
    </row>
    <row r="1246" spans="1:3" x14ac:dyDescent="0.25">
      <c r="A1246" s="1" t="s">
        <v>518</v>
      </c>
      <c r="B1246" s="74">
        <v>46231</v>
      </c>
      <c r="C1246" s="75">
        <v>25000</v>
      </c>
    </row>
    <row r="1247" spans="1:3" x14ac:dyDescent="0.25">
      <c r="A1247" s="1" t="s">
        <v>526</v>
      </c>
      <c r="B1247" s="74">
        <v>46231</v>
      </c>
      <c r="C1247" s="75">
        <v>7000</v>
      </c>
    </row>
    <row r="1248" spans="1:3" x14ac:dyDescent="0.25">
      <c r="A1248" s="1" t="s">
        <v>340</v>
      </c>
      <c r="B1248" s="74">
        <v>46231</v>
      </c>
      <c r="C1248" s="75">
        <v>1000</v>
      </c>
    </row>
    <row r="1249" spans="1:3" x14ac:dyDescent="0.25">
      <c r="A1249" s="1" t="s">
        <v>858</v>
      </c>
      <c r="B1249" s="74">
        <v>46231</v>
      </c>
      <c r="C1249" s="75">
        <v>1000</v>
      </c>
    </row>
    <row r="1250" spans="1:3" x14ac:dyDescent="0.25">
      <c r="A1250" s="1" t="s">
        <v>886</v>
      </c>
      <c r="B1250" s="74">
        <v>46231</v>
      </c>
      <c r="C1250" s="75">
        <v>5000</v>
      </c>
    </row>
    <row r="1251" spans="1:3" x14ac:dyDescent="0.25">
      <c r="A1251" s="1" t="s">
        <v>838</v>
      </c>
      <c r="B1251" s="74">
        <v>46231</v>
      </c>
      <c r="C1251" s="75">
        <v>1000</v>
      </c>
    </row>
    <row r="1252" spans="1:3" x14ac:dyDescent="0.25">
      <c r="A1252" s="1" t="s">
        <v>792</v>
      </c>
      <c r="B1252" s="74">
        <v>46231</v>
      </c>
      <c r="C1252" s="75">
        <v>1000</v>
      </c>
    </row>
    <row r="1253" spans="1:3" x14ac:dyDescent="0.25">
      <c r="A1253" s="1" t="s">
        <v>901</v>
      </c>
      <c r="B1253" s="74">
        <v>46231</v>
      </c>
      <c r="C1253" s="75">
        <v>2000</v>
      </c>
    </row>
    <row r="1254" spans="1:3" x14ac:dyDescent="0.25">
      <c r="A1254" s="1" t="s">
        <v>981</v>
      </c>
      <c r="B1254" s="74">
        <v>46231</v>
      </c>
      <c r="C1254" s="75">
        <v>1000</v>
      </c>
    </row>
    <row r="1255" spans="1:3" x14ac:dyDescent="0.25">
      <c r="A1255" s="1" t="s">
        <v>949</v>
      </c>
      <c r="B1255" s="74">
        <v>46231</v>
      </c>
      <c r="C1255" s="75">
        <v>1000</v>
      </c>
    </row>
    <row r="1256" spans="1:3" x14ac:dyDescent="0.25">
      <c r="A1256" s="1" t="s">
        <v>1129</v>
      </c>
      <c r="B1256" s="74">
        <v>46231</v>
      </c>
      <c r="C1256" s="75">
        <v>1000</v>
      </c>
    </row>
    <row r="1257" spans="1:3" x14ac:dyDescent="0.25">
      <c r="A1257" s="1" t="s">
        <v>968</v>
      </c>
      <c r="B1257" s="74">
        <v>46231</v>
      </c>
      <c r="C1257" s="75">
        <v>1000</v>
      </c>
    </row>
    <row r="1258" spans="1:3" x14ac:dyDescent="0.25">
      <c r="A1258" s="1" t="s">
        <v>122</v>
      </c>
      <c r="B1258" s="74">
        <v>46231</v>
      </c>
      <c r="C1258" s="75">
        <v>3000</v>
      </c>
    </row>
    <row r="1259" spans="1:3" x14ac:dyDescent="0.25">
      <c r="A1259" s="1" t="s">
        <v>1294</v>
      </c>
      <c r="B1259" s="74">
        <v>46231</v>
      </c>
      <c r="C1259" s="75">
        <v>1000</v>
      </c>
    </row>
    <row r="1260" spans="1:3" x14ac:dyDescent="0.25">
      <c r="A1260" s="1" t="s">
        <v>883</v>
      </c>
      <c r="B1260" s="74">
        <v>46231</v>
      </c>
      <c r="C1260" s="75">
        <v>135000</v>
      </c>
    </row>
    <row r="1261" spans="1:3" x14ac:dyDescent="0.25">
      <c r="A1261" s="1" t="s">
        <v>1140</v>
      </c>
      <c r="B1261" s="74">
        <v>46231</v>
      </c>
      <c r="C1261" s="75">
        <v>6900</v>
      </c>
    </row>
    <row r="1262" spans="1:3" x14ac:dyDescent="0.25">
      <c r="A1262" s="1" t="s">
        <v>742</v>
      </c>
      <c r="B1262" s="74">
        <v>46231</v>
      </c>
      <c r="C1262" s="75">
        <v>1000</v>
      </c>
    </row>
    <row r="1263" spans="1:3" x14ac:dyDescent="0.25">
      <c r="A1263" s="1" t="s">
        <v>708</v>
      </c>
      <c r="B1263" s="74">
        <v>46231</v>
      </c>
      <c r="C1263" s="75">
        <v>1000</v>
      </c>
    </row>
    <row r="1264" spans="1:3" x14ac:dyDescent="0.25">
      <c r="A1264" s="1" t="s">
        <v>269</v>
      </c>
      <c r="B1264" s="74">
        <v>46231</v>
      </c>
      <c r="C1264" s="75">
        <v>5000</v>
      </c>
    </row>
    <row r="1265" spans="1:3" x14ac:dyDescent="0.25">
      <c r="A1265" s="1" t="s">
        <v>1167</v>
      </c>
      <c r="B1265" s="74">
        <v>46231</v>
      </c>
      <c r="C1265" s="75">
        <v>1000</v>
      </c>
    </row>
    <row r="1266" spans="1:3" x14ac:dyDescent="0.25">
      <c r="A1266" s="1" t="s">
        <v>788</v>
      </c>
      <c r="B1266" s="74">
        <v>46231</v>
      </c>
      <c r="C1266" s="75">
        <v>2000</v>
      </c>
    </row>
    <row r="1267" spans="1:3" x14ac:dyDescent="0.25">
      <c r="A1267" s="1" t="s">
        <v>1075</v>
      </c>
      <c r="B1267" s="74">
        <v>46232</v>
      </c>
      <c r="C1267" s="75">
        <v>1000</v>
      </c>
    </row>
    <row r="1268" spans="1:3" x14ac:dyDescent="0.25">
      <c r="A1268" s="1" t="s">
        <v>353</v>
      </c>
      <c r="B1268" s="74">
        <v>46232</v>
      </c>
      <c r="C1268" s="75">
        <v>27000</v>
      </c>
    </row>
    <row r="1269" spans="1:3" x14ac:dyDescent="0.25">
      <c r="A1269" s="1" t="s">
        <v>95</v>
      </c>
      <c r="B1269" s="74">
        <v>46232</v>
      </c>
      <c r="C1269" s="75">
        <v>6000</v>
      </c>
    </row>
    <row r="1270" spans="1:3" x14ac:dyDescent="0.25">
      <c r="A1270" s="1" t="s">
        <v>374</v>
      </c>
      <c r="B1270" s="74">
        <v>46232</v>
      </c>
      <c r="C1270" s="75">
        <v>3000</v>
      </c>
    </row>
    <row r="1271" spans="1:3" x14ac:dyDescent="0.25">
      <c r="A1271" s="1" t="s">
        <v>1230</v>
      </c>
      <c r="B1271" s="74">
        <v>46232</v>
      </c>
      <c r="C1271" s="75">
        <v>1000</v>
      </c>
    </row>
    <row r="1272" spans="1:3" x14ac:dyDescent="0.25">
      <c r="A1272" s="1" t="s">
        <v>493</v>
      </c>
      <c r="B1272" s="74">
        <v>46232</v>
      </c>
      <c r="C1272" s="75">
        <v>11000</v>
      </c>
    </row>
    <row r="1273" spans="1:3" x14ac:dyDescent="0.25">
      <c r="A1273" s="1" t="s">
        <v>61</v>
      </c>
      <c r="B1273" s="74">
        <v>46232</v>
      </c>
      <c r="C1273" s="75">
        <v>11000</v>
      </c>
    </row>
    <row r="1274" spans="1:3" x14ac:dyDescent="0.25">
      <c r="A1274" s="1" t="s">
        <v>529</v>
      </c>
      <c r="B1274" s="74">
        <v>46232</v>
      </c>
      <c r="C1274" s="75">
        <v>1000</v>
      </c>
    </row>
    <row r="1275" spans="1:3" x14ac:dyDescent="0.25">
      <c r="A1275" s="1" t="s">
        <v>1372</v>
      </c>
      <c r="B1275" s="74">
        <v>46232</v>
      </c>
      <c r="C1275" s="75">
        <v>1000</v>
      </c>
    </row>
    <row r="1276" spans="1:3" x14ac:dyDescent="0.25">
      <c r="A1276" s="1" t="s">
        <v>1025</v>
      </c>
      <c r="B1276" s="74">
        <v>46232</v>
      </c>
      <c r="C1276" s="75">
        <v>1000</v>
      </c>
    </row>
    <row r="1277" spans="1:3" x14ac:dyDescent="0.25">
      <c r="A1277" s="1" t="s">
        <v>23</v>
      </c>
      <c r="B1277" s="74">
        <v>46232</v>
      </c>
      <c r="C1277" s="75">
        <v>60000</v>
      </c>
    </row>
    <row r="1278" spans="1:3" x14ac:dyDescent="0.25">
      <c r="A1278" s="1" t="s">
        <v>818</v>
      </c>
      <c r="B1278" s="74">
        <v>46232</v>
      </c>
      <c r="C1278" s="75">
        <v>6000</v>
      </c>
    </row>
    <row r="1279" spans="1:3" x14ac:dyDescent="0.25">
      <c r="A1279" s="1" t="s">
        <v>1138</v>
      </c>
      <c r="B1279" s="74">
        <v>46232</v>
      </c>
      <c r="C1279" s="75">
        <v>3000</v>
      </c>
    </row>
    <row r="1280" spans="1:3" x14ac:dyDescent="0.25">
      <c r="A1280" s="1" t="s">
        <v>4</v>
      </c>
      <c r="B1280" s="74">
        <v>46232</v>
      </c>
      <c r="C1280" s="75">
        <v>4000</v>
      </c>
    </row>
    <row r="1281" spans="1:3" x14ac:dyDescent="0.25">
      <c r="A1281" s="1" t="s">
        <v>27</v>
      </c>
      <c r="B1281" s="74">
        <v>46232</v>
      </c>
      <c r="C1281" s="75">
        <v>1000</v>
      </c>
    </row>
    <row r="1282" spans="1:3" x14ac:dyDescent="0.25">
      <c r="A1282" s="1" t="s">
        <v>729</v>
      </c>
      <c r="B1282" s="74">
        <v>46232</v>
      </c>
      <c r="C1282" s="75">
        <v>1000</v>
      </c>
    </row>
    <row r="1283" spans="1:3" x14ac:dyDescent="0.25">
      <c r="A1283" s="1" t="s">
        <v>278</v>
      </c>
      <c r="B1283" s="74">
        <v>46232</v>
      </c>
      <c r="C1283" s="75">
        <v>1000</v>
      </c>
    </row>
    <row r="1284" spans="1:3" x14ac:dyDescent="0.25">
      <c r="A1284" s="1" t="s">
        <v>1084</v>
      </c>
      <c r="B1284" s="74">
        <v>46232</v>
      </c>
      <c r="C1284" s="75">
        <v>60000</v>
      </c>
    </row>
    <row r="1285" spans="1:3" x14ac:dyDescent="0.25">
      <c r="A1285" s="1" t="s">
        <v>1027</v>
      </c>
      <c r="B1285" s="74">
        <v>46232</v>
      </c>
      <c r="C1285" s="75">
        <v>1000</v>
      </c>
    </row>
    <row r="1286" spans="1:3" x14ac:dyDescent="0.25">
      <c r="A1286" s="1" t="s">
        <v>739</v>
      </c>
      <c r="B1286" s="74">
        <v>46232</v>
      </c>
      <c r="C1286" s="75">
        <v>1000</v>
      </c>
    </row>
    <row r="1287" spans="1:3" x14ac:dyDescent="0.25">
      <c r="A1287" s="1" t="s">
        <v>1193</v>
      </c>
      <c r="B1287" s="74">
        <v>46232</v>
      </c>
      <c r="C1287" s="75">
        <v>1000</v>
      </c>
    </row>
    <row r="1288" spans="1:3" x14ac:dyDescent="0.25">
      <c r="A1288" s="1" t="s">
        <v>1275</v>
      </c>
      <c r="B1288" s="74">
        <v>46232</v>
      </c>
      <c r="C1288" s="75">
        <v>1000</v>
      </c>
    </row>
    <row r="1289" spans="1:3" x14ac:dyDescent="0.25">
      <c r="A1289" s="1" t="s">
        <v>501</v>
      </c>
      <c r="B1289" s="74">
        <v>46232</v>
      </c>
      <c r="C1289" s="75">
        <v>10000</v>
      </c>
    </row>
    <row r="1290" spans="1:3" x14ac:dyDescent="0.25">
      <c r="A1290" s="1" t="s">
        <v>855</v>
      </c>
      <c r="B1290" s="74">
        <v>46232</v>
      </c>
      <c r="C1290" s="75">
        <v>2000</v>
      </c>
    </row>
    <row r="1291" spans="1:3" x14ac:dyDescent="0.25">
      <c r="A1291" s="1" t="s">
        <v>349</v>
      </c>
      <c r="B1291" s="74">
        <v>46232</v>
      </c>
      <c r="C1291" s="75">
        <v>1000</v>
      </c>
    </row>
    <row r="1292" spans="1:3" x14ac:dyDescent="0.25">
      <c r="A1292" s="1" t="s">
        <v>1233</v>
      </c>
      <c r="B1292" s="74">
        <v>46232</v>
      </c>
      <c r="C1292" s="75">
        <v>21000</v>
      </c>
    </row>
    <row r="1293" spans="1:3" x14ac:dyDescent="0.25">
      <c r="A1293" s="1" t="s">
        <v>683</v>
      </c>
      <c r="B1293" s="74">
        <v>46232</v>
      </c>
      <c r="C1293" s="75">
        <v>1000</v>
      </c>
    </row>
    <row r="1294" spans="1:3" x14ac:dyDescent="0.25">
      <c r="A1294" s="1" t="s">
        <v>1033</v>
      </c>
      <c r="B1294" s="74">
        <v>46232</v>
      </c>
      <c r="C1294" s="75">
        <v>10000</v>
      </c>
    </row>
    <row r="1295" spans="1:3" x14ac:dyDescent="0.25">
      <c r="A1295" s="1" t="s">
        <v>1072</v>
      </c>
      <c r="B1295" s="74">
        <v>46232</v>
      </c>
      <c r="C1295" s="75">
        <v>5000</v>
      </c>
    </row>
    <row r="1296" spans="1:3" x14ac:dyDescent="0.25">
      <c r="A1296" s="1" t="s">
        <v>1139</v>
      </c>
      <c r="B1296" s="74">
        <v>46232</v>
      </c>
      <c r="C1296" s="75">
        <v>35000</v>
      </c>
    </row>
    <row r="1297" spans="1:3" x14ac:dyDescent="0.25">
      <c r="A1297" s="1" t="s">
        <v>1247</v>
      </c>
      <c r="B1297" s="74">
        <v>46232</v>
      </c>
      <c r="C1297" s="75">
        <v>5000</v>
      </c>
    </row>
    <row r="1298" spans="1:3" x14ac:dyDescent="0.25">
      <c r="A1298" s="1" t="s">
        <v>887</v>
      </c>
      <c r="B1298" s="74">
        <v>46232</v>
      </c>
      <c r="C1298" s="75">
        <v>1000</v>
      </c>
    </row>
    <row r="1299" spans="1:3" x14ac:dyDescent="0.25">
      <c r="A1299" s="1" t="s">
        <v>116</v>
      </c>
      <c r="B1299" s="74">
        <v>46232</v>
      </c>
      <c r="C1299" s="75">
        <v>10000</v>
      </c>
    </row>
    <row r="1300" spans="1:3" x14ac:dyDescent="0.25">
      <c r="A1300" s="1" t="s">
        <v>1274</v>
      </c>
      <c r="B1300" s="74">
        <v>46232</v>
      </c>
      <c r="C1300" s="75">
        <v>1000</v>
      </c>
    </row>
    <row r="1301" spans="1:3" x14ac:dyDescent="0.25">
      <c r="A1301" s="1" t="s">
        <v>1283</v>
      </c>
      <c r="B1301" s="74">
        <v>46232</v>
      </c>
      <c r="C1301" s="75">
        <v>905</v>
      </c>
    </row>
    <row r="1302" spans="1:3" x14ac:dyDescent="0.25">
      <c r="A1302" s="1" t="s">
        <v>611</v>
      </c>
      <c r="B1302" s="74">
        <v>46232</v>
      </c>
      <c r="C1302" s="75">
        <v>1000</v>
      </c>
    </row>
    <row r="1303" spans="1:3" x14ac:dyDescent="0.25">
      <c r="A1303" s="1" t="s">
        <v>433</v>
      </c>
      <c r="B1303" s="74">
        <v>46232</v>
      </c>
      <c r="C1303" s="75">
        <v>1000</v>
      </c>
    </row>
    <row r="1304" spans="1:3" x14ac:dyDescent="0.25">
      <c r="A1304" s="1" t="s">
        <v>395</v>
      </c>
      <c r="B1304" s="74">
        <v>46232</v>
      </c>
      <c r="C1304" s="75">
        <v>1000</v>
      </c>
    </row>
    <row r="1305" spans="1:3" x14ac:dyDescent="0.25">
      <c r="A1305" s="1" t="s">
        <v>188</v>
      </c>
      <c r="B1305" s="74">
        <v>46232</v>
      </c>
      <c r="C1305" s="75">
        <v>1000</v>
      </c>
    </row>
    <row r="1306" spans="1:3" x14ac:dyDescent="0.25">
      <c r="A1306" s="1" t="s">
        <v>434</v>
      </c>
      <c r="B1306" s="74">
        <v>46232</v>
      </c>
      <c r="C1306" s="75">
        <v>10000</v>
      </c>
    </row>
    <row r="1307" spans="1:3" x14ac:dyDescent="0.25">
      <c r="A1307" s="1" t="s">
        <v>295</v>
      </c>
      <c r="B1307" s="74">
        <v>46232</v>
      </c>
      <c r="C1307" s="75">
        <v>50000</v>
      </c>
    </row>
    <row r="1308" spans="1:3" x14ac:dyDescent="0.25">
      <c r="A1308" s="1" t="s">
        <v>54</v>
      </c>
      <c r="B1308" s="74">
        <v>46233</v>
      </c>
      <c r="C1308" s="75">
        <v>1000</v>
      </c>
    </row>
    <row r="1309" spans="1:3" x14ac:dyDescent="0.25">
      <c r="A1309" s="1" t="s">
        <v>672</v>
      </c>
      <c r="B1309" s="74">
        <v>46233</v>
      </c>
      <c r="C1309" s="75">
        <v>1000</v>
      </c>
    </row>
    <row r="1310" spans="1:3" x14ac:dyDescent="0.25">
      <c r="A1310" s="1" t="s">
        <v>44</v>
      </c>
      <c r="B1310" s="74">
        <v>46233</v>
      </c>
      <c r="C1310" s="75">
        <v>1000</v>
      </c>
    </row>
    <row r="1311" spans="1:3" x14ac:dyDescent="0.25">
      <c r="A1311" s="1" t="s">
        <v>58</v>
      </c>
      <c r="B1311" s="74">
        <v>46233</v>
      </c>
      <c r="C1311" s="75">
        <v>2000</v>
      </c>
    </row>
    <row r="1312" spans="1:3" x14ac:dyDescent="0.25">
      <c r="A1312" s="1" t="s">
        <v>900</v>
      </c>
      <c r="B1312" s="74">
        <v>46233</v>
      </c>
      <c r="C1312" s="75">
        <v>2000</v>
      </c>
    </row>
    <row r="1313" spans="1:3" x14ac:dyDescent="0.25">
      <c r="A1313" s="1" t="s">
        <v>470</v>
      </c>
      <c r="B1313" s="74">
        <v>46233</v>
      </c>
      <c r="C1313" s="75">
        <v>5000</v>
      </c>
    </row>
    <row r="1314" spans="1:3" x14ac:dyDescent="0.25">
      <c r="A1314" s="1" t="s">
        <v>157</v>
      </c>
      <c r="B1314" s="74">
        <v>46233</v>
      </c>
      <c r="C1314" s="75">
        <v>1000</v>
      </c>
    </row>
    <row r="1315" spans="1:3" x14ac:dyDescent="0.25">
      <c r="A1315" s="1" t="s">
        <v>68</v>
      </c>
      <c r="B1315" s="74">
        <v>46233</v>
      </c>
      <c r="C1315" s="75">
        <v>2000</v>
      </c>
    </row>
    <row r="1316" spans="1:3" x14ac:dyDescent="0.25">
      <c r="A1316" s="1" t="s">
        <v>1246</v>
      </c>
      <c r="B1316" s="74">
        <v>46233</v>
      </c>
      <c r="C1316" s="75">
        <v>2000</v>
      </c>
    </row>
    <row r="1317" spans="1:3" x14ac:dyDescent="0.25">
      <c r="A1317" s="1" t="s">
        <v>215</v>
      </c>
      <c r="B1317" s="74">
        <v>46233</v>
      </c>
      <c r="C1317" s="75">
        <v>1000</v>
      </c>
    </row>
    <row r="1318" spans="1:3" x14ac:dyDescent="0.25">
      <c r="A1318" s="1" t="s">
        <v>747</v>
      </c>
      <c r="B1318" s="74">
        <v>46233</v>
      </c>
      <c r="C1318" s="75">
        <v>1000</v>
      </c>
    </row>
    <row r="1319" spans="1:3" x14ac:dyDescent="0.25">
      <c r="A1319" s="1" t="s">
        <v>1154</v>
      </c>
      <c r="B1319" s="74">
        <v>46233</v>
      </c>
      <c r="C1319" s="75">
        <v>15000</v>
      </c>
    </row>
    <row r="1320" spans="1:3" x14ac:dyDescent="0.25">
      <c r="A1320" s="1" t="s">
        <v>450</v>
      </c>
      <c r="B1320" s="74">
        <v>46233</v>
      </c>
      <c r="C1320" s="75">
        <v>3000</v>
      </c>
    </row>
    <row r="1321" spans="1:3" x14ac:dyDescent="0.25">
      <c r="A1321" s="1" t="s">
        <v>511</v>
      </c>
      <c r="B1321" s="74">
        <v>46233</v>
      </c>
      <c r="C1321" s="75">
        <v>4000</v>
      </c>
    </row>
    <row r="1322" spans="1:3" x14ac:dyDescent="0.25">
      <c r="A1322" s="1" t="s">
        <v>1333</v>
      </c>
      <c r="B1322" s="74">
        <v>46233</v>
      </c>
      <c r="C1322" s="75">
        <v>1000</v>
      </c>
    </row>
    <row r="1323" spans="1:3" x14ac:dyDescent="0.25">
      <c r="A1323" s="1" t="s">
        <v>1160</v>
      </c>
      <c r="B1323" s="74">
        <v>46233</v>
      </c>
      <c r="C1323" s="75">
        <v>1000</v>
      </c>
    </row>
    <row r="1324" spans="1:3" x14ac:dyDescent="0.25">
      <c r="A1324" s="1" t="s">
        <v>1057</v>
      </c>
      <c r="B1324" s="74">
        <v>46233</v>
      </c>
      <c r="C1324" s="75">
        <v>1000</v>
      </c>
    </row>
    <row r="1325" spans="1:3" x14ac:dyDescent="0.25">
      <c r="A1325" s="1" t="s">
        <v>1097</v>
      </c>
      <c r="B1325" s="74">
        <v>46233</v>
      </c>
      <c r="C1325" s="75">
        <v>1001</v>
      </c>
    </row>
    <row r="1326" spans="1:3" x14ac:dyDescent="0.25">
      <c r="A1326" s="1" t="s">
        <v>1104</v>
      </c>
      <c r="B1326" s="74">
        <v>46233</v>
      </c>
      <c r="C1326" s="75">
        <v>5000</v>
      </c>
    </row>
    <row r="1327" spans="1:3" x14ac:dyDescent="0.25">
      <c r="A1327" s="1" t="s">
        <v>497</v>
      </c>
      <c r="B1327" s="74">
        <v>46233</v>
      </c>
      <c r="C1327" s="75">
        <v>1000</v>
      </c>
    </row>
    <row r="1328" spans="1:3" x14ac:dyDescent="0.25">
      <c r="A1328" s="1" t="s">
        <v>77</v>
      </c>
      <c r="B1328" s="74">
        <v>46233</v>
      </c>
      <c r="C1328" s="75">
        <v>1000</v>
      </c>
    </row>
    <row r="1329" spans="1:3" x14ac:dyDescent="0.25">
      <c r="A1329" s="1" t="s">
        <v>468</v>
      </c>
      <c r="B1329" s="74">
        <v>46233</v>
      </c>
      <c r="C1329" s="75">
        <v>7000</v>
      </c>
    </row>
    <row r="1330" spans="1:3" x14ac:dyDescent="0.25">
      <c r="A1330" s="1" t="s">
        <v>541</v>
      </c>
      <c r="B1330" s="74">
        <v>46233</v>
      </c>
      <c r="C1330" s="75">
        <v>20000</v>
      </c>
    </row>
    <row r="1331" spans="1:3" x14ac:dyDescent="0.25">
      <c r="A1331" s="1" t="s">
        <v>908</v>
      </c>
      <c r="B1331" s="74">
        <v>46233</v>
      </c>
      <c r="C1331" s="75">
        <v>1000</v>
      </c>
    </row>
    <row r="1332" spans="1:3" x14ac:dyDescent="0.25">
      <c r="A1332" s="1" t="s">
        <v>1155</v>
      </c>
      <c r="B1332" s="74">
        <v>46233</v>
      </c>
      <c r="C1332" s="75">
        <v>15000</v>
      </c>
    </row>
    <row r="1333" spans="1:3" x14ac:dyDescent="0.25">
      <c r="A1333" s="1" t="s">
        <v>342</v>
      </c>
      <c r="B1333" s="74">
        <v>46233</v>
      </c>
      <c r="C1333" s="75">
        <v>1000</v>
      </c>
    </row>
    <row r="1334" spans="1:3" x14ac:dyDescent="0.25">
      <c r="A1334" s="1" t="s">
        <v>110</v>
      </c>
      <c r="B1334" s="74">
        <v>46233</v>
      </c>
      <c r="C1334" s="75">
        <v>65000</v>
      </c>
    </row>
    <row r="1335" spans="1:3" x14ac:dyDescent="0.25">
      <c r="A1335" s="1" t="s">
        <v>159</v>
      </c>
      <c r="B1335" s="74">
        <v>46233</v>
      </c>
      <c r="C1335" s="75">
        <v>1500</v>
      </c>
    </row>
    <row r="1336" spans="1:3" x14ac:dyDescent="0.25">
      <c r="A1336" s="1" t="s">
        <v>407</v>
      </c>
      <c r="B1336" s="74">
        <v>46233</v>
      </c>
      <c r="C1336" s="75">
        <v>1000</v>
      </c>
    </row>
    <row r="1337" spans="1:3" x14ac:dyDescent="0.25">
      <c r="A1337" s="1" t="s">
        <v>414</v>
      </c>
      <c r="B1337" s="74">
        <v>46233</v>
      </c>
      <c r="C1337" s="75">
        <v>1000</v>
      </c>
    </row>
    <row r="1338" spans="1:3" x14ac:dyDescent="0.25">
      <c r="A1338" s="1" t="s">
        <v>1286</v>
      </c>
      <c r="B1338" s="74">
        <v>46233</v>
      </c>
      <c r="C1338" s="75">
        <v>25000</v>
      </c>
    </row>
    <row r="1339" spans="1:3" x14ac:dyDescent="0.25">
      <c r="A1339" s="1" t="s">
        <v>141</v>
      </c>
      <c r="B1339" s="74">
        <v>46233</v>
      </c>
      <c r="C1339" s="75">
        <v>17000</v>
      </c>
    </row>
    <row r="1340" spans="1:3" x14ac:dyDescent="0.25">
      <c r="A1340" s="1" t="s">
        <v>55</v>
      </c>
      <c r="B1340" s="74">
        <v>46233</v>
      </c>
      <c r="C1340" s="75">
        <v>1050</v>
      </c>
    </row>
    <row r="1341" spans="1:3" x14ac:dyDescent="0.25">
      <c r="A1341" s="1" t="s">
        <v>496</v>
      </c>
      <c r="B1341" s="74">
        <v>46233</v>
      </c>
      <c r="C1341" s="75">
        <v>1001</v>
      </c>
    </row>
    <row r="1342" spans="1:3" x14ac:dyDescent="0.25">
      <c r="A1342" s="1" t="s">
        <v>634</v>
      </c>
      <c r="B1342" s="74">
        <v>46233</v>
      </c>
      <c r="C1342" s="75">
        <v>1000</v>
      </c>
    </row>
    <row r="1343" spans="1:3" x14ac:dyDescent="0.25">
      <c r="A1343" s="1" t="s">
        <v>955</v>
      </c>
      <c r="B1343" s="74">
        <v>46233</v>
      </c>
      <c r="C1343" s="75">
        <v>1000</v>
      </c>
    </row>
    <row r="1344" spans="1:3" x14ac:dyDescent="0.25">
      <c r="A1344" s="1" t="s">
        <v>663</v>
      </c>
      <c r="B1344" s="74">
        <v>46233</v>
      </c>
      <c r="C1344" s="75">
        <v>1000</v>
      </c>
    </row>
    <row r="1345" spans="1:3" x14ac:dyDescent="0.25">
      <c r="A1345" s="1" t="s">
        <v>606</v>
      </c>
      <c r="B1345" s="74">
        <v>46233</v>
      </c>
      <c r="C1345" s="75">
        <v>789</v>
      </c>
    </row>
    <row r="1346" spans="1:3" x14ac:dyDescent="0.25">
      <c r="A1346" s="1" t="s">
        <v>1304</v>
      </c>
      <c r="B1346" s="74">
        <v>46234</v>
      </c>
      <c r="C1346" s="75">
        <v>1000</v>
      </c>
    </row>
    <row r="1347" spans="1:3" x14ac:dyDescent="0.25">
      <c r="A1347" s="1" t="s">
        <v>220</v>
      </c>
      <c r="B1347" s="74">
        <v>46234</v>
      </c>
      <c r="C1347" s="75">
        <v>2500</v>
      </c>
    </row>
    <row r="1348" spans="1:3" x14ac:dyDescent="0.25">
      <c r="A1348" s="1" t="s">
        <v>771</v>
      </c>
      <c r="B1348" s="74">
        <v>46234</v>
      </c>
      <c r="C1348" s="75">
        <v>1001</v>
      </c>
    </row>
    <row r="1349" spans="1:3" x14ac:dyDescent="0.25">
      <c r="A1349" s="1" t="s">
        <v>734</v>
      </c>
      <c r="B1349" s="74">
        <v>46234</v>
      </c>
      <c r="C1349" s="75">
        <v>3000</v>
      </c>
    </row>
    <row r="1350" spans="1:3" x14ac:dyDescent="0.25">
      <c r="A1350" s="1" t="s">
        <v>384</v>
      </c>
      <c r="B1350" s="74">
        <v>46234</v>
      </c>
      <c r="C1350" s="75">
        <v>1500</v>
      </c>
    </row>
    <row r="1351" spans="1:3" x14ac:dyDescent="0.25">
      <c r="A1351" s="1" t="s">
        <v>803</v>
      </c>
      <c r="B1351" s="74">
        <v>46234</v>
      </c>
      <c r="C1351" s="75">
        <v>1000</v>
      </c>
    </row>
    <row r="1352" spans="1:3" x14ac:dyDescent="0.25">
      <c r="A1352" s="1" t="s">
        <v>768</v>
      </c>
      <c r="B1352" s="74">
        <v>46234</v>
      </c>
      <c r="C1352" s="75">
        <v>1000</v>
      </c>
    </row>
    <row r="1353" spans="1:3" x14ac:dyDescent="0.25">
      <c r="A1353" s="1" t="s">
        <v>857</v>
      </c>
      <c r="B1353" s="74">
        <v>46234</v>
      </c>
      <c r="C1353" s="75">
        <v>3000</v>
      </c>
    </row>
    <row r="1354" spans="1:3" x14ac:dyDescent="0.25">
      <c r="A1354" s="1" t="s">
        <v>745</v>
      </c>
      <c r="B1354" s="74">
        <v>46234</v>
      </c>
      <c r="C1354" s="75">
        <v>2000</v>
      </c>
    </row>
    <row r="1355" spans="1:3" x14ac:dyDescent="0.25">
      <c r="A1355" s="1" t="s">
        <v>417</v>
      </c>
      <c r="B1355" s="74">
        <v>46234</v>
      </c>
      <c r="C1355" s="75">
        <v>1000</v>
      </c>
    </row>
    <row r="1356" spans="1:3" x14ac:dyDescent="0.25">
      <c r="A1356" s="1" t="s">
        <v>760</v>
      </c>
      <c r="B1356" s="74">
        <v>46234</v>
      </c>
      <c r="C1356" s="75">
        <v>1000</v>
      </c>
    </row>
    <row r="1357" spans="1:3" x14ac:dyDescent="0.25">
      <c r="A1357" s="1" t="s">
        <v>385</v>
      </c>
      <c r="B1357" s="74">
        <v>46234</v>
      </c>
      <c r="C1357" s="75">
        <v>2000</v>
      </c>
    </row>
    <row r="1358" spans="1:3" x14ac:dyDescent="0.25">
      <c r="A1358" s="1" t="s">
        <v>588</v>
      </c>
      <c r="B1358" s="74">
        <v>46234</v>
      </c>
      <c r="C1358" s="75">
        <v>2000</v>
      </c>
    </row>
    <row r="1359" spans="1:3" x14ac:dyDescent="0.25">
      <c r="A1359" s="1" t="s">
        <v>948</v>
      </c>
      <c r="B1359" s="74">
        <v>46234</v>
      </c>
      <c r="C1359" s="75">
        <v>9757</v>
      </c>
    </row>
    <row r="1360" spans="1:3" x14ac:dyDescent="0.25">
      <c r="A1360" s="1" t="s">
        <v>52</v>
      </c>
      <c r="B1360" s="74">
        <v>46234</v>
      </c>
      <c r="C1360" s="75">
        <v>4900</v>
      </c>
    </row>
    <row r="1361" spans="1:3" x14ac:dyDescent="0.25">
      <c r="A1361" s="1" t="s">
        <v>1261</v>
      </c>
      <c r="B1361" s="74">
        <v>46234</v>
      </c>
      <c r="C1361" s="75">
        <v>1000</v>
      </c>
    </row>
    <row r="1362" spans="1:3" x14ac:dyDescent="0.25">
      <c r="A1362" s="1" t="s">
        <v>37</v>
      </c>
      <c r="B1362" s="74">
        <v>46234</v>
      </c>
      <c r="C1362" s="75">
        <v>1000</v>
      </c>
    </row>
    <row r="1363" spans="1:3" x14ac:dyDescent="0.25">
      <c r="A1363" s="1" t="s">
        <v>38</v>
      </c>
      <c r="B1363" s="74">
        <v>46234</v>
      </c>
      <c r="C1363" s="75">
        <v>1900</v>
      </c>
    </row>
    <row r="1364" spans="1:3" x14ac:dyDescent="0.25">
      <c r="A1364" s="1" t="s">
        <v>993</v>
      </c>
      <c r="B1364" s="74">
        <v>46234</v>
      </c>
      <c r="C1364" s="75">
        <v>2000</v>
      </c>
    </row>
    <row r="1365" spans="1:3" x14ac:dyDescent="0.25">
      <c r="A1365" s="1" t="s">
        <v>248</v>
      </c>
      <c r="B1365" s="74">
        <v>46234</v>
      </c>
      <c r="C1365" s="75">
        <v>1000</v>
      </c>
    </row>
    <row r="1366" spans="1:3" x14ac:dyDescent="0.25">
      <c r="A1366" s="1" t="s">
        <v>680</v>
      </c>
      <c r="B1366" s="74">
        <v>46234</v>
      </c>
      <c r="C1366" s="75">
        <v>1500</v>
      </c>
    </row>
    <row r="1367" spans="1:3" x14ac:dyDescent="0.25">
      <c r="A1367" s="1" t="s">
        <v>633</v>
      </c>
      <c r="B1367" s="74">
        <v>46234</v>
      </c>
      <c r="C1367" s="75">
        <v>1000</v>
      </c>
    </row>
    <row r="1368" spans="1:3" x14ac:dyDescent="0.25">
      <c r="A1368" s="1" t="s">
        <v>1044</v>
      </c>
      <c r="B1368" s="74">
        <v>46234</v>
      </c>
      <c r="C1368" s="75">
        <v>1000</v>
      </c>
    </row>
    <row r="1369" spans="1:3" x14ac:dyDescent="0.25">
      <c r="A1369" s="1" t="s">
        <v>332</v>
      </c>
      <c r="B1369" s="74">
        <v>46234</v>
      </c>
      <c r="C1369" s="75">
        <v>1000</v>
      </c>
    </row>
    <row r="1370" spans="1:3" x14ac:dyDescent="0.25">
      <c r="A1370" s="1" t="s">
        <v>510</v>
      </c>
      <c r="B1370" s="74">
        <v>46234</v>
      </c>
      <c r="C1370" s="75">
        <v>1000</v>
      </c>
    </row>
    <row r="1371" spans="1:3" x14ac:dyDescent="0.25">
      <c r="A1371" s="1" t="s">
        <v>869</v>
      </c>
      <c r="B1371" s="74">
        <v>46234</v>
      </c>
      <c r="C1371" s="75">
        <v>16000</v>
      </c>
    </row>
    <row r="1372" spans="1:3" x14ac:dyDescent="0.25">
      <c r="A1372" s="1" t="s">
        <v>1083</v>
      </c>
      <c r="B1372" s="74">
        <v>46234</v>
      </c>
      <c r="C1372" s="75">
        <v>1000</v>
      </c>
    </row>
    <row r="1373" spans="1:3" x14ac:dyDescent="0.25">
      <c r="A1373" s="1" t="s">
        <v>1327</v>
      </c>
      <c r="B1373" s="74">
        <v>46234</v>
      </c>
      <c r="C1373" s="75">
        <v>2000</v>
      </c>
    </row>
    <row r="1374" spans="1:3" x14ac:dyDescent="0.25">
      <c r="A1374" s="1" t="s">
        <v>763</v>
      </c>
      <c r="B1374" s="74">
        <v>46234</v>
      </c>
      <c r="C1374" s="75">
        <v>1000</v>
      </c>
    </row>
    <row r="1375" spans="1:3" x14ac:dyDescent="0.25">
      <c r="A1375" s="1" t="s">
        <v>1170</v>
      </c>
      <c r="B1375" s="74">
        <v>46234</v>
      </c>
      <c r="C1375" s="75">
        <v>2000</v>
      </c>
    </row>
    <row r="1376" spans="1:3" x14ac:dyDescent="0.25">
      <c r="A1376" s="1" t="s">
        <v>809</v>
      </c>
      <c r="B1376" s="74">
        <v>46234</v>
      </c>
      <c r="C1376" s="75">
        <v>5000</v>
      </c>
    </row>
    <row r="1377" spans="1:3" x14ac:dyDescent="0.25">
      <c r="A1377" s="1" t="s">
        <v>691</v>
      </c>
      <c r="B1377" s="74">
        <v>46234</v>
      </c>
      <c r="C1377" s="75">
        <v>1000</v>
      </c>
    </row>
    <row r="1378" spans="1:3" x14ac:dyDescent="0.25">
      <c r="A1378" s="1" t="s">
        <v>1376</v>
      </c>
      <c r="B1378" s="74">
        <v>46234</v>
      </c>
      <c r="C1378" s="75">
        <v>1000</v>
      </c>
    </row>
    <row r="1379" spans="1:3" x14ac:dyDescent="0.25">
      <c r="A1379" s="1" t="s">
        <v>199</v>
      </c>
      <c r="B1379" s="74">
        <v>46234</v>
      </c>
      <c r="C1379" s="75">
        <v>1000</v>
      </c>
    </row>
    <row r="1380" spans="1:3" x14ac:dyDescent="0.25">
      <c r="A1380" s="1" t="s">
        <v>761</v>
      </c>
      <c r="B1380" s="74">
        <v>46234</v>
      </c>
      <c r="C1380" s="75">
        <v>1000</v>
      </c>
    </row>
    <row r="1381" spans="1:3" x14ac:dyDescent="0.25">
      <c r="A1381" s="1" t="s">
        <v>514</v>
      </c>
      <c r="B1381" s="74">
        <v>46234</v>
      </c>
      <c r="C1381" s="75">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54B81-4F8F-4B2A-BD86-D9ADEA0850DD}">
  <dimension ref="A1:BQ48"/>
  <sheetViews>
    <sheetView workbookViewId="0">
      <selection activeCell="BQ2" sqref="BQ2:BQ48"/>
    </sheetView>
  </sheetViews>
  <sheetFormatPr defaultRowHeight="15" x14ac:dyDescent="0.25"/>
  <sheetData>
    <row r="1" spans="1:69" ht="75" x14ac:dyDescent="0.25">
      <c r="A1" s="4" t="s">
        <v>1442</v>
      </c>
      <c r="B1" s="5" t="s">
        <v>1443</v>
      </c>
      <c r="C1" s="5" t="s">
        <v>1444</v>
      </c>
      <c r="D1" s="5" t="s">
        <v>1445</v>
      </c>
      <c r="E1" s="5" t="s">
        <v>1446</v>
      </c>
      <c r="F1" s="5" t="s">
        <v>1447</v>
      </c>
      <c r="G1" s="5" t="s">
        <v>1448</v>
      </c>
      <c r="H1" s="5" t="s">
        <v>1449</v>
      </c>
      <c r="I1" s="5" t="s">
        <v>1450</v>
      </c>
      <c r="J1" s="5" t="s">
        <v>1451</v>
      </c>
      <c r="K1" s="5" t="s">
        <v>1452</v>
      </c>
      <c r="L1" s="5" t="s">
        <v>1453</v>
      </c>
      <c r="M1" s="5" t="s">
        <v>1454</v>
      </c>
      <c r="N1" s="5" t="s">
        <v>1455</v>
      </c>
      <c r="O1" s="5" t="s">
        <v>1456</v>
      </c>
      <c r="P1" s="5" t="s">
        <v>1457</v>
      </c>
      <c r="Q1" s="5" t="s">
        <v>1458</v>
      </c>
      <c r="R1" s="5" t="s">
        <v>1459</v>
      </c>
      <c r="S1" s="5" t="s">
        <v>1460</v>
      </c>
      <c r="T1" s="5" t="s">
        <v>1461</v>
      </c>
      <c r="U1" s="6">
        <v>46204</v>
      </c>
      <c r="V1" s="6">
        <v>46205</v>
      </c>
      <c r="W1" s="6">
        <v>46206</v>
      </c>
      <c r="X1" s="6">
        <v>46207</v>
      </c>
      <c r="Y1" s="6">
        <v>46208</v>
      </c>
      <c r="Z1" s="6">
        <v>46209</v>
      </c>
      <c r="AA1" s="6">
        <v>46210</v>
      </c>
      <c r="AB1" s="6">
        <v>46211</v>
      </c>
      <c r="AC1" s="6">
        <v>46212</v>
      </c>
      <c r="AD1" s="6">
        <v>46213</v>
      </c>
      <c r="AE1" s="6">
        <v>46214</v>
      </c>
      <c r="AF1" s="6">
        <v>46215</v>
      </c>
      <c r="AG1" s="6">
        <v>46216</v>
      </c>
      <c r="AH1" s="6">
        <v>46217</v>
      </c>
      <c r="AI1" s="6">
        <v>46218</v>
      </c>
      <c r="AJ1" s="6">
        <v>46219</v>
      </c>
      <c r="AK1" s="6">
        <v>46220</v>
      </c>
      <c r="AL1" s="6">
        <v>46221</v>
      </c>
      <c r="AM1" s="6">
        <v>46222</v>
      </c>
      <c r="AN1" s="6">
        <v>46223</v>
      </c>
      <c r="AO1" s="6">
        <v>46224</v>
      </c>
      <c r="AP1" s="6">
        <v>46225</v>
      </c>
      <c r="AQ1" s="6">
        <v>46226</v>
      </c>
      <c r="AR1" s="6">
        <v>46227</v>
      </c>
      <c r="AS1" s="6">
        <v>46228</v>
      </c>
      <c r="AT1" s="6">
        <v>46229</v>
      </c>
      <c r="AU1" s="6">
        <v>46230</v>
      </c>
      <c r="AV1" s="6">
        <v>46231</v>
      </c>
      <c r="AW1" s="6">
        <v>46232</v>
      </c>
      <c r="AX1" s="6">
        <v>46233</v>
      </c>
      <c r="AY1" s="6">
        <v>46234</v>
      </c>
      <c r="AZ1" s="7" t="s">
        <v>1462</v>
      </c>
      <c r="BA1" s="8" t="s">
        <v>1463</v>
      </c>
      <c r="BB1" s="9" t="s">
        <v>1464</v>
      </c>
      <c r="BC1" s="10" t="s">
        <v>1465</v>
      </c>
      <c r="BD1" s="11" t="s">
        <v>1466</v>
      </c>
      <c r="BE1" s="12" t="s">
        <v>1467</v>
      </c>
      <c r="BF1" s="12" t="s">
        <v>1468</v>
      </c>
      <c r="BG1" s="13" t="s">
        <v>1469</v>
      </c>
      <c r="BH1" s="14" t="s">
        <v>1470</v>
      </c>
      <c r="BI1" s="15" t="s">
        <v>1471</v>
      </c>
      <c r="BJ1" s="16" t="s">
        <v>1472</v>
      </c>
      <c r="BK1" s="17" t="s">
        <v>1473</v>
      </c>
      <c r="BL1" s="8" t="s">
        <v>1474</v>
      </c>
      <c r="BM1" s="18" t="s">
        <v>1475</v>
      </c>
      <c r="BN1" s="19" t="s">
        <v>1476</v>
      </c>
      <c r="BO1" s="19" t="s">
        <v>1477</v>
      </c>
      <c r="BP1" s="19" t="s">
        <v>1478</v>
      </c>
      <c r="BQ1" s="110" t="s">
        <v>1890</v>
      </c>
    </row>
    <row r="2" spans="1:69" x14ac:dyDescent="0.25">
      <c r="A2" s="20">
        <v>1</v>
      </c>
      <c r="B2" s="20" t="s">
        <v>1479</v>
      </c>
      <c r="C2" s="20" t="s">
        <v>1480</v>
      </c>
      <c r="D2" s="20" t="s">
        <v>1481</v>
      </c>
      <c r="E2" s="20" t="s">
        <v>1482</v>
      </c>
      <c r="F2" s="21" t="s">
        <v>1398</v>
      </c>
      <c r="G2" s="20" t="s">
        <v>1483</v>
      </c>
      <c r="H2" s="22">
        <v>45152</v>
      </c>
      <c r="I2" s="20"/>
      <c r="J2" s="23" t="s">
        <v>1484</v>
      </c>
      <c r="K2" s="20" t="s">
        <v>1485</v>
      </c>
      <c r="L2" s="20" t="s">
        <v>1486</v>
      </c>
      <c r="M2" s="20" t="s">
        <v>1487</v>
      </c>
      <c r="N2" s="20" t="s">
        <v>1488</v>
      </c>
      <c r="O2" s="20" t="s">
        <v>1488</v>
      </c>
      <c r="P2" s="20">
        <v>9301953889</v>
      </c>
      <c r="Q2" s="20"/>
      <c r="R2" s="20" t="s">
        <v>1489</v>
      </c>
      <c r="S2" s="20" t="s">
        <v>1490</v>
      </c>
      <c r="T2" s="20" t="s">
        <v>1491</v>
      </c>
      <c r="U2" s="24" t="s">
        <v>1492</v>
      </c>
      <c r="V2" s="25" t="s">
        <v>1465</v>
      </c>
      <c r="W2" s="24" t="s">
        <v>1492</v>
      </c>
      <c r="X2" s="26" t="s">
        <v>1493</v>
      </c>
      <c r="Y2" s="24" t="s">
        <v>1492</v>
      </c>
      <c r="Z2" s="24" t="s">
        <v>1492</v>
      </c>
      <c r="AA2" s="24" t="s">
        <v>1492</v>
      </c>
      <c r="AB2" s="24" t="s">
        <v>1492</v>
      </c>
      <c r="AC2" s="24" t="s">
        <v>1492</v>
      </c>
      <c r="AD2" s="24" t="s">
        <v>1492</v>
      </c>
      <c r="AE2" s="24" t="s">
        <v>1492</v>
      </c>
      <c r="AF2" s="26" t="s">
        <v>1493</v>
      </c>
      <c r="AG2" s="24" t="s">
        <v>1492</v>
      </c>
      <c r="AH2" s="24" t="s">
        <v>1492</v>
      </c>
      <c r="AI2" s="24" t="s">
        <v>1492</v>
      </c>
      <c r="AJ2" s="24" t="s">
        <v>1492</v>
      </c>
      <c r="AK2" s="24" t="s">
        <v>1492</v>
      </c>
      <c r="AL2" s="27" t="s">
        <v>1493</v>
      </c>
      <c r="AM2" s="28" t="s">
        <v>1492</v>
      </c>
      <c r="AN2" s="24" t="s">
        <v>1492</v>
      </c>
      <c r="AO2" s="24" t="s">
        <v>1492</v>
      </c>
      <c r="AP2" s="24" t="s">
        <v>1492</v>
      </c>
      <c r="AQ2" s="24" t="s">
        <v>1492</v>
      </c>
      <c r="AR2" s="24" t="s">
        <v>1492</v>
      </c>
      <c r="AS2" s="27" t="s">
        <v>1493</v>
      </c>
      <c r="AT2" s="28" t="s">
        <v>1492</v>
      </c>
      <c r="AU2" s="24" t="s">
        <v>1492</v>
      </c>
      <c r="AV2" s="24" t="s">
        <v>1492</v>
      </c>
      <c r="AW2" s="24" t="s">
        <v>1492</v>
      </c>
      <c r="AX2" s="24" t="s">
        <v>1492</v>
      </c>
      <c r="AY2" s="20"/>
      <c r="AZ2" s="20">
        <f t="shared" ref="AZ2:AZ48" si="0">COUNTA(U2:AY2)-COUNTIF(U2:AY2,"N/A")-COUNTIF(U2:AY2,"attrite")</f>
        <v>30</v>
      </c>
      <c r="BA2" s="20">
        <f t="shared" ref="BA2:BA48" si="1">COUNTIF(U2:AY2,"PP")</f>
        <v>25</v>
      </c>
      <c r="BB2" s="20">
        <f t="shared" ref="BB2:BB48" si="2">COUNTIF(U2:AY2,"Half-Day")</f>
        <v>0</v>
      </c>
      <c r="BC2" s="20">
        <f t="shared" ref="BC2:BC48" si="3">COUNTIF(U2:AY2,"Leave")</f>
        <v>1</v>
      </c>
      <c r="BD2" s="20">
        <f t="shared" ref="BD2:BD48" si="4">COUNTIF(U2:AY2,"CL")</f>
        <v>0</v>
      </c>
      <c r="BE2" s="20">
        <f t="shared" ref="BE2:BE48" si="5">COUNTIF(U2:AY2,"HO")</f>
        <v>0</v>
      </c>
      <c r="BF2" s="20">
        <f t="shared" ref="BF2:BF48" ca="1" si="6">COUNTIF(AY2:$BZT2,"Comp-off")</f>
        <v>0</v>
      </c>
      <c r="BG2" s="20">
        <f t="shared" ref="BG2:BG48" si="7">COUNTIF(U2:AY2,"EL")</f>
        <v>0</v>
      </c>
      <c r="BH2" s="20">
        <f t="shared" ref="BH2:BH48" si="8">COUNTIF(U2:AY2,"UL")</f>
        <v>0</v>
      </c>
      <c r="BI2" s="20">
        <f t="shared" ref="BI2:BI48" si="9">COUNTIF(U2:AY2,"UL P")</f>
        <v>0</v>
      </c>
      <c r="BJ2" s="20">
        <f t="shared" ref="BJ2:BJ48" si="10">COUNTIF(U2:AY2,"LWP")</f>
        <v>0</v>
      </c>
      <c r="BK2" s="20">
        <f t="shared" ref="BK2:BK48" si="11">COUNTIF(U2:AY2,"WO")</f>
        <v>4</v>
      </c>
      <c r="BL2" s="20">
        <f t="shared" ref="BL2:BL48" ca="1" si="12">BA2+BB2*0.5+BK2+BE2+BD2+BF2+BG2</f>
        <v>29</v>
      </c>
      <c r="BM2" s="20">
        <v>120</v>
      </c>
      <c r="BN2" s="29">
        <v>25</v>
      </c>
      <c r="BO2" s="29">
        <f>INT(BM2*0.8)</f>
        <v>96</v>
      </c>
      <c r="BP2" s="29">
        <f>INT(BN2*0.8)</f>
        <v>20</v>
      </c>
      <c r="BQ2">
        <f>BB2*0.5+BC2+BH2</f>
        <v>1</v>
      </c>
    </row>
    <row r="3" spans="1:69" x14ac:dyDescent="0.25">
      <c r="A3" s="20">
        <v>2</v>
      </c>
      <c r="B3" s="20" t="s">
        <v>1494</v>
      </c>
      <c r="C3" s="20" t="s">
        <v>1495</v>
      </c>
      <c r="D3" s="20" t="s">
        <v>1496</v>
      </c>
      <c r="E3" s="20" t="s">
        <v>1496</v>
      </c>
      <c r="F3" s="21" t="s">
        <v>1406</v>
      </c>
      <c r="G3" s="20" t="s">
        <v>1483</v>
      </c>
      <c r="H3" s="22">
        <v>45182</v>
      </c>
      <c r="I3" s="20"/>
      <c r="J3" s="23" t="s">
        <v>1484</v>
      </c>
      <c r="K3" s="20" t="s">
        <v>1485</v>
      </c>
      <c r="L3" s="20" t="s">
        <v>1486</v>
      </c>
      <c r="M3" s="20" t="s">
        <v>1487</v>
      </c>
      <c r="N3" s="20" t="s">
        <v>1488</v>
      </c>
      <c r="O3" s="20" t="s">
        <v>1488</v>
      </c>
      <c r="P3" s="20">
        <v>9589543480</v>
      </c>
      <c r="Q3" s="20"/>
      <c r="R3" s="20" t="s">
        <v>1497</v>
      </c>
      <c r="S3" s="20" t="s">
        <v>1498</v>
      </c>
      <c r="T3" s="20" t="s">
        <v>1499</v>
      </c>
      <c r="U3" s="25" t="s">
        <v>1465</v>
      </c>
      <c r="V3" s="30" t="s">
        <v>1500</v>
      </c>
      <c r="W3" s="24" t="s">
        <v>1492</v>
      </c>
      <c r="X3" s="24" t="s">
        <v>1492</v>
      </c>
      <c r="Y3" s="26" t="s">
        <v>1493</v>
      </c>
      <c r="Z3" s="24" t="s">
        <v>1492</v>
      </c>
      <c r="AA3" s="24" t="s">
        <v>1492</v>
      </c>
      <c r="AB3" s="24" t="s">
        <v>1492</v>
      </c>
      <c r="AC3" s="24" t="s">
        <v>1492</v>
      </c>
      <c r="AD3" s="24" t="s">
        <v>1492</v>
      </c>
      <c r="AE3" s="26" t="s">
        <v>1493</v>
      </c>
      <c r="AF3" s="24" t="s">
        <v>1492</v>
      </c>
      <c r="AG3" s="24" t="s">
        <v>1492</v>
      </c>
      <c r="AH3" s="24" t="s">
        <v>1492</v>
      </c>
      <c r="AI3" s="24" t="s">
        <v>1492</v>
      </c>
      <c r="AJ3" s="24" t="s">
        <v>1492</v>
      </c>
      <c r="AK3" s="24" t="s">
        <v>1492</v>
      </c>
      <c r="AL3" s="28" t="s">
        <v>1492</v>
      </c>
      <c r="AM3" s="26" t="s">
        <v>1493</v>
      </c>
      <c r="AN3" s="24" t="s">
        <v>1492</v>
      </c>
      <c r="AO3" s="24" t="s">
        <v>1492</v>
      </c>
      <c r="AP3" s="24" t="s">
        <v>1492</v>
      </c>
      <c r="AQ3" s="24" t="s">
        <v>1492</v>
      </c>
      <c r="AR3" s="24" t="s">
        <v>1492</v>
      </c>
      <c r="AS3" s="31" t="s">
        <v>1501</v>
      </c>
      <c r="AT3" s="26" t="s">
        <v>1493</v>
      </c>
      <c r="AU3" s="24" t="s">
        <v>1492</v>
      </c>
      <c r="AV3" s="24" t="s">
        <v>1492</v>
      </c>
      <c r="AW3" s="24" t="s">
        <v>1492</v>
      </c>
      <c r="AX3" s="24" t="s">
        <v>1492</v>
      </c>
      <c r="AY3" s="20"/>
      <c r="AZ3" s="20">
        <f t="shared" si="0"/>
        <v>30</v>
      </c>
      <c r="BA3" s="20">
        <f t="shared" si="1"/>
        <v>23</v>
      </c>
      <c r="BB3" s="20">
        <f t="shared" si="2"/>
        <v>0</v>
      </c>
      <c r="BC3" s="20">
        <f t="shared" si="3"/>
        <v>1</v>
      </c>
      <c r="BD3" s="20">
        <f t="shared" si="4"/>
        <v>1</v>
      </c>
      <c r="BE3" s="20">
        <f t="shared" si="5"/>
        <v>0</v>
      </c>
      <c r="BF3" s="20">
        <f t="shared" ca="1" si="6"/>
        <v>0</v>
      </c>
      <c r="BG3" s="20">
        <f t="shared" si="7"/>
        <v>0</v>
      </c>
      <c r="BH3" s="20">
        <f t="shared" si="8"/>
        <v>1</v>
      </c>
      <c r="BI3" s="20">
        <f t="shared" si="9"/>
        <v>0</v>
      </c>
      <c r="BJ3" s="20">
        <f t="shared" si="10"/>
        <v>0</v>
      </c>
      <c r="BK3" s="20">
        <f t="shared" si="11"/>
        <v>4</v>
      </c>
      <c r="BL3" s="20">
        <f t="shared" ca="1" si="12"/>
        <v>28</v>
      </c>
      <c r="BM3" s="20">
        <v>120</v>
      </c>
      <c r="BN3" s="29">
        <v>25</v>
      </c>
      <c r="BO3" s="29">
        <f t="shared" ref="BO3:BP7" si="13">INT(BM3*0.8)</f>
        <v>96</v>
      </c>
      <c r="BP3" s="29">
        <f t="shared" si="13"/>
        <v>20</v>
      </c>
      <c r="BQ3">
        <f t="shared" ref="BQ3:BQ48" si="14">BB3*0.5+BC3+BH3</f>
        <v>2</v>
      </c>
    </row>
    <row r="4" spans="1:69" x14ac:dyDescent="0.25">
      <c r="A4" s="20">
        <v>3</v>
      </c>
      <c r="B4" s="20" t="s">
        <v>1502</v>
      </c>
      <c r="C4" s="20" t="s">
        <v>1503</v>
      </c>
      <c r="D4" s="20" t="s">
        <v>1504</v>
      </c>
      <c r="E4" s="20" t="s">
        <v>1505</v>
      </c>
      <c r="F4" s="21" t="s">
        <v>1408</v>
      </c>
      <c r="G4" s="20" t="s">
        <v>1483</v>
      </c>
      <c r="H4" s="32">
        <v>45512</v>
      </c>
      <c r="I4" s="20"/>
      <c r="J4" s="23" t="s">
        <v>1484</v>
      </c>
      <c r="K4" s="20" t="s">
        <v>1485</v>
      </c>
      <c r="L4" s="20" t="s">
        <v>1486</v>
      </c>
      <c r="M4" s="20" t="s">
        <v>1487</v>
      </c>
      <c r="N4" s="20" t="s">
        <v>1506</v>
      </c>
      <c r="O4" s="20" t="s">
        <v>1488</v>
      </c>
      <c r="P4" s="20">
        <v>7415290527</v>
      </c>
      <c r="Q4" s="20"/>
      <c r="R4" s="20" t="s">
        <v>1488</v>
      </c>
      <c r="S4" s="20" t="s">
        <v>1507</v>
      </c>
      <c r="T4" s="20" t="s">
        <v>1508</v>
      </c>
      <c r="U4" s="24" t="s">
        <v>1492</v>
      </c>
      <c r="V4" s="24" t="s">
        <v>1492</v>
      </c>
      <c r="W4" s="24" t="s">
        <v>1492</v>
      </c>
      <c r="X4" s="10" t="s">
        <v>1465</v>
      </c>
      <c r="Y4" s="26" t="s">
        <v>1493</v>
      </c>
      <c r="Z4" s="24" t="s">
        <v>1492</v>
      </c>
      <c r="AA4" s="24" t="s">
        <v>1492</v>
      </c>
      <c r="AB4" s="24" t="s">
        <v>1492</v>
      </c>
      <c r="AC4" s="24" t="s">
        <v>1492</v>
      </c>
      <c r="AD4" s="24" t="s">
        <v>1492</v>
      </c>
      <c r="AE4" s="26" t="s">
        <v>1493</v>
      </c>
      <c r="AF4" s="24" t="s">
        <v>1492</v>
      </c>
      <c r="AG4" s="24" t="s">
        <v>1492</v>
      </c>
      <c r="AH4" s="24" t="s">
        <v>1492</v>
      </c>
      <c r="AI4" s="24" t="s">
        <v>1492</v>
      </c>
      <c r="AJ4" s="24" t="s">
        <v>1492</v>
      </c>
      <c r="AK4" s="31" t="s">
        <v>1465</v>
      </c>
      <c r="AL4" s="28" t="s">
        <v>1492</v>
      </c>
      <c r="AM4" s="26" t="s">
        <v>1493</v>
      </c>
      <c r="AN4" s="24" t="s">
        <v>1492</v>
      </c>
      <c r="AO4" s="24" t="s">
        <v>1492</v>
      </c>
      <c r="AP4" s="24" t="s">
        <v>1492</v>
      </c>
      <c r="AQ4" s="24" t="s">
        <v>1492</v>
      </c>
      <c r="AR4" s="24" t="s">
        <v>1492</v>
      </c>
      <c r="AS4" s="27" t="s">
        <v>1493</v>
      </c>
      <c r="AT4" s="28" t="s">
        <v>1492</v>
      </c>
      <c r="AU4" s="24" t="s">
        <v>1492</v>
      </c>
      <c r="AV4" s="24" t="s">
        <v>1492</v>
      </c>
      <c r="AW4" s="24" t="s">
        <v>1492</v>
      </c>
      <c r="AX4" s="24" t="s">
        <v>1492</v>
      </c>
      <c r="AY4" s="20"/>
      <c r="AZ4" s="20">
        <f t="shared" si="0"/>
        <v>30</v>
      </c>
      <c r="BA4" s="20">
        <f t="shared" si="1"/>
        <v>24</v>
      </c>
      <c r="BB4" s="20">
        <f t="shared" si="2"/>
        <v>0</v>
      </c>
      <c r="BC4" s="20">
        <f t="shared" si="3"/>
        <v>2</v>
      </c>
      <c r="BD4" s="20">
        <f t="shared" si="4"/>
        <v>0</v>
      </c>
      <c r="BE4" s="20">
        <f t="shared" si="5"/>
        <v>0</v>
      </c>
      <c r="BF4" s="20">
        <f t="shared" ca="1" si="6"/>
        <v>0</v>
      </c>
      <c r="BG4" s="20">
        <f t="shared" si="7"/>
        <v>0</v>
      </c>
      <c r="BH4" s="20">
        <f t="shared" si="8"/>
        <v>0</v>
      </c>
      <c r="BI4" s="20">
        <f t="shared" si="9"/>
        <v>0</v>
      </c>
      <c r="BJ4" s="20">
        <f t="shared" si="10"/>
        <v>0</v>
      </c>
      <c r="BK4" s="20">
        <f t="shared" si="11"/>
        <v>4</v>
      </c>
      <c r="BL4" s="20">
        <f t="shared" ca="1" si="12"/>
        <v>28</v>
      </c>
      <c r="BM4" s="20">
        <v>120</v>
      </c>
      <c r="BN4" s="29">
        <v>25</v>
      </c>
      <c r="BO4" s="29">
        <f t="shared" si="13"/>
        <v>96</v>
      </c>
      <c r="BP4" s="29">
        <f t="shared" si="13"/>
        <v>20</v>
      </c>
      <c r="BQ4">
        <f t="shared" si="14"/>
        <v>2</v>
      </c>
    </row>
    <row r="5" spans="1:69" x14ac:dyDescent="0.25">
      <c r="A5" s="20">
        <v>4</v>
      </c>
      <c r="B5" s="20" t="s">
        <v>1509</v>
      </c>
      <c r="C5" s="20" t="s">
        <v>1510</v>
      </c>
      <c r="D5" s="20" t="s">
        <v>1511</v>
      </c>
      <c r="E5" s="20" t="s">
        <v>1512</v>
      </c>
      <c r="F5" s="21" t="s">
        <v>1412</v>
      </c>
      <c r="G5" s="20" t="s">
        <v>1483</v>
      </c>
      <c r="H5" s="22">
        <v>45800</v>
      </c>
      <c r="I5" s="20"/>
      <c r="J5" s="23" t="s">
        <v>1484</v>
      </c>
      <c r="K5" s="20" t="s">
        <v>1485</v>
      </c>
      <c r="L5" s="20" t="s">
        <v>1513</v>
      </c>
      <c r="M5" s="20" t="s">
        <v>1487</v>
      </c>
      <c r="N5" s="20" t="s">
        <v>1506</v>
      </c>
      <c r="O5" s="20" t="s">
        <v>1488</v>
      </c>
      <c r="P5" s="20">
        <v>9401001984</v>
      </c>
      <c r="Q5" s="20"/>
      <c r="R5" s="20" t="s">
        <v>1514</v>
      </c>
      <c r="S5" s="20" t="s">
        <v>1498</v>
      </c>
      <c r="T5" s="33" t="s">
        <v>1515</v>
      </c>
      <c r="U5" s="24" t="s">
        <v>1492</v>
      </c>
      <c r="V5" s="24" t="s">
        <v>1492</v>
      </c>
      <c r="W5" s="24" t="s">
        <v>1492</v>
      </c>
      <c r="X5" s="26" t="s">
        <v>1493</v>
      </c>
      <c r="Y5" s="24" t="s">
        <v>1492</v>
      </c>
      <c r="Z5" s="24" t="s">
        <v>1492</v>
      </c>
      <c r="AA5" s="24" t="s">
        <v>1492</v>
      </c>
      <c r="AB5" s="24" t="s">
        <v>1492</v>
      </c>
      <c r="AC5" s="24" t="s">
        <v>1492</v>
      </c>
      <c r="AD5" s="24" t="s">
        <v>1492</v>
      </c>
      <c r="AE5" s="24" t="s">
        <v>1492</v>
      </c>
      <c r="AF5" s="26" t="s">
        <v>1493</v>
      </c>
      <c r="AG5" s="31" t="s">
        <v>1465</v>
      </c>
      <c r="AH5" s="31" t="s">
        <v>1465</v>
      </c>
      <c r="AI5" s="24" t="s">
        <v>1492</v>
      </c>
      <c r="AJ5" s="24" t="s">
        <v>1492</v>
      </c>
      <c r="AK5" s="24" t="s">
        <v>1492</v>
      </c>
      <c r="AL5" s="27" t="s">
        <v>1493</v>
      </c>
      <c r="AM5" s="28" t="s">
        <v>1492</v>
      </c>
      <c r="AN5" s="24" t="s">
        <v>1492</v>
      </c>
      <c r="AO5" s="24" t="s">
        <v>1492</v>
      </c>
      <c r="AP5" s="24" t="s">
        <v>1492</v>
      </c>
      <c r="AQ5" s="24" t="s">
        <v>1492</v>
      </c>
      <c r="AR5" s="24" t="s">
        <v>1492</v>
      </c>
      <c r="AS5" s="28" t="s">
        <v>1492</v>
      </c>
      <c r="AT5" s="27" t="s">
        <v>1493</v>
      </c>
      <c r="AU5" s="24" t="s">
        <v>1492</v>
      </c>
      <c r="AV5" s="24" t="s">
        <v>1492</v>
      </c>
      <c r="AW5" s="24" t="s">
        <v>1492</v>
      </c>
      <c r="AX5" s="24" t="s">
        <v>1492</v>
      </c>
      <c r="AY5" s="20"/>
      <c r="AZ5" s="20">
        <f t="shared" si="0"/>
        <v>30</v>
      </c>
      <c r="BA5" s="20">
        <f t="shared" si="1"/>
        <v>24</v>
      </c>
      <c r="BB5" s="20">
        <f t="shared" si="2"/>
        <v>0</v>
      </c>
      <c r="BC5" s="20">
        <f t="shared" si="3"/>
        <v>2</v>
      </c>
      <c r="BD5" s="20">
        <f t="shared" si="4"/>
        <v>0</v>
      </c>
      <c r="BE5" s="20">
        <f t="shared" si="5"/>
        <v>0</v>
      </c>
      <c r="BF5" s="20">
        <f t="shared" ca="1" si="6"/>
        <v>0</v>
      </c>
      <c r="BG5" s="20">
        <f t="shared" si="7"/>
        <v>0</v>
      </c>
      <c r="BH5" s="20">
        <f t="shared" si="8"/>
        <v>0</v>
      </c>
      <c r="BI5" s="20">
        <f t="shared" si="9"/>
        <v>0</v>
      </c>
      <c r="BJ5" s="20">
        <f t="shared" si="10"/>
        <v>0</v>
      </c>
      <c r="BK5" s="20">
        <f t="shared" si="11"/>
        <v>4</v>
      </c>
      <c r="BL5" s="20">
        <f t="shared" ca="1" si="12"/>
        <v>28</v>
      </c>
      <c r="BM5" s="20">
        <v>120</v>
      </c>
      <c r="BN5" s="29">
        <v>25</v>
      </c>
      <c r="BO5" s="29">
        <f t="shared" si="13"/>
        <v>96</v>
      </c>
      <c r="BP5" s="29">
        <f t="shared" si="13"/>
        <v>20</v>
      </c>
      <c r="BQ5">
        <f t="shared" si="14"/>
        <v>2</v>
      </c>
    </row>
    <row r="6" spans="1:69" x14ac:dyDescent="0.25">
      <c r="A6" s="20">
        <v>5</v>
      </c>
      <c r="B6" s="20" t="s">
        <v>1516</v>
      </c>
      <c r="C6" s="20" t="s">
        <v>1517</v>
      </c>
      <c r="D6" s="20" t="s">
        <v>1518</v>
      </c>
      <c r="E6" s="20" t="s">
        <v>1519</v>
      </c>
      <c r="F6" s="21" t="s">
        <v>1399</v>
      </c>
      <c r="G6" s="20" t="s">
        <v>1483</v>
      </c>
      <c r="H6" s="34">
        <v>45777</v>
      </c>
      <c r="I6" s="20"/>
      <c r="J6" s="23" t="s">
        <v>1484</v>
      </c>
      <c r="K6" s="20" t="s">
        <v>1485</v>
      </c>
      <c r="L6" s="20" t="s">
        <v>1513</v>
      </c>
      <c r="M6" s="20" t="s">
        <v>1487</v>
      </c>
      <c r="N6" s="20" t="s">
        <v>1506</v>
      </c>
      <c r="O6" s="20" t="s">
        <v>1488</v>
      </c>
      <c r="P6" s="20"/>
      <c r="Q6" s="20"/>
      <c r="R6" s="20" t="s">
        <v>1520</v>
      </c>
      <c r="S6" s="20" t="s">
        <v>1521</v>
      </c>
      <c r="T6" s="20" t="s">
        <v>1522</v>
      </c>
      <c r="U6" s="24" t="s">
        <v>1492</v>
      </c>
      <c r="V6" s="24" t="s">
        <v>1492</v>
      </c>
      <c r="W6" s="24" t="s">
        <v>1492</v>
      </c>
      <c r="X6" s="24" t="s">
        <v>1492</v>
      </c>
      <c r="Y6" s="26" t="s">
        <v>1493</v>
      </c>
      <c r="Z6" s="24" t="s">
        <v>1492</v>
      </c>
      <c r="AA6" s="24" t="s">
        <v>1492</v>
      </c>
      <c r="AB6" s="24" t="s">
        <v>1492</v>
      </c>
      <c r="AC6" s="24" t="s">
        <v>1492</v>
      </c>
      <c r="AD6" s="24" t="s">
        <v>1492</v>
      </c>
      <c r="AE6" s="24" t="s">
        <v>1492</v>
      </c>
      <c r="AF6" s="26" t="s">
        <v>1493</v>
      </c>
      <c r="AG6" s="24" t="s">
        <v>1492</v>
      </c>
      <c r="AH6" s="24" t="s">
        <v>1492</v>
      </c>
      <c r="AI6" s="24" t="s">
        <v>1492</v>
      </c>
      <c r="AJ6" s="24" t="s">
        <v>1492</v>
      </c>
      <c r="AK6" s="24" t="s">
        <v>1492</v>
      </c>
      <c r="AL6" s="26" t="s">
        <v>1493</v>
      </c>
      <c r="AM6" s="31" t="s">
        <v>1501</v>
      </c>
      <c r="AN6" s="24" t="s">
        <v>1492</v>
      </c>
      <c r="AO6" s="24" t="s">
        <v>1492</v>
      </c>
      <c r="AP6" s="24" t="s">
        <v>1492</v>
      </c>
      <c r="AQ6" s="24" t="s">
        <v>1492</v>
      </c>
      <c r="AR6" s="24" t="s">
        <v>1492</v>
      </c>
      <c r="AS6" s="28" t="s">
        <v>1492</v>
      </c>
      <c r="AT6" s="27" t="s">
        <v>1493</v>
      </c>
      <c r="AU6" s="24" t="s">
        <v>1492</v>
      </c>
      <c r="AV6" s="24" t="s">
        <v>1492</v>
      </c>
      <c r="AW6" s="24" t="s">
        <v>1492</v>
      </c>
      <c r="AX6" s="24" t="s">
        <v>1492</v>
      </c>
      <c r="AY6" s="20"/>
      <c r="AZ6" s="20">
        <f t="shared" si="0"/>
        <v>30</v>
      </c>
      <c r="BA6" s="20">
        <f t="shared" si="1"/>
        <v>25</v>
      </c>
      <c r="BB6" s="20">
        <f t="shared" si="2"/>
        <v>0</v>
      </c>
      <c r="BC6" s="20">
        <f t="shared" si="3"/>
        <v>0</v>
      </c>
      <c r="BD6" s="20">
        <f t="shared" si="4"/>
        <v>1</v>
      </c>
      <c r="BE6" s="20">
        <f t="shared" si="5"/>
        <v>0</v>
      </c>
      <c r="BF6" s="20">
        <f t="shared" ca="1" si="6"/>
        <v>0</v>
      </c>
      <c r="BG6" s="20">
        <f t="shared" si="7"/>
        <v>0</v>
      </c>
      <c r="BH6" s="20">
        <f t="shared" si="8"/>
        <v>0</v>
      </c>
      <c r="BI6" s="20">
        <f t="shared" si="9"/>
        <v>0</v>
      </c>
      <c r="BJ6" s="20">
        <f t="shared" si="10"/>
        <v>0</v>
      </c>
      <c r="BK6" s="20">
        <f t="shared" si="11"/>
        <v>4</v>
      </c>
      <c r="BL6" s="20">
        <f t="shared" ca="1" si="12"/>
        <v>30</v>
      </c>
      <c r="BM6" s="20">
        <v>120</v>
      </c>
      <c r="BN6" s="29">
        <v>25</v>
      </c>
      <c r="BO6" s="29">
        <f t="shared" si="13"/>
        <v>96</v>
      </c>
      <c r="BP6" s="29">
        <f t="shared" si="13"/>
        <v>20</v>
      </c>
      <c r="BQ6">
        <f t="shared" si="14"/>
        <v>0</v>
      </c>
    </row>
    <row r="7" spans="1:69" ht="15.75" x14ac:dyDescent="0.25">
      <c r="A7" s="20">
        <v>6</v>
      </c>
      <c r="B7" s="20" t="s">
        <v>1523</v>
      </c>
      <c r="C7" s="35" t="s">
        <v>1524</v>
      </c>
      <c r="D7" s="35" t="s">
        <v>1525</v>
      </c>
      <c r="E7" s="20" t="s">
        <v>1525</v>
      </c>
      <c r="F7" s="21" t="s">
        <v>1402</v>
      </c>
      <c r="G7" s="20" t="s">
        <v>1483</v>
      </c>
      <c r="H7" s="36">
        <v>45590</v>
      </c>
      <c r="I7" s="20"/>
      <c r="J7" s="23" t="s">
        <v>1484</v>
      </c>
      <c r="K7" s="37" t="s">
        <v>1485</v>
      </c>
      <c r="L7" s="20" t="s">
        <v>1486</v>
      </c>
      <c r="M7" s="20" t="s">
        <v>1487</v>
      </c>
      <c r="N7" s="20" t="s">
        <v>1488</v>
      </c>
      <c r="O7" s="20" t="s">
        <v>1488</v>
      </c>
      <c r="P7" s="20"/>
      <c r="Q7" s="20" t="s">
        <v>1488</v>
      </c>
      <c r="R7" s="38" t="s">
        <v>1526</v>
      </c>
      <c r="S7" s="20" t="s">
        <v>1521</v>
      </c>
      <c r="T7" s="20" t="s">
        <v>1527</v>
      </c>
      <c r="U7" s="28" t="s">
        <v>1492</v>
      </c>
      <c r="V7" s="28" t="s">
        <v>1492</v>
      </c>
      <c r="W7" s="24" t="s">
        <v>1492</v>
      </c>
      <c r="X7" s="26" t="s">
        <v>1493</v>
      </c>
      <c r="Y7" s="24" t="s">
        <v>1492</v>
      </c>
      <c r="Z7" s="24" t="s">
        <v>1492</v>
      </c>
      <c r="AA7" s="24" t="s">
        <v>1492</v>
      </c>
      <c r="AB7" s="24" t="s">
        <v>1492</v>
      </c>
      <c r="AC7" s="24" t="s">
        <v>1492</v>
      </c>
      <c r="AD7" s="24" t="s">
        <v>1492</v>
      </c>
      <c r="AE7" s="26" t="s">
        <v>1493</v>
      </c>
      <c r="AF7" s="24" t="s">
        <v>1492</v>
      </c>
      <c r="AG7" s="24" t="s">
        <v>1492</v>
      </c>
      <c r="AH7" s="24" t="s">
        <v>1492</v>
      </c>
      <c r="AI7" s="24" t="s">
        <v>1492</v>
      </c>
      <c r="AJ7" s="24" t="s">
        <v>1492</v>
      </c>
      <c r="AK7" s="24" t="s">
        <v>1492</v>
      </c>
      <c r="AL7" s="31" t="s">
        <v>1501</v>
      </c>
      <c r="AM7" s="26" t="s">
        <v>1493</v>
      </c>
      <c r="AN7" s="24" t="s">
        <v>1492</v>
      </c>
      <c r="AO7" s="24" t="s">
        <v>1492</v>
      </c>
      <c r="AP7" s="24" t="s">
        <v>1492</v>
      </c>
      <c r="AQ7" s="24" t="s">
        <v>1492</v>
      </c>
      <c r="AR7" s="24" t="s">
        <v>1492</v>
      </c>
      <c r="AS7" s="28" t="s">
        <v>1492</v>
      </c>
      <c r="AT7" s="27" t="s">
        <v>1493</v>
      </c>
      <c r="AU7" s="24" t="s">
        <v>1492</v>
      </c>
      <c r="AV7" s="24" t="s">
        <v>1492</v>
      </c>
      <c r="AW7" s="24" t="s">
        <v>1492</v>
      </c>
      <c r="AX7" s="24" t="s">
        <v>1492</v>
      </c>
      <c r="AY7" s="20"/>
      <c r="AZ7" s="20">
        <f t="shared" si="0"/>
        <v>30</v>
      </c>
      <c r="BA7" s="20">
        <f t="shared" si="1"/>
        <v>25</v>
      </c>
      <c r="BB7" s="20">
        <f t="shared" si="2"/>
        <v>0</v>
      </c>
      <c r="BC7" s="20">
        <f t="shared" si="3"/>
        <v>0</v>
      </c>
      <c r="BD7" s="20">
        <f t="shared" si="4"/>
        <v>1</v>
      </c>
      <c r="BE7" s="20">
        <f t="shared" si="5"/>
        <v>0</v>
      </c>
      <c r="BF7" s="20">
        <f t="shared" ca="1" si="6"/>
        <v>0</v>
      </c>
      <c r="BG7" s="20">
        <f t="shared" si="7"/>
        <v>0</v>
      </c>
      <c r="BH7" s="20">
        <f t="shared" si="8"/>
        <v>0</v>
      </c>
      <c r="BI7" s="20">
        <f t="shared" si="9"/>
        <v>0</v>
      </c>
      <c r="BJ7" s="20">
        <f t="shared" si="10"/>
        <v>0</v>
      </c>
      <c r="BK7" s="20">
        <f t="shared" si="11"/>
        <v>4</v>
      </c>
      <c r="BL7" s="20">
        <f t="shared" ca="1" si="12"/>
        <v>30</v>
      </c>
      <c r="BM7" s="20">
        <v>120</v>
      </c>
      <c r="BN7" s="29">
        <v>25</v>
      </c>
      <c r="BO7" s="29">
        <f t="shared" si="13"/>
        <v>96</v>
      </c>
      <c r="BP7" s="29">
        <f t="shared" si="13"/>
        <v>20</v>
      </c>
      <c r="BQ7">
        <f t="shared" si="14"/>
        <v>0</v>
      </c>
    </row>
    <row r="8" spans="1:69" ht="47.25" x14ac:dyDescent="0.25">
      <c r="A8" s="20">
        <v>7</v>
      </c>
      <c r="B8" s="39" t="s">
        <v>1528</v>
      </c>
      <c r="C8" s="39" t="s">
        <v>1529</v>
      </c>
      <c r="D8" s="39" t="s">
        <v>1529</v>
      </c>
      <c r="E8" s="39" t="s">
        <v>1530</v>
      </c>
      <c r="F8" s="40" t="s">
        <v>1427</v>
      </c>
      <c r="G8" s="20" t="s">
        <v>1483</v>
      </c>
      <c r="H8" s="41">
        <v>46162</v>
      </c>
      <c r="I8" s="42"/>
      <c r="J8" s="42" t="s">
        <v>1531</v>
      </c>
      <c r="K8" s="20" t="s">
        <v>1485</v>
      </c>
      <c r="L8" s="37" t="s">
        <v>1513</v>
      </c>
      <c r="M8" s="20" t="s">
        <v>1487</v>
      </c>
      <c r="N8" s="20" t="s">
        <v>1506</v>
      </c>
      <c r="O8" s="20" t="s">
        <v>1532</v>
      </c>
      <c r="P8" s="20"/>
      <c r="Q8" s="20"/>
      <c r="R8" s="20"/>
      <c r="S8" s="39" t="s">
        <v>1498</v>
      </c>
      <c r="T8" s="33" t="s">
        <v>1533</v>
      </c>
      <c r="U8" s="24" t="s">
        <v>1492</v>
      </c>
      <c r="V8" s="28" t="s">
        <v>1492</v>
      </c>
      <c r="W8" s="24" t="s">
        <v>1492</v>
      </c>
      <c r="X8" s="24" t="s">
        <v>1492</v>
      </c>
      <c r="Y8" s="26" t="s">
        <v>1493</v>
      </c>
      <c r="Z8" s="24" t="s">
        <v>1492</v>
      </c>
      <c r="AA8" s="24" t="s">
        <v>1492</v>
      </c>
      <c r="AB8" s="24" t="s">
        <v>1492</v>
      </c>
      <c r="AC8" s="5" t="s">
        <v>1464</v>
      </c>
      <c r="AD8" s="25" t="s">
        <v>1465</v>
      </c>
      <c r="AE8" s="26" t="s">
        <v>1493</v>
      </c>
      <c r="AF8" s="24" t="s">
        <v>1492</v>
      </c>
      <c r="AG8" s="24" t="s">
        <v>1492</v>
      </c>
      <c r="AH8" s="24" t="s">
        <v>1492</v>
      </c>
      <c r="AI8" s="24" t="s">
        <v>1492</v>
      </c>
      <c r="AJ8" s="24" t="s">
        <v>1492</v>
      </c>
      <c r="AK8" s="24" t="s">
        <v>1492</v>
      </c>
      <c r="AL8" s="28" t="s">
        <v>1492</v>
      </c>
      <c r="AM8" s="26" t="s">
        <v>1493</v>
      </c>
      <c r="AN8" s="24" t="s">
        <v>1492</v>
      </c>
      <c r="AO8" s="24" t="s">
        <v>1492</v>
      </c>
      <c r="AP8" s="24" t="s">
        <v>1492</v>
      </c>
      <c r="AQ8" s="24" t="s">
        <v>1492</v>
      </c>
      <c r="AR8" s="24" t="s">
        <v>1492</v>
      </c>
      <c r="AS8" s="28" t="s">
        <v>1492</v>
      </c>
      <c r="AT8" s="26" t="s">
        <v>1493</v>
      </c>
      <c r="AU8" s="24" t="s">
        <v>1492</v>
      </c>
      <c r="AV8" s="24" t="s">
        <v>1492</v>
      </c>
      <c r="AW8" s="24" t="s">
        <v>1492</v>
      </c>
      <c r="AX8" s="24" t="s">
        <v>1492</v>
      </c>
      <c r="AY8" s="20"/>
      <c r="AZ8" s="20">
        <f t="shared" si="0"/>
        <v>30</v>
      </c>
      <c r="BA8" s="20">
        <f t="shared" si="1"/>
        <v>24</v>
      </c>
      <c r="BB8" s="20">
        <f t="shared" si="2"/>
        <v>1</v>
      </c>
      <c r="BC8" s="20">
        <f t="shared" si="3"/>
        <v>1</v>
      </c>
      <c r="BD8" s="20">
        <f t="shared" si="4"/>
        <v>0</v>
      </c>
      <c r="BE8" s="20">
        <f t="shared" si="5"/>
        <v>0</v>
      </c>
      <c r="BF8" s="20">
        <f t="shared" ca="1" si="6"/>
        <v>0</v>
      </c>
      <c r="BG8" s="20">
        <f t="shared" si="7"/>
        <v>0</v>
      </c>
      <c r="BH8" s="20">
        <f t="shared" si="8"/>
        <v>0</v>
      </c>
      <c r="BI8" s="20">
        <f t="shared" si="9"/>
        <v>0</v>
      </c>
      <c r="BJ8" s="20">
        <f t="shared" si="10"/>
        <v>0</v>
      </c>
      <c r="BK8" s="20">
        <f t="shared" si="11"/>
        <v>4</v>
      </c>
      <c r="BL8" s="20">
        <f t="shared" ca="1" si="12"/>
        <v>28.5</v>
      </c>
      <c r="BM8" s="29">
        <v>15</v>
      </c>
      <c r="BN8" s="29">
        <v>4</v>
      </c>
      <c r="BO8" s="29">
        <v>12</v>
      </c>
      <c r="BP8" s="29">
        <v>3</v>
      </c>
      <c r="BQ8">
        <f t="shared" si="14"/>
        <v>1.5</v>
      </c>
    </row>
    <row r="9" spans="1:69" ht="63" x14ac:dyDescent="0.25">
      <c r="A9" s="20">
        <v>8</v>
      </c>
      <c r="B9" s="39" t="s">
        <v>1534</v>
      </c>
      <c r="C9" s="39" t="s">
        <v>1535</v>
      </c>
      <c r="D9" s="39" t="s">
        <v>1535</v>
      </c>
      <c r="E9" s="39" t="s">
        <v>1536</v>
      </c>
      <c r="F9" s="40" t="s">
        <v>1414</v>
      </c>
      <c r="G9" s="20" t="s">
        <v>1483</v>
      </c>
      <c r="H9" s="41">
        <v>46162</v>
      </c>
      <c r="I9" s="42"/>
      <c r="J9" s="42" t="s">
        <v>1531</v>
      </c>
      <c r="K9" s="20" t="s">
        <v>1485</v>
      </c>
      <c r="L9" s="37" t="s">
        <v>1513</v>
      </c>
      <c r="M9" s="20" t="s">
        <v>1487</v>
      </c>
      <c r="N9" s="20" t="s">
        <v>1506</v>
      </c>
      <c r="O9" s="20" t="s">
        <v>1532</v>
      </c>
      <c r="P9" s="35"/>
      <c r="Q9" s="35"/>
      <c r="R9" s="35"/>
      <c r="S9" s="39" t="s">
        <v>1537</v>
      </c>
      <c r="T9" s="33" t="s">
        <v>1538</v>
      </c>
      <c r="U9" s="24" t="s">
        <v>1492</v>
      </c>
      <c r="V9" s="24" t="s">
        <v>1492</v>
      </c>
      <c r="W9" s="24" t="s">
        <v>1492</v>
      </c>
      <c r="X9" s="26" t="s">
        <v>1493</v>
      </c>
      <c r="Y9" s="24" t="s">
        <v>1492</v>
      </c>
      <c r="Z9" s="24" t="s">
        <v>1492</v>
      </c>
      <c r="AA9" s="24" t="s">
        <v>1492</v>
      </c>
      <c r="AB9" s="24" t="s">
        <v>1492</v>
      </c>
      <c r="AC9" s="24" t="s">
        <v>1492</v>
      </c>
      <c r="AD9" s="24" t="s">
        <v>1492</v>
      </c>
      <c r="AE9" s="26" t="s">
        <v>1493</v>
      </c>
      <c r="AF9" s="24" t="s">
        <v>1492</v>
      </c>
      <c r="AG9" s="24" t="s">
        <v>1492</v>
      </c>
      <c r="AH9" s="24" t="s">
        <v>1492</v>
      </c>
      <c r="AI9" s="24" t="s">
        <v>1492</v>
      </c>
      <c r="AJ9" s="24" t="s">
        <v>1492</v>
      </c>
      <c r="AK9" s="24" t="s">
        <v>1492</v>
      </c>
      <c r="AL9" s="28" t="s">
        <v>1492</v>
      </c>
      <c r="AM9" s="26" t="s">
        <v>1493</v>
      </c>
      <c r="AN9" s="24" t="s">
        <v>1492</v>
      </c>
      <c r="AO9" s="24" t="s">
        <v>1492</v>
      </c>
      <c r="AP9" s="24" t="s">
        <v>1492</v>
      </c>
      <c r="AQ9" s="24" t="s">
        <v>1492</v>
      </c>
      <c r="AR9" s="24" t="s">
        <v>1492</v>
      </c>
      <c r="AS9" s="27" t="s">
        <v>1493</v>
      </c>
      <c r="AT9" s="28" t="s">
        <v>1492</v>
      </c>
      <c r="AU9" s="24" t="s">
        <v>1492</v>
      </c>
      <c r="AV9" s="24" t="s">
        <v>1492</v>
      </c>
      <c r="AW9" s="24" t="s">
        <v>1492</v>
      </c>
      <c r="AX9" s="24" t="s">
        <v>1492</v>
      </c>
      <c r="AY9" s="20"/>
      <c r="AZ9" s="20">
        <f t="shared" si="0"/>
        <v>30</v>
      </c>
      <c r="BA9" s="20">
        <f t="shared" si="1"/>
        <v>26</v>
      </c>
      <c r="BB9" s="20">
        <f t="shared" si="2"/>
        <v>0</v>
      </c>
      <c r="BC9" s="20">
        <f t="shared" si="3"/>
        <v>0</v>
      </c>
      <c r="BD9" s="20">
        <f t="shared" si="4"/>
        <v>0</v>
      </c>
      <c r="BE9" s="20">
        <f t="shared" si="5"/>
        <v>0</v>
      </c>
      <c r="BF9" s="20">
        <f t="shared" ca="1" si="6"/>
        <v>0</v>
      </c>
      <c r="BG9" s="20">
        <f t="shared" si="7"/>
        <v>0</v>
      </c>
      <c r="BH9" s="20">
        <f t="shared" si="8"/>
        <v>0</v>
      </c>
      <c r="BI9" s="20">
        <f t="shared" si="9"/>
        <v>0</v>
      </c>
      <c r="BJ9" s="20">
        <f t="shared" si="10"/>
        <v>0</v>
      </c>
      <c r="BK9" s="20">
        <f t="shared" si="11"/>
        <v>4</v>
      </c>
      <c r="BL9" s="20">
        <f t="shared" ca="1" si="12"/>
        <v>30</v>
      </c>
      <c r="BM9" s="29">
        <v>15</v>
      </c>
      <c r="BN9" s="29">
        <v>4</v>
      </c>
      <c r="BO9" s="29">
        <v>12</v>
      </c>
      <c r="BP9" s="29">
        <v>3</v>
      </c>
      <c r="BQ9">
        <f t="shared" si="14"/>
        <v>0</v>
      </c>
    </row>
    <row r="10" spans="1:69" ht="47.25" x14ac:dyDescent="0.25">
      <c r="A10" s="20">
        <v>9</v>
      </c>
      <c r="B10" s="39" t="s">
        <v>1539</v>
      </c>
      <c r="C10" s="39" t="s">
        <v>1540</v>
      </c>
      <c r="D10" s="39" t="s">
        <v>1540</v>
      </c>
      <c r="E10" s="39" t="s">
        <v>1541</v>
      </c>
      <c r="F10" s="40" t="s">
        <v>1422</v>
      </c>
      <c r="G10" s="20" t="s">
        <v>1483</v>
      </c>
      <c r="H10" s="41">
        <v>46162</v>
      </c>
      <c r="I10" s="42"/>
      <c r="J10" s="42" t="s">
        <v>1531</v>
      </c>
      <c r="K10" s="20" t="s">
        <v>1485</v>
      </c>
      <c r="L10" s="37" t="s">
        <v>1513</v>
      </c>
      <c r="M10" s="20" t="s">
        <v>1487</v>
      </c>
      <c r="N10" s="20" t="s">
        <v>1506</v>
      </c>
      <c r="O10" s="20" t="s">
        <v>1532</v>
      </c>
      <c r="P10" s="35"/>
      <c r="Q10" s="35"/>
      <c r="R10" s="35"/>
      <c r="S10" s="39" t="s">
        <v>1498</v>
      </c>
      <c r="T10" s="33" t="s">
        <v>1542</v>
      </c>
      <c r="U10" s="24" t="s">
        <v>1492</v>
      </c>
      <c r="V10" s="24" t="s">
        <v>1492</v>
      </c>
      <c r="W10" s="24" t="s">
        <v>1492</v>
      </c>
      <c r="X10" s="24" t="s">
        <v>1492</v>
      </c>
      <c r="Y10" s="26" t="s">
        <v>1493</v>
      </c>
      <c r="Z10" s="24" t="s">
        <v>1492</v>
      </c>
      <c r="AA10" s="24" t="s">
        <v>1492</v>
      </c>
      <c r="AB10" s="24" t="s">
        <v>1492</v>
      </c>
      <c r="AC10" s="24" t="s">
        <v>1492</v>
      </c>
      <c r="AD10" s="24" t="s">
        <v>1492</v>
      </c>
      <c r="AE10" s="24" t="s">
        <v>1492</v>
      </c>
      <c r="AF10" s="26" t="s">
        <v>1493</v>
      </c>
      <c r="AG10" s="24" t="s">
        <v>1492</v>
      </c>
      <c r="AH10" s="24" t="s">
        <v>1492</v>
      </c>
      <c r="AI10" s="24" t="s">
        <v>1492</v>
      </c>
      <c r="AJ10" s="24" t="s">
        <v>1492</v>
      </c>
      <c r="AK10" s="24" t="s">
        <v>1492</v>
      </c>
      <c r="AL10" s="28" t="s">
        <v>1492</v>
      </c>
      <c r="AM10" s="26" t="s">
        <v>1493</v>
      </c>
      <c r="AN10" s="24" t="s">
        <v>1492</v>
      </c>
      <c r="AO10" s="24" t="s">
        <v>1492</v>
      </c>
      <c r="AP10" s="24" t="s">
        <v>1492</v>
      </c>
      <c r="AQ10" s="24" t="s">
        <v>1492</v>
      </c>
      <c r="AR10" s="24" t="s">
        <v>1492</v>
      </c>
      <c r="AS10" s="27" t="s">
        <v>1493</v>
      </c>
      <c r="AT10" s="28" t="s">
        <v>1492</v>
      </c>
      <c r="AU10" s="24" t="s">
        <v>1492</v>
      </c>
      <c r="AV10" s="24" t="s">
        <v>1492</v>
      </c>
      <c r="AW10" s="24" t="s">
        <v>1492</v>
      </c>
      <c r="AX10" s="24" t="s">
        <v>1492</v>
      </c>
      <c r="AY10" s="20"/>
      <c r="AZ10" s="20">
        <f t="shared" si="0"/>
        <v>30</v>
      </c>
      <c r="BA10" s="20">
        <f t="shared" si="1"/>
        <v>26</v>
      </c>
      <c r="BB10" s="20">
        <f t="shared" si="2"/>
        <v>0</v>
      </c>
      <c r="BC10" s="20">
        <f t="shared" si="3"/>
        <v>0</v>
      </c>
      <c r="BD10" s="20">
        <f t="shared" si="4"/>
        <v>0</v>
      </c>
      <c r="BE10" s="20">
        <f t="shared" si="5"/>
        <v>0</v>
      </c>
      <c r="BF10" s="20">
        <f t="shared" ca="1" si="6"/>
        <v>0</v>
      </c>
      <c r="BG10" s="20">
        <f t="shared" si="7"/>
        <v>0</v>
      </c>
      <c r="BH10" s="20">
        <f t="shared" si="8"/>
        <v>0</v>
      </c>
      <c r="BI10" s="20">
        <f t="shared" si="9"/>
        <v>0</v>
      </c>
      <c r="BJ10" s="20">
        <f t="shared" si="10"/>
        <v>0</v>
      </c>
      <c r="BK10" s="20">
        <f t="shared" si="11"/>
        <v>4</v>
      </c>
      <c r="BL10" s="20">
        <f t="shared" ca="1" si="12"/>
        <v>30</v>
      </c>
      <c r="BM10" s="29">
        <v>15</v>
      </c>
      <c r="BN10" s="29">
        <v>4</v>
      </c>
      <c r="BO10" s="29">
        <v>12</v>
      </c>
      <c r="BP10" s="29">
        <v>3</v>
      </c>
      <c r="BQ10">
        <f t="shared" si="14"/>
        <v>0</v>
      </c>
    </row>
    <row r="11" spans="1:69" ht="47.25" x14ac:dyDescent="0.25">
      <c r="A11" s="20">
        <v>10</v>
      </c>
      <c r="B11" s="39" t="s">
        <v>1543</v>
      </c>
      <c r="C11" s="39" t="s">
        <v>1544</v>
      </c>
      <c r="D11" s="39" t="s">
        <v>1544</v>
      </c>
      <c r="E11" s="39" t="s">
        <v>1545</v>
      </c>
      <c r="F11" s="43" t="s">
        <v>1424</v>
      </c>
      <c r="G11" s="20" t="s">
        <v>1483</v>
      </c>
      <c r="H11" s="41">
        <v>46162</v>
      </c>
      <c r="I11" s="42"/>
      <c r="J11" s="42" t="s">
        <v>1531</v>
      </c>
      <c r="K11" s="20" t="s">
        <v>1485</v>
      </c>
      <c r="L11" s="37" t="s">
        <v>1513</v>
      </c>
      <c r="M11" s="20" t="s">
        <v>1487</v>
      </c>
      <c r="N11" s="20" t="s">
        <v>1506</v>
      </c>
      <c r="O11" s="20" t="s">
        <v>1532</v>
      </c>
      <c r="P11" s="35"/>
      <c r="Q11" s="35"/>
      <c r="R11" s="35"/>
      <c r="S11" s="39" t="s">
        <v>1498</v>
      </c>
      <c r="T11" s="33" t="s">
        <v>1546</v>
      </c>
      <c r="U11" s="24" t="s">
        <v>1492</v>
      </c>
      <c r="V11" s="24" t="s">
        <v>1492</v>
      </c>
      <c r="W11" s="24" t="s">
        <v>1492</v>
      </c>
      <c r="X11" s="26" t="s">
        <v>1493</v>
      </c>
      <c r="Y11" s="24" t="s">
        <v>1492</v>
      </c>
      <c r="Z11" s="24" t="s">
        <v>1492</v>
      </c>
      <c r="AA11" s="10" t="s">
        <v>1465</v>
      </c>
      <c r="AB11" s="24" t="s">
        <v>1492</v>
      </c>
      <c r="AC11" s="24" t="s">
        <v>1492</v>
      </c>
      <c r="AD11" s="24" t="s">
        <v>1492</v>
      </c>
      <c r="AE11" s="26" t="s">
        <v>1493</v>
      </c>
      <c r="AF11" s="24" t="s">
        <v>1492</v>
      </c>
      <c r="AG11" s="5" t="s">
        <v>1464</v>
      </c>
      <c r="AH11" s="24" t="s">
        <v>1492</v>
      </c>
      <c r="AI11" s="24" t="s">
        <v>1492</v>
      </c>
      <c r="AJ11" s="24" t="s">
        <v>1492</v>
      </c>
      <c r="AK11" s="24" t="s">
        <v>1492</v>
      </c>
      <c r="AL11" s="28" t="s">
        <v>1492</v>
      </c>
      <c r="AM11" s="26" t="s">
        <v>1493</v>
      </c>
      <c r="AN11" s="44" t="s">
        <v>1465</v>
      </c>
      <c r="AO11" s="24" t="s">
        <v>1492</v>
      </c>
      <c r="AP11" s="24" t="s">
        <v>1492</v>
      </c>
      <c r="AQ11" s="24" t="s">
        <v>1492</v>
      </c>
      <c r="AR11" s="24" t="s">
        <v>1492</v>
      </c>
      <c r="AS11" s="27" t="s">
        <v>1493</v>
      </c>
      <c r="AT11" s="28" t="s">
        <v>1492</v>
      </c>
      <c r="AU11" s="24" t="s">
        <v>1492</v>
      </c>
      <c r="AV11" s="24" t="s">
        <v>1492</v>
      </c>
      <c r="AW11" s="24" t="s">
        <v>1492</v>
      </c>
      <c r="AX11" s="24" t="s">
        <v>1492</v>
      </c>
      <c r="AY11" s="20"/>
      <c r="AZ11" s="20">
        <f t="shared" si="0"/>
        <v>30</v>
      </c>
      <c r="BA11" s="20">
        <f t="shared" si="1"/>
        <v>23</v>
      </c>
      <c r="BB11" s="20">
        <f t="shared" si="2"/>
        <v>1</v>
      </c>
      <c r="BC11" s="20">
        <f t="shared" si="3"/>
        <v>2</v>
      </c>
      <c r="BD11" s="20">
        <f t="shared" si="4"/>
        <v>0</v>
      </c>
      <c r="BE11" s="20">
        <f t="shared" si="5"/>
        <v>0</v>
      </c>
      <c r="BF11" s="20">
        <f t="shared" ca="1" si="6"/>
        <v>0</v>
      </c>
      <c r="BG11" s="20">
        <f t="shared" si="7"/>
        <v>0</v>
      </c>
      <c r="BH11" s="20">
        <f t="shared" si="8"/>
        <v>0</v>
      </c>
      <c r="BI11" s="20">
        <f t="shared" si="9"/>
        <v>0</v>
      </c>
      <c r="BJ11" s="20">
        <f t="shared" si="10"/>
        <v>0</v>
      </c>
      <c r="BK11" s="20">
        <f t="shared" si="11"/>
        <v>4</v>
      </c>
      <c r="BL11" s="20">
        <f t="shared" ca="1" si="12"/>
        <v>27.5</v>
      </c>
      <c r="BM11" s="29">
        <v>15</v>
      </c>
      <c r="BN11" s="29">
        <v>4</v>
      </c>
      <c r="BO11" s="29">
        <v>12</v>
      </c>
      <c r="BP11" s="29">
        <v>3</v>
      </c>
      <c r="BQ11">
        <f t="shared" si="14"/>
        <v>2.5</v>
      </c>
    </row>
    <row r="12" spans="1:69" ht="47.25" x14ac:dyDescent="0.25">
      <c r="A12" s="20">
        <v>11</v>
      </c>
      <c r="B12" s="39" t="s">
        <v>1547</v>
      </c>
      <c r="C12" s="39" t="s">
        <v>1548</v>
      </c>
      <c r="D12" s="39" t="s">
        <v>1548</v>
      </c>
      <c r="E12" s="39" t="s">
        <v>1549</v>
      </c>
      <c r="F12" s="40" t="s">
        <v>1432</v>
      </c>
      <c r="G12" s="20" t="s">
        <v>1483</v>
      </c>
      <c r="H12" s="41">
        <v>46162</v>
      </c>
      <c r="I12" s="42"/>
      <c r="J12" s="42" t="s">
        <v>1531</v>
      </c>
      <c r="K12" s="20" t="s">
        <v>1485</v>
      </c>
      <c r="L12" s="37" t="s">
        <v>1513</v>
      </c>
      <c r="M12" s="20" t="s">
        <v>1487</v>
      </c>
      <c r="N12" s="20" t="s">
        <v>1506</v>
      </c>
      <c r="O12" s="20" t="s">
        <v>1532</v>
      </c>
      <c r="P12" s="35"/>
      <c r="Q12" s="35"/>
      <c r="R12" s="35"/>
      <c r="S12" s="39" t="s">
        <v>1498</v>
      </c>
      <c r="T12" s="33" t="s">
        <v>1550</v>
      </c>
      <c r="U12" s="24" t="s">
        <v>1492</v>
      </c>
      <c r="V12" s="24" t="s">
        <v>1492</v>
      </c>
      <c r="W12" s="24" t="s">
        <v>1492</v>
      </c>
      <c r="X12" s="26" t="s">
        <v>1493</v>
      </c>
      <c r="Y12" s="24" t="s">
        <v>1492</v>
      </c>
      <c r="Z12" s="24" t="s">
        <v>1492</v>
      </c>
      <c r="AA12" s="24" t="s">
        <v>1492</v>
      </c>
      <c r="AB12" s="24" t="s">
        <v>1492</v>
      </c>
      <c r="AC12" s="24" t="s">
        <v>1492</v>
      </c>
      <c r="AD12" s="24" t="s">
        <v>1492</v>
      </c>
      <c r="AE12" s="26" t="s">
        <v>1493</v>
      </c>
      <c r="AF12" s="24" t="s">
        <v>1492</v>
      </c>
      <c r="AG12" s="24" t="s">
        <v>1492</v>
      </c>
      <c r="AH12" s="24" t="s">
        <v>1492</v>
      </c>
      <c r="AI12" s="24" t="s">
        <v>1492</v>
      </c>
      <c r="AJ12" s="24" t="s">
        <v>1492</v>
      </c>
      <c r="AK12" s="24" t="s">
        <v>1492</v>
      </c>
      <c r="AL12" s="28" t="s">
        <v>1492</v>
      </c>
      <c r="AM12" s="26" t="s">
        <v>1493</v>
      </c>
      <c r="AN12" s="24"/>
      <c r="AO12" s="24" t="s">
        <v>1492</v>
      </c>
      <c r="AP12" s="24" t="s">
        <v>1492</v>
      </c>
      <c r="AQ12" s="24" t="s">
        <v>1492</v>
      </c>
      <c r="AR12" s="24" t="s">
        <v>1492</v>
      </c>
      <c r="AS12" s="27" t="s">
        <v>1493</v>
      </c>
      <c r="AT12" s="28" t="s">
        <v>1492</v>
      </c>
      <c r="AU12" s="24" t="s">
        <v>1492</v>
      </c>
      <c r="AV12" s="24"/>
      <c r="AW12" s="45" t="s">
        <v>1551</v>
      </c>
      <c r="AX12" s="45" t="s">
        <v>1551</v>
      </c>
      <c r="AY12" s="20"/>
      <c r="AZ12" s="20">
        <f t="shared" si="0"/>
        <v>26</v>
      </c>
      <c r="BA12" s="20">
        <f t="shared" si="1"/>
        <v>22</v>
      </c>
      <c r="BB12" s="20">
        <f t="shared" si="2"/>
        <v>0</v>
      </c>
      <c r="BC12" s="20">
        <f t="shared" si="3"/>
        <v>0</v>
      </c>
      <c r="BD12" s="20">
        <f t="shared" si="4"/>
        <v>0</v>
      </c>
      <c r="BE12" s="20">
        <f t="shared" si="5"/>
        <v>0</v>
      </c>
      <c r="BF12" s="20">
        <f t="shared" ca="1" si="6"/>
        <v>0</v>
      </c>
      <c r="BG12" s="20">
        <f t="shared" si="7"/>
        <v>0</v>
      </c>
      <c r="BH12" s="20">
        <f t="shared" si="8"/>
        <v>0</v>
      </c>
      <c r="BI12" s="20">
        <f t="shared" si="9"/>
        <v>0</v>
      </c>
      <c r="BJ12" s="20">
        <f t="shared" si="10"/>
        <v>0</v>
      </c>
      <c r="BK12" s="20">
        <f t="shared" si="11"/>
        <v>4</v>
      </c>
      <c r="BL12" s="20">
        <f t="shared" ca="1" si="12"/>
        <v>26</v>
      </c>
      <c r="BM12" s="29">
        <v>15</v>
      </c>
      <c r="BN12" s="29">
        <v>4</v>
      </c>
      <c r="BO12" s="29">
        <v>12</v>
      </c>
      <c r="BP12" s="29">
        <v>3</v>
      </c>
      <c r="BQ12">
        <f t="shared" si="14"/>
        <v>0</v>
      </c>
    </row>
    <row r="13" spans="1:69" ht="63" x14ac:dyDescent="0.25">
      <c r="A13" s="20">
        <v>12</v>
      </c>
      <c r="B13" s="39" t="s">
        <v>1552</v>
      </c>
      <c r="C13" s="39" t="s">
        <v>1553</v>
      </c>
      <c r="D13" s="39" t="s">
        <v>1553</v>
      </c>
      <c r="E13" s="39" t="s">
        <v>1554</v>
      </c>
      <c r="F13" s="43" t="s">
        <v>1410</v>
      </c>
      <c r="G13" s="20" t="s">
        <v>1483</v>
      </c>
      <c r="H13" s="41">
        <v>46164</v>
      </c>
      <c r="I13" s="42"/>
      <c r="J13" s="42" t="s">
        <v>1531</v>
      </c>
      <c r="K13" s="20" t="s">
        <v>1485</v>
      </c>
      <c r="L13" s="37" t="s">
        <v>1513</v>
      </c>
      <c r="M13" s="20" t="s">
        <v>1487</v>
      </c>
      <c r="N13" s="20" t="s">
        <v>1506</v>
      </c>
      <c r="O13" s="20" t="s">
        <v>1532</v>
      </c>
      <c r="P13" s="35"/>
      <c r="Q13" s="35"/>
      <c r="R13" s="35"/>
      <c r="S13" s="39" t="s">
        <v>1555</v>
      </c>
      <c r="T13" s="33" t="s">
        <v>1556</v>
      </c>
      <c r="U13" s="28" t="s">
        <v>1492</v>
      </c>
      <c r="V13" s="28" t="s">
        <v>1492</v>
      </c>
      <c r="W13" s="24" t="s">
        <v>1492</v>
      </c>
      <c r="X13" s="26" t="s">
        <v>1493</v>
      </c>
      <c r="Y13" s="24" t="s">
        <v>1492</v>
      </c>
      <c r="Z13" s="24" t="s">
        <v>1492</v>
      </c>
      <c r="AA13" s="24" t="s">
        <v>1492</v>
      </c>
      <c r="AB13" s="24" t="s">
        <v>1492</v>
      </c>
      <c r="AC13" s="24" t="s">
        <v>1492</v>
      </c>
      <c r="AD13" s="24" t="s">
        <v>1492</v>
      </c>
      <c r="AE13" s="24" t="s">
        <v>1492</v>
      </c>
      <c r="AF13" s="26" t="s">
        <v>1493</v>
      </c>
      <c r="AG13" s="24" t="s">
        <v>1492</v>
      </c>
      <c r="AH13" s="24" t="s">
        <v>1492</v>
      </c>
      <c r="AI13" s="24" t="s">
        <v>1492</v>
      </c>
      <c r="AJ13" s="24" t="s">
        <v>1492</v>
      </c>
      <c r="AK13" s="24" t="s">
        <v>1492</v>
      </c>
      <c r="AL13" s="27" t="s">
        <v>1493</v>
      </c>
      <c r="AM13" s="28" t="s">
        <v>1492</v>
      </c>
      <c r="AN13" s="24" t="s">
        <v>1492</v>
      </c>
      <c r="AO13" s="24" t="s">
        <v>1492</v>
      </c>
      <c r="AP13" s="24" t="s">
        <v>1492</v>
      </c>
      <c r="AQ13" s="24" t="s">
        <v>1492</v>
      </c>
      <c r="AR13" s="24" t="s">
        <v>1492</v>
      </c>
      <c r="AS13" s="27" t="s">
        <v>1493</v>
      </c>
      <c r="AT13" s="28" t="s">
        <v>1492</v>
      </c>
      <c r="AU13" s="24" t="s">
        <v>1492</v>
      </c>
      <c r="AV13" s="24" t="s">
        <v>1492</v>
      </c>
      <c r="AW13" s="24" t="s">
        <v>1492</v>
      </c>
      <c r="AX13" s="24" t="s">
        <v>1492</v>
      </c>
      <c r="AY13" s="20"/>
      <c r="AZ13" s="20">
        <f t="shared" si="0"/>
        <v>30</v>
      </c>
      <c r="BA13" s="20">
        <f t="shared" si="1"/>
        <v>26</v>
      </c>
      <c r="BB13" s="20">
        <f t="shared" si="2"/>
        <v>0</v>
      </c>
      <c r="BC13" s="20">
        <f t="shared" si="3"/>
        <v>0</v>
      </c>
      <c r="BD13" s="20">
        <f t="shared" si="4"/>
        <v>0</v>
      </c>
      <c r="BE13" s="20">
        <f t="shared" si="5"/>
        <v>0</v>
      </c>
      <c r="BF13" s="20">
        <f t="shared" ca="1" si="6"/>
        <v>0</v>
      </c>
      <c r="BG13" s="20">
        <f t="shared" si="7"/>
        <v>0</v>
      </c>
      <c r="BH13" s="20">
        <f t="shared" si="8"/>
        <v>0</v>
      </c>
      <c r="BI13" s="20">
        <f t="shared" si="9"/>
        <v>0</v>
      </c>
      <c r="BJ13" s="20">
        <f t="shared" si="10"/>
        <v>0</v>
      </c>
      <c r="BK13" s="20">
        <f t="shared" si="11"/>
        <v>4</v>
      </c>
      <c r="BL13" s="20">
        <f t="shared" ca="1" si="12"/>
        <v>30</v>
      </c>
      <c r="BM13" s="29">
        <v>15</v>
      </c>
      <c r="BN13" s="29">
        <v>4</v>
      </c>
      <c r="BO13" s="29">
        <v>12</v>
      </c>
      <c r="BP13" s="29">
        <v>3</v>
      </c>
      <c r="BQ13">
        <f t="shared" si="14"/>
        <v>0</v>
      </c>
    </row>
    <row r="14" spans="1:69" ht="15.75" x14ac:dyDescent="0.25">
      <c r="A14" s="20">
        <v>13</v>
      </c>
      <c r="B14" s="46" t="s">
        <v>1557</v>
      </c>
      <c r="C14" s="39" t="s">
        <v>1558</v>
      </c>
      <c r="D14" s="39" t="s">
        <v>1558</v>
      </c>
      <c r="E14" s="47" t="s">
        <v>1559</v>
      </c>
      <c r="F14" s="48" t="s">
        <v>1428</v>
      </c>
      <c r="G14" s="20" t="s">
        <v>1483</v>
      </c>
      <c r="H14" s="49">
        <v>46104</v>
      </c>
      <c r="I14" s="42"/>
      <c r="J14" s="42" t="s">
        <v>1560</v>
      </c>
      <c r="K14" s="37" t="s">
        <v>1485</v>
      </c>
      <c r="L14" s="37" t="s">
        <v>1513</v>
      </c>
      <c r="M14" s="20" t="s">
        <v>1487</v>
      </c>
      <c r="N14" s="20" t="s">
        <v>1532</v>
      </c>
      <c r="O14" s="20" t="s">
        <v>1532</v>
      </c>
      <c r="P14" s="20"/>
      <c r="Q14" s="20"/>
      <c r="R14" s="20"/>
      <c r="S14" s="37" t="s">
        <v>1498</v>
      </c>
      <c r="T14" s="20"/>
      <c r="U14" s="28" t="s">
        <v>1492</v>
      </c>
      <c r="V14" s="28" t="s">
        <v>1492</v>
      </c>
      <c r="W14" s="24" t="s">
        <v>1492</v>
      </c>
      <c r="X14" s="24" t="s">
        <v>1492</v>
      </c>
      <c r="Y14" s="26" t="s">
        <v>1493</v>
      </c>
      <c r="Z14" s="24" t="s">
        <v>1492</v>
      </c>
      <c r="AA14" s="24" t="s">
        <v>1492</v>
      </c>
      <c r="AB14" s="24" t="s">
        <v>1492</v>
      </c>
      <c r="AC14" s="24" t="s">
        <v>1492</v>
      </c>
      <c r="AD14" s="24" t="s">
        <v>1492</v>
      </c>
      <c r="AE14" s="20"/>
      <c r="AF14" s="26" t="s">
        <v>1493</v>
      </c>
      <c r="AG14" s="24" t="s">
        <v>1492</v>
      </c>
      <c r="AH14" s="24" t="s">
        <v>1492</v>
      </c>
      <c r="AI14" s="24" t="s">
        <v>1492</v>
      </c>
      <c r="AJ14" s="24" t="s">
        <v>1492</v>
      </c>
      <c r="AK14" s="24" t="s">
        <v>1492</v>
      </c>
      <c r="AL14" s="27" t="s">
        <v>1493</v>
      </c>
      <c r="AM14" s="28" t="s">
        <v>1492</v>
      </c>
      <c r="AN14" s="24" t="s">
        <v>1492</v>
      </c>
      <c r="AO14" s="31" t="s">
        <v>1465</v>
      </c>
      <c r="AP14" s="24" t="s">
        <v>1492</v>
      </c>
      <c r="AQ14" s="24" t="s">
        <v>1492</v>
      </c>
      <c r="AR14" s="24" t="s">
        <v>1492</v>
      </c>
      <c r="AS14" s="28" t="s">
        <v>1492</v>
      </c>
      <c r="AT14" s="26" t="s">
        <v>1493</v>
      </c>
      <c r="AU14" s="24" t="s">
        <v>1492</v>
      </c>
      <c r="AV14" s="24" t="s">
        <v>1492</v>
      </c>
      <c r="AW14" s="24" t="s">
        <v>1492</v>
      </c>
      <c r="AX14" s="24" t="s">
        <v>1492</v>
      </c>
      <c r="AY14" s="20"/>
      <c r="AZ14" s="20">
        <f t="shared" si="0"/>
        <v>29</v>
      </c>
      <c r="BA14" s="20">
        <f t="shared" si="1"/>
        <v>24</v>
      </c>
      <c r="BB14" s="20">
        <f t="shared" si="2"/>
        <v>0</v>
      </c>
      <c r="BC14" s="20">
        <f t="shared" si="3"/>
        <v>1</v>
      </c>
      <c r="BD14" s="20">
        <f t="shared" si="4"/>
        <v>0</v>
      </c>
      <c r="BE14" s="20">
        <f t="shared" si="5"/>
        <v>0</v>
      </c>
      <c r="BF14" s="20">
        <f t="shared" ca="1" si="6"/>
        <v>0</v>
      </c>
      <c r="BG14" s="20">
        <f t="shared" si="7"/>
        <v>0</v>
      </c>
      <c r="BH14" s="20">
        <f t="shared" si="8"/>
        <v>0</v>
      </c>
      <c r="BI14" s="20">
        <f t="shared" si="9"/>
        <v>0</v>
      </c>
      <c r="BJ14" s="20">
        <f t="shared" si="10"/>
        <v>0</v>
      </c>
      <c r="BK14" s="20">
        <f t="shared" si="11"/>
        <v>4</v>
      </c>
      <c r="BL14" s="20">
        <f t="shared" ca="1" si="12"/>
        <v>28</v>
      </c>
      <c r="BM14" s="29">
        <v>26</v>
      </c>
      <c r="BN14" s="29">
        <v>5</v>
      </c>
      <c r="BO14" s="29">
        <v>21</v>
      </c>
      <c r="BP14" s="29">
        <v>4</v>
      </c>
      <c r="BQ14">
        <f t="shared" si="14"/>
        <v>1</v>
      </c>
    </row>
    <row r="15" spans="1:69" ht="15.75" x14ac:dyDescent="0.25">
      <c r="A15" s="20">
        <v>14</v>
      </c>
      <c r="B15" s="46" t="s">
        <v>1561</v>
      </c>
      <c r="C15" s="39" t="s">
        <v>1562</v>
      </c>
      <c r="D15" s="39" t="s">
        <v>1562</v>
      </c>
      <c r="E15" s="47" t="s">
        <v>1563</v>
      </c>
      <c r="F15" s="48" t="s">
        <v>1435</v>
      </c>
      <c r="G15" s="20" t="s">
        <v>1564</v>
      </c>
      <c r="H15" s="49">
        <v>46104</v>
      </c>
      <c r="I15" s="42"/>
      <c r="J15" s="42" t="s">
        <v>1560</v>
      </c>
      <c r="K15" s="37" t="s">
        <v>1485</v>
      </c>
      <c r="L15" s="37" t="s">
        <v>1513</v>
      </c>
      <c r="M15" s="20" t="s">
        <v>1487</v>
      </c>
      <c r="N15" s="20" t="s">
        <v>1532</v>
      </c>
      <c r="O15" s="20" t="s">
        <v>1532</v>
      </c>
      <c r="P15" s="20"/>
      <c r="Q15" s="20"/>
      <c r="R15" s="20"/>
      <c r="S15" s="37" t="s">
        <v>1498</v>
      </c>
      <c r="T15" s="20"/>
      <c r="U15" s="28" t="s">
        <v>1492</v>
      </c>
      <c r="V15" s="28" t="s">
        <v>1492</v>
      </c>
      <c r="W15" s="24" t="s">
        <v>1492</v>
      </c>
      <c r="X15" s="26" t="s">
        <v>1493</v>
      </c>
      <c r="Y15" s="24" t="s">
        <v>1492</v>
      </c>
      <c r="Z15" s="24" t="s">
        <v>1492</v>
      </c>
      <c r="AA15" s="24" t="s">
        <v>1492</v>
      </c>
      <c r="AB15" s="24" t="s">
        <v>1492</v>
      </c>
      <c r="AC15" s="24" t="s">
        <v>1492</v>
      </c>
      <c r="AD15" s="24" t="s">
        <v>1492</v>
      </c>
      <c r="AE15" s="26" t="s">
        <v>1493</v>
      </c>
      <c r="AF15" s="24" t="s">
        <v>1492</v>
      </c>
      <c r="AG15" s="24" t="s">
        <v>1492</v>
      </c>
      <c r="AH15" s="24" t="s">
        <v>1492</v>
      </c>
      <c r="AI15" s="24" t="s">
        <v>1492</v>
      </c>
      <c r="AJ15" s="24" t="s">
        <v>1492</v>
      </c>
      <c r="AK15" s="24" t="s">
        <v>1492</v>
      </c>
      <c r="AL15" s="28" t="s">
        <v>1492</v>
      </c>
      <c r="AM15" s="26" t="s">
        <v>1493</v>
      </c>
      <c r="AN15" s="24" t="s">
        <v>1492</v>
      </c>
      <c r="AO15" s="24" t="s">
        <v>1492</v>
      </c>
      <c r="AP15" s="24" t="s">
        <v>1492</v>
      </c>
      <c r="AQ15" s="24" t="s">
        <v>1492</v>
      </c>
      <c r="AR15" s="24" t="s">
        <v>1492</v>
      </c>
      <c r="AS15" s="27" t="s">
        <v>1493</v>
      </c>
      <c r="AT15" s="28" t="s">
        <v>1492</v>
      </c>
      <c r="AU15" s="24" t="s">
        <v>1492</v>
      </c>
      <c r="AV15" s="24" t="s">
        <v>1492</v>
      </c>
      <c r="AW15" s="24" t="s">
        <v>1492</v>
      </c>
      <c r="AX15" s="24" t="s">
        <v>1492</v>
      </c>
      <c r="AY15" s="20"/>
      <c r="AZ15" s="20">
        <f t="shared" si="0"/>
        <v>30</v>
      </c>
      <c r="BA15" s="20">
        <f t="shared" si="1"/>
        <v>26</v>
      </c>
      <c r="BB15" s="20">
        <f t="shared" si="2"/>
        <v>0</v>
      </c>
      <c r="BC15" s="20">
        <f t="shared" si="3"/>
        <v>0</v>
      </c>
      <c r="BD15" s="20">
        <f t="shared" si="4"/>
        <v>0</v>
      </c>
      <c r="BE15" s="20">
        <f t="shared" si="5"/>
        <v>0</v>
      </c>
      <c r="BF15" s="20">
        <f t="shared" ca="1" si="6"/>
        <v>0</v>
      </c>
      <c r="BG15" s="20">
        <f t="shared" si="7"/>
        <v>0</v>
      </c>
      <c r="BH15" s="20">
        <f t="shared" si="8"/>
        <v>0</v>
      </c>
      <c r="BI15" s="20">
        <f t="shared" si="9"/>
        <v>0</v>
      </c>
      <c r="BJ15" s="20">
        <f t="shared" si="10"/>
        <v>0</v>
      </c>
      <c r="BK15" s="20">
        <f t="shared" si="11"/>
        <v>4</v>
      </c>
      <c r="BL15" s="20">
        <f t="shared" ca="1" si="12"/>
        <v>30</v>
      </c>
      <c r="BM15" s="29">
        <v>26</v>
      </c>
      <c r="BN15" s="29">
        <v>5</v>
      </c>
      <c r="BO15" s="29">
        <v>21</v>
      </c>
      <c r="BP15" s="29">
        <v>4</v>
      </c>
      <c r="BQ15">
        <f t="shared" si="14"/>
        <v>0</v>
      </c>
    </row>
    <row r="16" spans="1:69" ht="15.75" x14ac:dyDescent="0.25">
      <c r="A16" s="20">
        <v>15</v>
      </c>
      <c r="B16" s="46" t="s">
        <v>1565</v>
      </c>
      <c r="C16" s="39" t="s">
        <v>1566</v>
      </c>
      <c r="D16" s="39" t="s">
        <v>1566</v>
      </c>
      <c r="E16" s="47" t="s">
        <v>1567</v>
      </c>
      <c r="F16" s="48" t="s">
        <v>1419</v>
      </c>
      <c r="G16" s="20" t="s">
        <v>1483</v>
      </c>
      <c r="H16" s="49">
        <v>46104</v>
      </c>
      <c r="I16" s="42"/>
      <c r="J16" s="42" t="s">
        <v>1560</v>
      </c>
      <c r="K16" s="37" t="s">
        <v>1485</v>
      </c>
      <c r="L16" s="37" t="s">
        <v>1513</v>
      </c>
      <c r="M16" s="50" t="s">
        <v>1568</v>
      </c>
      <c r="N16" s="20" t="s">
        <v>1532</v>
      </c>
      <c r="O16" s="20" t="s">
        <v>1532</v>
      </c>
      <c r="P16" s="20"/>
      <c r="Q16" s="20"/>
      <c r="R16" s="20"/>
      <c r="S16" s="37" t="s">
        <v>1569</v>
      </c>
      <c r="T16" s="20"/>
      <c r="U16" s="28" t="s">
        <v>1492</v>
      </c>
      <c r="V16" s="28" t="s">
        <v>1492</v>
      </c>
      <c r="W16" s="24" t="s">
        <v>1492</v>
      </c>
      <c r="X16" s="26" t="s">
        <v>1493</v>
      </c>
      <c r="Y16" s="24" t="s">
        <v>1492</v>
      </c>
      <c r="Z16" s="24" t="s">
        <v>1492</v>
      </c>
      <c r="AA16" s="24" t="s">
        <v>1492</v>
      </c>
      <c r="AB16" s="24" t="s">
        <v>1492</v>
      </c>
      <c r="AC16" s="24" t="s">
        <v>1492</v>
      </c>
      <c r="AD16" s="20"/>
      <c r="AE16" s="51" t="s">
        <v>1551</v>
      </c>
      <c r="AF16" s="51" t="s">
        <v>1551</v>
      </c>
      <c r="AG16" s="51" t="s">
        <v>1551</v>
      </c>
      <c r="AH16" s="51" t="s">
        <v>1551</v>
      </c>
      <c r="AI16" s="51" t="s">
        <v>1551</v>
      </c>
      <c r="AJ16" s="51" t="s">
        <v>1551</v>
      </c>
      <c r="AK16" s="51" t="s">
        <v>1551</v>
      </c>
      <c r="AL16" s="51" t="s">
        <v>1551</v>
      </c>
      <c r="AM16" s="51" t="s">
        <v>1551</v>
      </c>
      <c r="AN16" s="51" t="s">
        <v>1551</v>
      </c>
      <c r="AO16" s="51" t="s">
        <v>1551</v>
      </c>
      <c r="AP16" s="51" t="s">
        <v>1551</v>
      </c>
      <c r="AQ16" s="51" t="s">
        <v>1551</v>
      </c>
      <c r="AR16" s="51" t="s">
        <v>1551</v>
      </c>
      <c r="AS16" s="51" t="s">
        <v>1551</v>
      </c>
      <c r="AT16" s="51" t="s">
        <v>1551</v>
      </c>
      <c r="AU16" s="51" t="s">
        <v>1551</v>
      </c>
      <c r="AV16" s="51" t="s">
        <v>1551</v>
      </c>
      <c r="AW16" s="51" t="s">
        <v>1551</v>
      </c>
      <c r="AX16" s="51" t="s">
        <v>1551</v>
      </c>
      <c r="AY16" s="51" t="s">
        <v>1551</v>
      </c>
      <c r="AZ16" s="20">
        <f t="shared" si="0"/>
        <v>9</v>
      </c>
      <c r="BA16" s="20">
        <f t="shared" si="1"/>
        <v>8</v>
      </c>
      <c r="BB16" s="20">
        <f t="shared" si="2"/>
        <v>0</v>
      </c>
      <c r="BC16" s="20">
        <f t="shared" si="3"/>
        <v>0</v>
      </c>
      <c r="BD16" s="20">
        <f t="shared" si="4"/>
        <v>0</v>
      </c>
      <c r="BE16" s="20">
        <f t="shared" si="5"/>
        <v>0</v>
      </c>
      <c r="BF16" s="20">
        <f t="shared" ca="1" si="6"/>
        <v>0</v>
      </c>
      <c r="BG16" s="20">
        <f t="shared" si="7"/>
        <v>0</v>
      </c>
      <c r="BH16" s="20">
        <f t="shared" si="8"/>
        <v>0</v>
      </c>
      <c r="BI16" s="20">
        <f t="shared" si="9"/>
        <v>0</v>
      </c>
      <c r="BJ16" s="20">
        <f t="shared" si="10"/>
        <v>0</v>
      </c>
      <c r="BK16" s="20">
        <f t="shared" si="11"/>
        <v>1</v>
      </c>
      <c r="BL16" s="20">
        <f t="shared" ca="1" si="12"/>
        <v>9</v>
      </c>
      <c r="BM16" s="29">
        <v>26</v>
      </c>
      <c r="BN16" s="29">
        <v>5</v>
      </c>
      <c r="BO16" s="29">
        <v>21</v>
      </c>
      <c r="BP16" s="29">
        <v>4</v>
      </c>
      <c r="BQ16">
        <f t="shared" si="14"/>
        <v>0</v>
      </c>
    </row>
    <row r="17" spans="1:69" ht="31.5" x14ac:dyDescent="0.25">
      <c r="A17" s="20">
        <v>16</v>
      </c>
      <c r="B17" s="46" t="s">
        <v>1570</v>
      </c>
      <c r="C17" s="46" t="s">
        <v>1571</v>
      </c>
      <c r="D17" s="46" t="s">
        <v>1571</v>
      </c>
      <c r="E17" s="46" t="s">
        <v>1572</v>
      </c>
      <c r="F17" s="48" t="s">
        <v>1404</v>
      </c>
      <c r="G17" s="20" t="s">
        <v>1564</v>
      </c>
      <c r="H17" s="49">
        <v>46113</v>
      </c>
      <c r="I17" s="42"/>
      <c r="J17" s="42" t="s">
        <v>1560</v>
      </c>
      <c r="K17" s="37" t="s">
        <v>1485</v>
      </c>
      <c r="L17" s="37" t="s">
        <v>1513</v>
      </c>
      <c r="M17" s="20" t="s">
        <v>1487</v>
      </c>
      <c r="N17" s="20" t="s">
        <v>1532</v>
      </c>
      <c r="O17" s="20" t="s">
        <v>1532</v>
      </c>
      <c r="P17" s="20"/>
      <c r="Q17" s="20"/>
      <c r="R17" s="20"/>
      <c r="S17" s="37" t="s">
        <v>1573</v>
      </c>
      <c r="T17" s="20"/>
      <c r="U17" s="28" t="s">
        <v>1492</v>
      </c>
      <c r="V17" s="28" t="s">
        <v>1492</v>
      </c>
      <c r="W17" s="24" t="s">
        <v>1492</v>
      </c>
      <c r="X17" s="26" t="s">
        <v>1493</v>
      </c>
      <c r="Y17" s="24" t="s">
        <v>1492</v>
      </c>
      <c r="Z17" s="24" t="s">
        <v>1492</v>
      </c>
      <c r="AA17" s="24" t="s">
        <v>1492</v>
      </c>
      <c r="AB17" s="24" t="s">
        <v>1492</v>
      </c>
      <c r="AC17" s="24" t="s">
        <v>1492</v>
      </c>
      <c r="AD17" s="24" t="s">
        <v>1492</v>
      </c>
      <c r="AE17" s="24" t="s">
        <v>1492</v>
      </c>
      <c r="AF17" s="26" t="s">
        <v>1493</v>
      </c>
      <c r="AG17" s="24" t="s">
        <v>1492</v>
      </c>
      <c r="AH17" s="24" t="s">
        <v>1492</v>
      </c>
      <c r="AI17" s="24" t="s">
        <v>1492</v>
      </c>
      <c r="AJ17" s="24" t="s">
        <v>1492</v>
      </c>
      <c r="AK17" s="24" t="s">
        <v>1492</v>
      </c>
      <c r="AL17" s="27" t="s">
        <v>1493</v>
      </c>
      <c r="AM17" s="28" t="s">
        <v>1492</v>
      </c>
      <c r="AN17" s="24" t="s">
        <v>1492</v>
      </c>
      <c r="AO17" s="24" t="s">
        <v>1492</v>
      </c>
      <c r="AP17" s="24" t="s">
        <v>1492</v>
      </c>
      <c r="AQ17" s="24" t="s">
        <v>1492</v>
      </c>
      <c r="AR17" s="24" t="s">
        <v>1492</v>
      </c>
      <c r="AS17" s="28" t="s">
        <v>1492</v>
      </c>
      <c r="AT17" s="26" t="s">
        <v>1493</v>
      </c>
      <c r="AU17" s="24" t="s">
        <v>1492</v>
      </c>
      <c r="AV17" s="24" t="s">
        <v>1492</v>
      </c>
      <c r="AW17" s="24" t="s">
        <v>1492</v>
      </c>
      <c r="AX17" s="24" t="s">
        <v>1492</v>
      </c>
      <c r="AY17" s="20"/>
      <c r="AZ17" s="20">
        <f t="shared" si="0"/>
        <v>30</v>
      </c>
      <c r="BA17" s="20">
        <f t="shared" si="1"/>
        <v>26</v>
      </c>
      <c r="BB17" s="20">
        <f t="shared" si="2"/>
        <v>0</v>
      </c>
      <c r="BC17" s="20">
        <f t="shared" si="3"/>
        <v>0</v>
      </c>
      <c r="BD17" s="20">
        <f t="shared" si="4"/>
        <v>0</v>
      </c>
      <c r="BE17" s="20">
        <f t="shared" si="5"/>
        <v>0</v>
      </c>
      <c r="BF17" s="20">
        <f t="shared" ca="1" si="6"/>
        <v>0</v>
      </c>
      <c r="BG17" s="20">
        <f t="shared" si="7"/>
        <v>0</v>
      </c>
      <c r="BH17" s="20">
        <f t="shared" si="8"/>
        <v>0</v>
      </c>
      <c r="BI17" s="20">
        <f t="shared" si="9"/>
        <v>0</v>
      </c>
      <c r="BJ17" s="20">
        <f t="shared" si="10"/>
        <v>0</v>
      </c>
      <c r="BK17" s="20">
        <f t="shared" si="11"/>
        <v>4</v>
      </c>
      <c r="BL17" s="20">
        <f t="shared" ca="1" si="12"/>
        <v>30</v>
      </c>
      <c r="BM17" s="29">
        <v>26</v>
      </c>
      <c r="BN17" s="29">
        <v>5</v>
      </c>
      <c r="BO17" s="29">
        <v>21</v>
      </c>
      <c r="BP17" s="29">
        <v>4</v>
      </c>
      <c r="BQ17">
        <f t="shared" si="14"/>
        <v>0</v>
      </c>
    </row>
    <row r="18" spans="1:69" ht="15.75" x14ac:dyDescent="0.25">
      <c r="A18" s="20">
        <v>18</v>
      </c>
      <c r="B18" s="20" t="s">
        <v>1575</v>
      </c>
      <c r="C18" s="20" t="s">
        <v>1576</v>
      </c>
      <c r="D18" s="20" t="s">
        <v>1577</v>
      </c>
      <c r="E18" s="20" t="s">
        <v>1578</v>
      </c>
      <c r="F18" s="21" t="s">
        <v>1413</v>
      </c>
      <c r="G18" s="20" t="s">
        <v>1564</v>
      </c>
      <c r="H18" s="52">
        <v>45880</v>
      </c>
      <c r="I18" s="20"/>
      <c r="J18" s="20" t="s">
        <v>1579</v>
      </c>
      <c r="K18" s="20" t="s">
        <v>1580</v>
      </c>
      <c r="L18" s="20" t="s">
        <v>1513</v>
      </c>
      <c r="M18" s="20" t="s">
        <v>1487</v>
      </c>
      <c r="N18" s="37" t="s">
        <v>1506</v>
      </c>
      <c r="O18" s="20" t="s">
        <v>1532</v>
      </c>
      <c r="P18" s="20"/>
      <c r="Q18" s="20"/>
      <c r="R18" s="20"/>
      <c r="S18" s="20" t="s">
        <v>1498</v>
      </c>
      <c r="T18" s="20" t="s">
        <v>1581</v>
      </c>
      <c r="U18" s="28" t="s">
        <v>1492</v>
      </c>
      <c r="V18" s="28" t="s">
        <v>1492</v>
      </c>
      <c r="W18" s="24" t="s">
        <v>1492</v>
      </c>
      <c r="X18" s="24" t="s">
        <v>1492</v>
      </c>
      <c r="Y18" s="26" t="s">
        <v>1493</v>
      </c>
      <c r="Z18" s="24" t="s">
        <v>1492</v>
      </c>
      <c r="AA18" s="24" t="s">
        <v>1492</v>
      </c>
      <c r="AB18" s="24" t="s">
        <v>1492</v>
      </c>
      <c r="AC18" s="24" t="s">
        <v>1492</v>
      </c>
      <c r="AD18" s="24" t="s">
        <v>1492</v>
      </c>
      <c r="AE18" s="26" t="s">
        <v>1493</v>
      </c>
      <c r="AF18" s="24" t="s">
        <v>1492</v>
      </c>
      <c r="AG18" s="24" t="s">
        <v>1492</v>
      </c>
      <c r="AH18" s="24" t="s">
        <v>1492</v>
      </c>
      <c r="AI18" s="24" t="s">
        <v>1492</v>
      </c>
      <c r="AJ18" s="24" t="s">
        <v>1492</v>
      </c>
      <c r="AK18" s="24" t="s">
        <v>1492</v>
      </c>
      <c r="AL18" s="24" t="s">
        <v>1492</v>
      </c>
      <c r="AM18" s="26" t="s">
        <v>1493</v>
      </c>
      <c r="AN18" s="24" t="s">
        <v>1492</v>
      </c>
      <c r="AO18" s="45" t="s">
        <v>1582</v>
      </c>
      <c r="AP18" s="24" t="s">
        <v>1492</v>
      </c>
      <c r="AQ18" s="24" t="s">
        <v>1492</v>
      </c>
      <c r="AR18" s="24" t="s">
        <v>1492</v>
      </c>
      <c r="AS18" s="26" t="s">
        <v>1493</v>
      </c>
      <c r="AT18" s="24" t="s">
        <v>1492</v>
      </c>
      <c r="AU18" s="9" t="s">
        <v>1464</v>
      </c>
      <c r="AV18" s="53" t="s">
        <v>1582</v>
      </c>
      <c r="AW18" s="54" t="s">
        <v>1582</v>
      </c>
      <c r="AX18" s="24" t="s">
        <v>1492</v>
      </c>
      <c r="AY18" s="24" t="s">
        <v>1492</v>
      </c>
      <c r="AZ18" s="20">
        <f t="shared" si="0"/>
        <v>31</v>
      </c>
      <c r="BA18" s="20">
        <f t="shared" si="1"/>
        <v>23</v>
      </c>
      <c r="BB18" s="20">
        <f t="shared" si="2"/>
        <v>1</v>
      </c>
      <c r="BC18" s="20">
        <f t="shared" si="3"/>
        <v>0</v>
      </c>
      <c r="BD18" s="20">
        <f t="shared" si="4"/>
        <v>0</v>
      </c>
      <c r="BE18" s="20">
        <f t="shared" si="5"/>
        <v>0</v>
      </c>
      <c r="BF18" s="20">
        <f t="shared" ca="1" si="6"/>
        <v>0</v>
      </c>
      <c r="BG18" s="20">
        <f t="shared" si="7"/>
        <v>0</v>
      </c>
      <c r="BH18" s="20">
        <f t="shared" si="8"/>
        <v>0</v>
      </c>
      <c r="BI18" s="20">
        <f t="shared" si="9"/>
        <v>0</v>
      </c>
      <c r="BJ18" s="20">
        <f t="shared" si="10"/>
        <v>0</v>
      </c>
      <c r="BK18" s="20">
        <f t="shared" si="11"/>
        <v>4</v>
      </c>
      <c r="BL18" s="20">
        <f t="shared" ca="1" si="12"/>
        <v>27.5</v>
      </c>
      <c r="BM18" s="20">
        <v>28</v>
      </c>
      <c r="BN18" s="29">
        <v>6</v>
      </c>
      <c r="BO18" s="29">
        <f>INT(BM18*0.8)</f>
        <v>22</v>
      </c>
      <c r="BP18" s="29">
        <v>5</v>
      </c>
      <c r="BQ18">
        <f t="shared" si="14"/>
        <v>0.5</v>
      </c>
    </row>
    <row r="19" spans="1:69" ht="15.75" x14ac:dyDescent="0.25">
      <c r="A19" s="20">
        <v>19</v>
      </c>
      <c r="B19" s="20" t="s">
        <v>1583</v>
      </c>
      <c r="C19" s="20" t="s">
        <v>1584</v>
      </c>
      <c r="D19" s="20" t="s">
        <v>1585</v>
      </c>
      <c r="E19" s="20" t="s">
        <v>1586</v>
      </c>
      <c r="F19" s="21" t="s">
        <v>1409</v>
      </c>
      <c r="G19" s="20" t="s">
        <v>1483</v>
      </c>
      <c r="H19" s="32">
        <v>45908</v>
      </c>
      <c r="I19" s="20"/>
      <c r="J19" s="20" t="s">
        <v>1579</v>
      </c>
      <c r="K19" s="20" t="s">
        <v>1580</v>
      </c>
      <c r="L19" s="20" t="s">
        <v>1513</v>
      </c>
      <c r="M19" s="20" t="s">
        <v>1487</v>
      </c>
      <c r="N19" s="37" t="s">
        <v>1506</v>
      </c>
      <c r="O19" s="20" t="s">
        <v>1532</v>
      </c>
      <c r="P19" s="20"/>
      <c r="Q19" s="20"/>
      <c r="R19" s="20"/>
      <c r="S19" s="20" t="s">
        <v>1587</v>
      </c>
      <c r="T19" s="20" t="s">
        <v>1588</v>
      </c>
      <c r="U19" s="28" t="s">
        <v>1492</v>
      </c>
      <c r="V19" s="28" t="s">
        <v>1492</v>
      </c>
      <c r="W19" s="24" t="s">
        <v>1492</v>
      </c>
      <c r="X19" s="26" t="s">
        <v>1493</v>
      </c>
      <c r="Y19" s="24" t="s">
        <v>1492</v>
      </c>
      <c r="Z19" s="24" t="s">
        <v>1492</v>
      </c>
      <c r="AA19" s="24" t="s">
        <v>1492</v>
      </c>
      <c r="AB19" s="24" t="s">
        <v>1492</v>
      </c>
      <c r="AC19" s="24" t="s">
        <v>1492</v>
      </c>
      <c r="AD19" s="24" t="s">
        <v>1492</v>
      </c>
      <c r="AE19" s="24" t="s">
        <v>1492</v>
      </c>
      <c r="AF19" s="26" t="s">
        <v>1493</v>
      </c>
      <c r="AG19" s="24" t="s">
        <v>1492</v>
      </c>
      <c r="AH19" s="24" t="s">
        <v>1492</v>
      </c>
      <c r="AI19" s="24" t="s">
        <v>1492</v>
      </c>
      <c r="AJ19" s="24" t="s">
        <v>1492</v>
      </c>
      <c r="AK19" s="31" t="s">
        <v>1465</v>
      </c>
      <c r="AL19" s="26" t="s">
        <v>1493</v>
      </c>
      <c r="AM19" s="24" t="s">
        <v>1492</v>
      </c>
      <c r="AN19" s="24" t="s">
        <v>1492</v>
      </c>
      <c r="AO19" s="24" t="s">
        <v>1492</v>
      </c>
      <c r="AP19" s="24" t="s">
        <v>1492</v>
      </c>
      <c r="AQ19" s="24" t="s">
        <v>1492</v>
      </c>
      <c r="AR19" s="24" t="s">
        <v>1492</v>
      </c>
      <c r="AS19" s="24" t="s">
        <v>1492</v>
      </c>
      <c r="AT19" s="26" t="s">
        <v>1493</v>
      </c>
      <c r="AU19" s="24" t="s">
        <v>1492</v>
      </c>
      <c r="AV19" s="24" t="s">
        <v>1492</v>
      </c>
      <c r="AW19" s="24" t="s">
        <v>1492</v>
      </c>
      <c r="AX19" s="24" t="s">
        <v>1492</v>
      </c>
      <c r="AY19" s="24" t="s">
        <v>1492</v>
      </c>
      <c r="AZ19" s="20">
        <f t="shared" si="0"/>
        <v>31</v>
      </c>
      <c r="BA19" s="20">
        <f t="shared" si="1"/>
        <v>26</v>
      </c>
      <c r="BB19" s="20">
        <f t="shared" si="2"/>
        <v>0</v>
      </c>
      <c r="BC19" s="20">
        <f t="shared" si="3"/>
        <v>1</v>
      </c>
      <c r="BD19" s="20">
        <f t="shared" si="4"/>
        <v>0</v>
      </c>
      <c r="BE19" s="20">
        <f t="shared" si="5"/>
        <v>0</v>
      </c>
      <c r="BF19" s="20">
        <f t="shared" ca="1" si="6"/>
        <v>0</v>
      </c>
      <c r="BG19" s="20">
        <f t="shared" si="7"/>
        <v>0</v>
      </c>
      <c r="BH19" s="20">
        <f t="shared" si="8"/>
        <v>0</v>
      </c>
      <c r="BI19" s="20">
        <f t="shared" si="9"/>
        <v>0</v>
      </c>
      <c r="BJ19" s="20">
        <f t="shared" si="10"/>
        <v>0</v>
      </c>
      <c r="BK19" s="20">
        <f t="shared" si="11"/>
        <v>4</v>
      </c>
      <c r="BL19" s="20">
        <f t="shared" ca="1" si="12"/>
        <v>30</v>
      </c>
      <c r="BM19" s="20">
        <v>28</v>
      </c>
      <c r="BN19" s="29">
        <v>6</v>
      </c>
      <c r="BO19" s="29">
        <f t="shared" ref="BO19:BO22" si="15">INT(BM19*0.8)</f>
        <v>22</v>
      </c>
      <c r="BP19" s="29">
        <v>5</v>
      </c>
      <c r="BQ19">
        <f t="shared" si="14"/>
        <v>1</v>
      </c>
    </row>
    <row r="20" spans="1:69" ht="15.75" x14ac:dyDescent="0.25">
      <c r="A20" s="20">
        <v>20</v>
      </c>
      <c r="B20" s="20" t="s">
        <v>1589</v>
      </c>
      <c r="C20" s="20" t="s">
        <v>1590</v>
      </c>
      <c r="D20" s="20" t="s">
        <v>1591</v>
      </c>
      <c r="E20" s="20" t="s">
        <v>1592</v>
      </c>
      <c r="F20" s="21" t="s">
        <v>1405</v>
      </c>
      <c r="G20" s="20" t="s">
        <v>1564</v>
      </c>
      <c r="H20" s="32">
        <v>45908</v>
      </c>
      <c r="I20" s="20"/>
      <c r="J20" s="20" t="s">
        <v>1579</v>
      </c>
      <c r="K20" s="20" t="s">
        <v>1580</v>
      </c>
      <c r="L20" s="20" t="s">
        <v>1513</v>
      </c>
      <c r="M20" s="20" t="s">
        <v>1487</v>
      </c>
      <c r="N20" s="37" t="s">
        <v>1506</v>
      </c>
      <c r="O20" s="20" t="s">
        <v>1532</v>
      </c>
      <c r="P20" s="20"/>
      <c r="Q20" s="20"/>
      <c r="R20" s="20"/>
      <c r="S20" s="20" t="s">
        <v>1587</v>
      </c>
      <c r="T20" s="20" t="s">
        <v>1593</v>
      </c>
      <c r="U20" s="10" t="s">
        <v>1465</v>
      </c>
      <c r="V20" s="55" t="s">
        <v>1594</v>
      </c>
      <c r="W20" s="24" t="s">
        <v>1492</v>
      </c>
      <c r="X20" s="24" t="s">
        <v>1492</v>
      </c>
      <c r="Y20" s="26" t="s">
        <v>1493</v>
      </c>
      <c r="Z20" s="55" t="s">
        <v>1594</v>
      </c>
      <c r="AA20" s="24" t="s">
        <v>1492</v>
      </c>
      <c r="AB20" s="24" t="s">
        <v>1492</v>
      </c>
      <c r="AC20" s="24" t="s">
        <v>1492</v>
      </c>
      <c r="AD20" s="24" t="s">
        <v>1492</v>
      </c>
      <c r="AE20" s="24" t="s">
        <v>1492</v>
      </c>
      <c r="AF20" s="26" t="s">
        <v>1493</v>
      </c>
      <c r="AG20" s="24" t="s">
        <v>1492</v>
      </c>
      <c r="AH20" s="24" t="s">
        <v>1492</v>
      </c>
      <c r="AI20" s="24" t="s">
        <v>1492</v>
      </c>
      <c r="AJ20" s="24" t="s">
        <v>1492</v>
      </c>
      <c r="AK20" s="24" t="s">
        <v>1492</v>
      </c>
      <c r="AL20" s="26" t="s">
        <v>1493</v>
      </c>
      <c r="AM20" s="24" t="s">
        <v>1492</v>
      </c>
      <c r="AN20" s="24" t="s">
        <v>1492</v>
      </c>
      <c r="AO20" s="24" t="s">
        <v>1492</v>
      </c>
      <c r="AP20" s="24" t="s">
        <v>1492</v>
      </c>
      <c r="AQ20" s="24" t="s">
        <v>1492</v>
      </c>
      <c r="AR20" s="24" t="s">
        <v>1492</v>
      </c>
      <c r="AS20" s="24" t="s">
        <v>1492</v>
      </c>
      <c r="AT20" s="26" t="s">
        <v>1493</v>
      </c>
      <c r="AU20" s="24" t="s">
        <v>1492</v>
      </c>
      <c r="AV20" s="24" t="s">
        <v>1492</v>
      </c>
      <c r="AW20" s="24" t="s">
        <v>1492</v>
      </c>
      <c r="AX20" s="24" t="s">
        <v>1492</v>
      </c>
      <c r="AY20" s="24" t="s">
        <v>1492</v>
      </c>
      <c r="AZ20" s="20">
        <f t="shared" si="0"/>
        <v>31</v>
      </c>
      <c r="BA20" s="20">
        <f t="shared" si="1"/>
        <v>24</v>
      </c>
      <c r="BB20" s="20">
        <f t="shared" si="2"/>
        <v>0</v>
      </c>
      <c r="BC20" s="20">
        <f t="shared" si="3"/>
        <v>1</v>
      </c>
      <c r="BD20" s="20">
        <f t="shared" si="4"/>
        <v>0</v>
      </c>
      <c r="BE20" s="20">
        <f t="shared" si="5"/>
        <v>0</v>
      </c>
      <c r="BF20" s="20">
        <f t="shared" ca="1" si="6"/>
        <v>0</v>
      </c>
      <c r="BG20" s="20">
        <f t="shared" si="7"/>
        <v>0</v>
      </c>
      <c r="BH20" s="20">
        <f t="shared" si="8"/>
        <v>0</v>
      </c>
      <c r="BI20" s="20">
        <f t="shared" si="9"/>
        <v>0</v>
      </c>
      <c r="BJ20" s="20">
        <f t="shared" si="10"/>
        <v>2</v>
      </c>
      <c r="BK20" s="20">
        <f t="shared" si="11"/>
        <v>4</v>
      </c>
      <c r="BL20" s="20">
        <f t="shared" ca="1" si="12"/>
        <v>28</v>
      </c>
      <c r="BM20" s="20">
        <v>28</v>
      </c>
      <c r="BN20" s="29">
        <v>6</v>
      </c>
      <c r="BO20" s="29">
        <f t="shared" si="15"/>
        <v>22</v>
      </c>
      <c r="BP20" s="29">
        <v>5</v>
      </c>
      <c r="BQ20">
        <f t="shared" si="14"/>
        <v>1</v>
      </c>
    </row>
    <row r="21" spans="1:69" ht="15.75" x14ac:dyDescent="0.25">
      <c r="A21" s="20">
        <v>21</v>
      </c>
      <c r="B21" s="20" t="s">
        <v>1595</v>
      </c>
      <c r="C21" s="20" t="s">
        <v>1596</v>
      </c>
      <c r="D21" s="20" t="s">
        <v>1519</v>
      </c>
      <c r="E21" s="20" t="s">
        <v>1597</v>
      </c>
      <c r="F21" s="21" t="s">
        <v>1391</v>
      </c>
      <c r="G21" s="20" t="s">
        <v>1483</v>
      </c>
      <c r="H21" s="32">
        <v>45908</v>
      </c>
      <c r="I21" s="20"/>
      <c r="J21" s="20" t="s">
        <v>1579</v>
      </c>
      <c r="K21" s="20" t="s">
        <v>1580</v>
      </c>
      <c r="L21" s="20" t="s">
        <v>1513</v>
      </c>
      <c r="M21" s="20" t="s">
        <v>1487</v>
      </c>
      <c r="N21" s="37" t="s">
        <v>1506</v>
      </c>
      <c r="O21" s="20" t="s">
        <v>1532</v>
      </c>
      <c r="P21" s="20"/>
      <c r="Q21" s="20"/>
      <c r="R21" s="20"/>
      <c r="S21" s="20" t="s">
        <v>1587</v>
      </c>
      <c r="T21" s="20" t="s">
        <v>1598</v>
      </c>
      <c r="U21" s="28" t="s">
        <v>1492</v>
      </c>
      <c r="V21" s="28" t="s">
        <v>1492</v>
      </c>
      <c r="W21" s="24" t="s">
        <v>1492</v>
      </c>
      <c r="X21" s="26" t="s">
        <v>1493</v>
      </c>
      <c r="Y21" s="24" t="s">
        <v>1492</v>
      </c>
      <c r="Z21" s="24" t="s">
        <v>1492</v>
      </c>
      <c r="AA21" s="24" t="s">
        <v>1492</v>
      </c>
      <c r="AB21" s="24" t="s">
        <v>1492</v>
      </c>
      <c r="AC21" s="24" t="s">
        <v>1492</v>
      </c>
      <c r="AD21" s="24" t="s">
        <v>1492</v>
      </c>
      <c r="AE21" s="31" t="s">
        <v>1501</v>
      </c>
      <c r="AF21" s="26" t="s">
        <v>1493</v>
      </c>
      <c r="AG21" s="24" t="s">
        <v>1492</v>
      </c>
      <c r="AH21" s="31" t="s">
        <v>1465</v>
      </c>
      <c r="AI21" s="24" t="s">
        <v>1492</v>
      </c>
      <c r="AJ21" s="24" t="s">
        <v>1492</v>
      </c>
      <c r="AK21" s="24" t="s">
        <v>1492</v>
      </c>
      <c r="AL21" s="24" t="s">
        <v>1492</v>
      </c>
      <c r="AM21" s="26" t="s">
        <v>1493</v>
      </c>
      <c r="AN21" s="24" t="s">
        <v>1492</v>
      </c>
      <c r="AO21" s="24" t="s">
        <v>1492</v>
      </c>
      <c r="AP21" s="24" t="s">
        <v>1492</v>
      </c>
      <c r="AQ21" s="24" t="s">
        <v>1492</v>
      </c>
      <c r="AR21" s="24" t="s">
        <v>1492</v>
      </c>
      <c r="AS21" s="56" t="s">
        <v>1465</v>
      </c>
      <c r="AT21" s="57" t="s">
        <v>1493</v>
      </c>
      <c r="AU21" s="24" t="s">
        <v>1492</v>
      </c>
      <c r="AV21" s="24" t="s">
        <v>1492</v>
      </c>
      <c r="AW21" s="24" t="s">
        <v>1492</v>
      </c>
      <c r="AX21" s="56" t="s">
        <v>1465</v>
      </c>
      <c r="AY21" s="24" t="s">
        <v>1492</v>
      </c>
      <c r="AZ21" s="20">
        <f t="shared" si="0"/>
        <v>31</v>
      </c>
      <c r="BA21" s="20">
        <f t="shared" si="1"/>
        <v>23</v>
      </c>
      <c r="BB21" s="20">
        <f t="shared" si="2"/>
        <v>0</v>
      </c>
      <c r="BC21" s="20">
        <f t="shared" si="3"/>
        <v>3</v>
      </c>
      <c r="BD21" s="20">
        <f t="shared" si="4"/>
        <v>1</v>
      </c>
      <c r="BE21" s="20">
        <f t="shared" si="5"/>
        <v>0</v>
      </c>
      <c r="BF21" s="20">
        <f t="shared" ca="1" si="6"/>
        <v>0</v>
      </c>
      <c r="BG21" s="20">
        <f t="shared" si="7"/>
        <v>0</v>
      </c>
      <c r="BH21" s="20">
        <f t="shared" si="8"/>
        <v>0</v>
      </c>
      <c r="BI21" s="20">
        <f t="shared" si="9"/>
        <v>0</v>
      </c>
      <c r="BJ21" s="20">
        <f t="shared" si="10"/>
        <v>0</v>
      </c>
      <c r="BK21" s="20">
        <f t="shared" si="11"/>
        <v>4</v>
      </c>
      <c r="BL21" s="20">
        <f t="shared" ca="1" si="12"/>
        <v>28</v>
      </c>
      <c r="BM21" s="20">
        <v>28</v>
      </c>
      <c r="BN21" s="29">
        <v>6</v>
      </c>
      <c r="BO21" s="29">
        <f t="shared" si="15"/>
        <v>22</v>
      </c>
      <c r="BP21" s="29">
        <v>5</v>
      </c>
      <c r="BQ21">
        <f t="shared" si="14"/>
        <v>3</v>
      </c>
    </row>
    <row r="22" spans="1:69" ht="30" x14ac:dyDescent="0.25">
      <c r="A22" s="20">
        <v>22</v>
      </c>
      <c r="B22" s="37" t="s">
        <v>1599</v>
      </c>
      <c r="C22" s="37" t="s">
        <v>1600</v>
      </c>
      <c r="D22" s="37" t="s">
        <v>1601</v>
      </c>
      <c r="E22" s="37" t="s">
        <v>1602</v>
      </c>
      <c r="F22" s="58" t="s">
        <v>1393</v>
      </c>
      <c r="G22" s="37" t="s">
        <v>1483</v>
      </c>
      <c r="H22" s="59">
        <v>45563</v>
      </c>
      <c r="I22" s="20"/>
      <c r="J22" s="20" t="s">
        <v>1579</v>
      </c>
      <c r="K22" s="37" t="s">
        <v>1580</v>
      </c>
      <c r="L22" s="37" t="s">
        <v>1486</v>
      </c>
      <c r="M22" s="20" t="s">
        <v>1487</v>
      </c>
      <c r="N22" s="37" t="s">
        <v>1506</v>
      </c>
      <c r="O22" s="20" t="s">
        <v>1532</v>
      </c>
      <c r="P22" s="37"/>
      <c r="Q22" s="37"/>
      <c r="R22" s="37"/>
      <c r="S22" s="37" t="s">
        <v>1603</v>
      </c>
      <c r="T22" s="37" t="s">
        <v>1604</v>
      </c>
      <c r="U22" s="28" t="s">
        <v>1492</v>
      </c>
      <c r="V22" s="28" t="s">
        <v>1492</v>
      </c>
      <c r="W22" s="24" t="s">
        <v>1492</v>
      </c>
      <c r="X22" s="26" t="s">
        <v>1493</v>
      </c>
      <c r="Y22" s="24" t="s">
        <v>1492</v>
      </c>
      <c r="Z22" s="24" t="s">
        <v>1492</v>
      </c>
      <c r="AA22" s="24" t="s">
        <v>1492</v>
      </c>
      <c r="AB22" s="24" t="s">
        <v>1492</v>
      </c>
      <c r="AC22" s="24" t="s">
        <v>1492</v>
      </c>
      <c r="AD22" s="24" t="s">
        <v>1492</v>
      </c>
      <c r="AE22" s="26" t="s">
        <v>1493</v>
      </c>
      <c r="AF22" s="54" t="s">
        <v>1582</v>
      </c>
      <c r="AG22" s="24" t="s">
        <v>1492</v>
      </c>
      <c r="AH22" s="24" t="s">
        <v>1492</v>
      </c>
      <c r="AI22" s="24" t="s">
        <v>1492</v>
      </c>
      <c r="AJ22" s="24" t="s">
        <v>1492</v>
      </c>
      <c r="AK22" s="24" t="s">
        <v>1492</v>
      </c>
      <c r="AL22" s="26" t="s">
        <v>1493</v>
      </c>
      <c r="AM22" s="24" t="s">
        <v>1492</v>
      </c>
      <c r="AN22" s="24" t="s">
        <v>1492</v>
      </c>
      <c r="AO22" s="24" t="s">
        <v>1492</v>
      </c>
      <c r="AP22" s="24" t="s">
        <v>1492</v>
      </c>
      <c r="AQ22" s="24" t="s">
        <v>1492</v>
      </c>
      <c r="AR22" s="24" t="s">
        <v>1492</v>
      </c>
      <c r="AS22" s="54" t="s">
        <v>1582</v>
      </c>
      <c r="AT22" s="26" t="s">
        <v>1493</v>
      </c>
      <c r="AU22" s="53" t="s">
        <v>1582</v>
      </c>
      <c r="AV22" s="53" t="s">
        <v>1582</v>
      </c>
      <c r="AW22" s="14" t="s">
        <v>1470</v>
      </c>
      <c r="AX22" s="14" t="s">
        <v>1470</v>
      </c>
      <c r="AY22" s="14" t="s">
        <v>1470</v>
      </c>
      <c r="AZ22" s="20">
        <f t="shared" si="0"/>
        <v>31</v>
      </c>
      <c r="BA22" s="20">
        <f t="shared" si="1"/>
        <v>20</v>
      </c>
      <c r="BB22" s="20">
        <f t="shared" si="2"/>
        <v>0</v>
      </c>
      <c r="BC22" s="20">
        <f t="shared" si="3"/>
        <v>0</v>
      </c>
      <c r="BD22" s="20">
        <f t="shared" si="4"/>
        <v>0</v>
      </c>
      <c r="BE22" s="20">
        <f t="shared" si="5"/>
        <v>0</v>
      </c>
      <c r="BF22" s="20">
        <f t="shared" ca="1" si="6"/>
        <v>0</v>
      </c>
      <c r="BG22" s="20">
        <f t="shared" si="7"/>
        <v>0</v>
      </c>
      <c r="BH22" s="20">
        <f t="shared" si="8"/>
        <v>0</v>
      </c>
      <c r="BI22" s="20">
        <f t="shared" si="9"/>
        <v>0</v>
      </c>
      <c r="BJ22" s="20">
        <f t="shared" si="10"/>
        <v>0</v>
      </c>
      <c r="BK22" s="20">
        <f t="shared" si="11"/>
        <v>4</v>
      </c>
      <c r="BL22" s="20">
        <f t="shared" ca="1" si="12"/>
        <v>24</v>
      </c>
      <c r="BM22" s="20">
        <v>28</v>
      </c>
      <c r="BN22" s="29">
        <v>6</v>
      </c>
      <c r="BO22" s="29">
        <f t="shared" si="15"/>
        <v>22</v>
      </c>
      <c r="BP22" s="29">
        <v>5</v>
      </c>
      <c r="BQ22">
        <f t="shared" si="14"/>
        <v>0</v>
      </c>
    </row>
    <row r="23" spans="1:69" ht="15.75" x14ac:dyDescent="0.25">
      <c r="A23" s="20">
        <v>23</v>
      </c>
      <c r="B23" s="60" t="s">
        <v>1605</v>
      </c>
      <c r="C23" s="60" t="s">
        <v>1606</v>
      </c>
      <c r="D23" s="60" t="s">
        <v>1606</v>
      </c>
      <c r="E23" s="60" t="s">
        <v>1607</v>
      </c>
      <c r="F23" s="61" t="s">
        <v>1421</v>
      </c>
      <c r="G23" s="20" t="s">
        <v>1483</v>
      </c>
      <c r="H23" s="49">
        <v>46064</v>
      </c>
      <c r="I23" s="20"/>
      <c r="J23" s="20" t="s">
        <v>1608</v>
      </c>
      <c r="K23" s="37" t="s">
        <v>1580</v>
      </c>
      <c r="L23" s="37" t="s">
        <v>1513</v>
      </c>
      <c r="M23" s="20" t="s">
        <v>1487</v>
      </c>
      <c r="N23" s="20" t="s">
        <v>1532</v>
      </c>
      <c r="O23" s="20" t="s">
        <v>1532</v>
      </c>
      <c r="P23" s="20"/>
      <c r="Q23" s="20"/>
      <c r="R23" s="20">
        <v>1581282960</v>
      </c>
      <c r="S23" s="37" t="s">
        <v>1498</v>
      </c>
      <c r="T23" s="20" t="s">
        <v>1609</v>
      </c>
      <c r="U23" s="24" t="s">
        <v>1492</v>
      </c>
      <c r="V23" s="24" t="s">
        <v>1492</v>
      </c>
      <c r="W23" s="24" t="s">
        <v>1492</v>
      </c>
      <c r="X23" s="24" t="s">
        <v>1492</v>
      </c>
      <c r="Y23" s="26" t="s">
        <v>1493</v>
      </c>
      <c r="Z23" s="24" t="s">
        <v>1492</v>
      </c>
      <c r="AA23" s="24" t="s">
        <v>1492</v>
      </c>
      <c r="AB23" s="24" t="s">
        <v>1492</v>
      </c>
      <c r="AC23" s="24" t="s">
        <v>1492</v>
      </c>
      <c r="AD23" s="24" t="s">
        <v>1492</v>
      </c>
      <c r="AE23" s="26" t="s">
        <v>1493</v>
      </c>
      <c r="AF23" s="45" t="s">
        <v>1582</v>
      </c>
      <c r="AG23" s="24" t="s">
        <v>1492</v>
      </c>
      <c r="AH23" s="24" t="s">
        <v>1492</v>
      </c>
      <c r="AI23" s="24" t="s">
        <v>1492</v>
      </c>
      <c r="AJ23" s="24" t="s">
        <v>1492</v>
      </c>
      <c r="AK23" s="31" t="s">
        <v>1465</v>
      </c>
      <c r="AL23" s="26" t="s">
        <v>1493</v>
      </c>
      <c r="AM23" s="31" t="s">
        <v>1465</v>
      </c>
      <c r="AN23" s="24" t="s">
        <v>1492</v>
      </c>
      <c r="AO23" s="24" t="s">
        <v>1492</v>
      </c>
      <c r="AP23" s="24" t="s">
        <v>1492</v>
      </c>
      <c r="AQ23" s="24" t="s">
        <v>1492</v>
      </c>
      <c r="AR23" s="24" t="s">
        <v>1492</v>
      </c>
      <c r="AS23" s="26" t="s">
        <v>1493</v>
      </c>
      <c r="AT23" s="24" t="s">
        <v>1492</v>
      </c>
      <c r="AU23" s="24" t="s">
        <v>1492</v>
      </c>
      <c r="AV23" s="24" t="s">
        <v>1492</v>
      </c>
      <c r="AW23" s="24" t="s">
        <v>1492</v>
      </c>
      <c r="AX23" s="24" t="s">
        <v>1492</v>
      </c>
      <c r="AY23" s="24" t="s">
        <v>1492</v>
      </c>
      <c r="AZ23" s="20">
        <f t="shared" si="0"/>
        <v>31</v>
      </c>
      <c r="BA23" s="20">
        <f t="shared" si="1"/>
        <v>24</v>
      </c>
      <c r="BB23" s="20">
        <f t="shared" si="2"/>
        <v>0</v>
      </c>
      <c r="BC23" s="20">
        <f t="shared" si="3"/>
        <v>2</v>
      </c>
      <c r="BD23" s="20">
        <f t="shared" si="4"/>
        <v>0</v>
      </c>
      <c r="BE23" s="20">
        <f t="shared" si="5"/>
        <v>0</v>
      </c>
      <c r="BF23" s="20">
        <f t="shared" ca="1" si="6"/>
        <v>0</v>
      </c>
      <c r="BG23" s="20">
        <f t="shared" si="7"/>
        <v>0</v>
      </c>
      <c r="BH23" s="20">
        <f t="shared" si="8"/>
        <v>0</v>
      </c>
      <c r="BI23" s="20">
        <f t="shared" si="9"/>
        <v>0</v>
      </c>
      <c r="BJ23" s="20">
        <f t="shared" si="10"/>
        <v>0</v>
      </c>
      <c r="BK23" s="20">
        <f t="shared" si="11"/>
        <v>4</v>
      </c>
      <c r="BL23" s="20">
        <f t="shared" ca="1" si="12"/>
        <v>28</v>
      </c>
      <c r="BM23" s="29">
        <v>26</v>
      </c>
      <c r="BN23" s="29">
        <v>5</v>
      </c>
      <c r="BO23" s="29">
        <v>21</v>
      </c>
      <c r="BP23" s="29">
        <v>3</v>
      </c>
      <c r="BQ23">
        <f t="shared" si="14"/>
        <v>2</v>
      </c>
    </row>
    <row r="24" spans="1:69" ht="15.75" x14ac:dyDescent="0.25">
      <c r="A24" s="20">
        <v>24</v>
      </c>
      <c r="B24" s="60" t="s">
        <v>1610</v>
      </c>
      <c r="C24" s="60" t="s">
        <v>1611</v>
      </c>
      <c r="D24" s="60" t="s">
        <v>1611</v>
      </c>
      <c r="E24" s="60" t="s">
        <v>1612</v>
      </c>
      <c r="F24" s="61" t="s">
        <v>1418</v>
      </c>
      <c r="G24" s="20" t="s">
        <v>1483</v>
      </c>
      <c r="H24" s="49">
        <v>46064</v>
      </c>
      <c r="I24" s="20"/>
      <c r="J24" s="20" t="s">
        <v>1608</v>
      </c>
      <c r="K24" s="37" t="s">
        <v>1580</v>
      </c>
      <c r="L24" s="37" t="s">
        <v>1513</v>
      </c>
      <c r="M24" s="20" t="s">
        <v>1487</v>
      </c>
      <c r="N24" s="20" t="s">
        <v>1506</v>
      </c>
      <c r="O24" s="20" t="s">
        <v>1532</v>
      </c>
      <c r="P24" s="20"/>
      <c r="Q24" s="20"/>
      <c r="R24" s="20"/>
      <c r="S24" s="37" t="s">
        <v>1613</v>
      </c>
      <c r="T24" s="20"/>
      <c r="U24" s="24" t="s">
        <v>1492</v>
      </c>
      <c r="V24" s="24" t="s">
        <v>1492</v>
      </c>
      <c r="W24" s="24" t="s">
        <v>1492</v>
      </c>
      <c r="X24" s="26" t="s">
        <v>1493</v>
      </c>
      <c r="Y24" s="24" t="s">
        <v>1492</v>
      </c>
      <c r="Z24" s="24" t="s">
        <v>1492</v>
      </c>
      <c r="AA24" s="24" t="s">
        <v>1492</v>
      </c>
      <c r="AB24" s="24" t="s">
        <v>1492</v>
      </c>
      <c r="AC24" s="24" t="s">
        <v>1492</v>
      </c>
      <c r="AD24" s="55" t="s">
        <v>1594</v>
      </c>
      <c r="AE24" s="26" t="s">
        <v>1493</v>
      </c>
      <c r="AF24" s="24" t="s">
        <v>1492</v>
      </c>
      <c r="AG24" s="24" t="s">
        <v>1492</v>
      </c>
      <c r="AH24" s="24" t="s">
        <v>1492</v>
      </c>
      <c r="AI24" s="24" t="s">
        <v>1492</v>
      </c>
      <c r="AJ24" s="24" t="s">
        <v>1492</v>
      </c>
      <c r="AK24" s="24" t="s">
        <v>1492</v>
      </c>
      <c r="AL24" s="24" t="s">
        <v>1492</v>
      </c>
      <c r="AM24" s="26" t="s">
        <v>1493</v>
      </c>
      <c r="AN24" s="24" t="s">
        <v>1492</v>
      </c>
      <c r="AO24" s="24" t="s">
        <v>1492</v>
      </c>
      <c r="AP24" s="24" t="s">
        <v>1492</v>
      </c>
      <c r="AQ24" s="24" t="s">
        <v>1492</v>
      </c>
      <c r="AR24" s="24" t="s">
        <v>1492</v>
      </c>
      <c r="AS24" s="26" t="s">
        <v>1493</v>
      </c>
      <c r="AT24" s="24" t="s">
        <v>1492</v>
      </c>
      <c r="AU24" s="24" t="s">
        <v>1492</v>
      </c>
      <c r="AV24" s="24" t="s">
        <v>1492</v>
      </c>
      <c r="AW24" s="24" t="s">
        <v>1492</v>
      </c>
      <c r="AX24" s="24" t="s">
        <v>1492</v>
      </c>
      <c r="AY24" s="24" t="s">
        <v>1492</v>
      </c>
      <c r="AZ24" s="20">
        <f t="shared" si="0"/>
        <v>31</v>
      </c>
      <c r="BA24" s="20">
        <f t="shared" si="1"/>
        <v>26</v>
      </c>
      <c r="BB24" s="20">
        <f t="shared" si="2"/>
        <v>0</v>
      </c>
      <c r="BC24" s="20">
        <f t="shared" si="3"/>
        <v>0</v>
      </c>
      <c r="BD24" s="20">
        <f t="shared" si="4"/>
        <v>0</v>
      </c>
      <c r="BE24" s="20">
        <f t="shared" si="5"/>
        <v>0</v>
      </c>
      <c r="BF24" s="20">
        <f t="shared" ca="1" si="6"/>
        <v>0</v>
      </c>
      <c r="BG24" s="20">
        <f t="shared" si="7"/>
        <v>0</v>
      </c>
      <c r="BH24" s="20">
        <f t="shared" si="8"/>
        <v>0</v>
      </c>
      <c r="BI24" s="20">
        <f t="shared" si="9"/>
        <v>0</v>
      </c>
      <c r="BJ24" s="20">
        <f t="shared" si="10"/>
        <v>1</v>
      </c>
      <c r="BK24" s="20">
        <f t="shared" si="11"/>
        <v>4</v>
      </c>
      <c r="BL24" s="20">
        <f t="shared" ca="1" si="12"/>
        <v>30</v>
      </c>
      <c r="BM24" s="29">
        <v>26</v>
      </c>
      <c r="BN24" s="29">
        <v>5</v>
      </c>
      <c r="BO24" s="29">
        <v>21</v>
      </c>
      <c r="BP24" s="29">
        <v>3</v>
      </c>
      <c r="BQ24">
        <f t="shared" si="14"/>
        <v>0</v>
      </c>
    </row>
    <row r="25" spans="1:69" ht="15.75" x14ac:dyDescent="0.25">
      <c r="A25" s="20">
        <v>25</v>
      </c>
      <c r="B25" s="60" t="s">
        <v>1614</v>
      </c>
      <c r="C25" s="60" t="s">
        <v>1615</v>
      </c>
      <c r="D25" s="60" t="s">
        <v>1615</v>
      </c>
      <c r="E25" s="60" t="s">
        <v>1616</v>
      </c>
      <c r="F25" s="61" t="s">
        <v>1425</v>
      </c>
      <c r="G25" s="20" t="s">
        <v>1564</v>
      </c>
      <c r="H25" s="49">
        <v>46064</v>
      </c>
      <c r="I25" s="20"/>
      <c r="J25" s="20" t="s">
        <v>1608</v>
      </c>
      <c r="K25" s="37" t="s">
        <v>1580</v>
      </c>
      <c r="L25" s="37" t="s">
        <v>1513</v>
      </c>
      <c r="M25" s="20" t="s">
        <v>1487</v>
      </c>
      <c r="N25" s="20" t="s">
        <v>1532</v>
      </c>
      <c r="O25" s="20" t="s">
        <v>1532</v>
      </c>
      <c r="P25" s="20"/>
      <c r="Q25" s="20"/>
      <c r="R25" s="20"/>
      <c r="S25" s="37" t="s">
        <v>1617</v>
      </c>
      <c r="T25" s="20"/>
      <c r="U25" s="24" t="s">
        <v>1492</v>
      </c>
      <c r="V25" s="24" t="s">
        <v>1492</v>
      </c>
      <c r="W25" s="24" t="s">
        <v>1492</v>
      </c>
      <c r="X25" s="24" t="s">
        <v>1492</v>
      </c>
      <c r="Y25" s="26" t="s">
        <v>1493</v>
      </c>
      <c r="Z25" s="24" t="s">
        <v>1492</v>
      </c>
      <c r="AA25" s="24" t="s">
        <v>1492</v>
      </c>
      <c r="AB25" s="24" t="s">
        <v>1492</v>
      </c>
      <c r="AC25" s="24" t="s">
        <v>1492</v>
      </c>
      <c r="AD25" s="24" t="s">
        <v>1492</v>
      </c>
      <c r="AE25" s="24" t="s">
        <v>1492</v>
      </c>
      <c r="AF25" s="26" t="s">
        <v>1493</v>
      </c>
      <c r="AG25" s="24" t="s">
        <v>1492</v>
      </c>
      <c r="AH25" s="24" t="s">
        <v>1492</v>
      </c>
      <c r="AI25" s="24" t="s">
        <v>1492</v>
      </c>
      <c r="AJ25" s="24" t="s">
        <v>1492</v>
      </c>
      <c r="AK25" s="24" t="s">
        <v>1492</v>
      </c>
      <c r="AL25" s="24" t="s">
        <v>1492</v>
      </c>
      <c r="AM25" s="26" t="s">
        <v>1493</v>
      </c>
      <c r="AN25" s="24" t="s">
        <v>1492</v>
      </c>
      <c r="AO25" s="24" t="s">
        <v>1492</v>
      </c>
      <c r="AP25" s="24" t="s">
        <v>1492</v>
      </c>
      <c r="AQ25" s="24" t="s">
        <v>1492</v>
      </c>
      <c r="AR25" s="24" t="s">
        <v>1492</v>
      </c>
      <c r="AS25" s="24" t="s">
        <v>1492</v>
      </c>
      <c r="AT25" s="26" t="s">
        <v>1493</v>
      </c>
      <c r="AU25" s="24" t="s">
        <v>1492</v>
      </c>
      <c r="AV25" s="24" t="s">
        <v>1492</v>
      </c>
      <c r="AW25" s="24" t="s">
        <v>1492</v>
      </c>
      <c r="AX25" s="24" t="s">
        <v>1492</v>
      </c>
      <c r="AY25" s="24" t="s">
        <v>1492</v>
      </c>
      <c r="AZ25" s="20">
        <f t="shared" si="0"/>
        <v>31</v>
      </c>
      <c r="BA25" s="20">
        <f t="shared" si="1"/>
        <v>27</v>
      </c>
      <c r="BB25" s="20">
        <f t="shared" si="2"/>
        <v>0</v>
      </c>
      <c r="BC25" s="20">
        <f t="shared" si="3"/>
        <v>0</v>
      </c>
      <c r="BD25" s="20">
        <f t="shared" si="4"/>
        <v>0</v>
      </c>
      <c r="BE25" s="20">
        <f t="shared" si="5"/>
        <v>0</v>
      </c>
      <c r="BF25" s="20">
        <f t="shared" ca="1" si="6"/>
        <v>0</v>
      </c>
      <c r="BG25" s="20">
        <f t="shared" si="7"/>
        <v>0</v>
      </c>
      <c r="BH25" s="20">
        <f t="shared" si="8"/>
        <v>0</v>
      </c>
      <c r="BI25" s="20">
        <f t="shared" si="9"/>
        <v>0</v>
      </c>
      <c r="BJ25" s="20">
        <f t="shared" si="10"/>
        <v>0</v>
      </c>
      <c r="BK25" s="20">
        <f t="shared" si="11"/>
        <v>4</v>
      </c>
      <c r="BL25" s="20">
        <f t="shared" ca="1" si="12"/>
        <v>31</v>
      </c>
      <c r="BM25" s="29">
        <v>26</v>
      </c>
      <c r="BN25" s="29">
        <v>5</v>
      </c>
      <c r="BO25" s="29">
        <v>21</v>
      </c>
      <c r="BP25" s="29">
        <v>3</v>
      </c>
      <c r="BQ25">
        <f t="shared" si="14"/>
        <v>0</v>
      </c>
    </row>
    <row r="26" spans="1:69" ht="15.75" x14ac:dyDescent="0.25">
      <c r="A26" s="20">
        <v>26</v>
      </c>
      <c r="B26" s="20" t="s">
        <v>1618</v>
      </c>
      <c r="C26" s="62" t="s">
        <v>1619</v>
      </c>
      <c r="D26" s="62" t="s">
        <v>1619</v>
      </c>
      <c r="E26" s="20" t="s">
        <v>1620</v>
      </c>
      <c r="F26" s="63" t="s">
        <v>1394</v>
      </c>
      <c r="G26" s="20" t="s">
        <v>1483</v>
      </c>
      <c r="H26" s="49">
        <v>46064</v>
      </c>
      <c r="I26" s="20"/>
      <c r="J26" s="20" t="s">
        <v>1608</v>
      </c>
      <c r="K26" s="37" t="s">
        <v>1580</v>
      </c>
      <c r="L26" s="37" t="s">
        <v>1513</v>
      </c>
      <c r="M26" s="20" t="s">
        <v>1487</v>
      </c>
      <c r="N26" s="20" t="s">
        <v>1532</v>
      </c>
      <c r="O26" s="20" t="s">
        <v>1532</v>
      </c>
      <c r="P26" s="20"/>
      <c r="Q26" s="20"/>
      <c r="R26" s="20"/>
      <c r="S26" s="20" t="s">
        <v>1498</v>
      </c>
      <c r="T26" s="20"/>
      <c r="U26" s="24" t="s">
        <v>1492</v>
      </c>
      <c r="V26" s="24" t="s">
        <v>1492</v>
      </c>
      <c r="W26" s="24" t="s">
        <v>1492</v>
      </c>
      <c r="X26" s="24" t="s">
        <v>1492</v>
      </c>
      <c r="Y26" s="24" t="s">
        <v>1492</v>
      </c>
      <c r="Z26" s="24" t="s">
        <v>1492</v>
      </c>
      <c r="AA26" s="24" t="s">
        <v>1492</v>
      </c>
      <c r="AB26" s="55" t="s">
        <v>1594</v>
      </c>
      <c r="AC26" s="24" t="s">
        <v>1492</v>
      </c>
      <c r="AD26" s="24" t="s">
        <v>1492</v>
      </c>
      <c r="AE26" s="24" t="s">
        <v>1492</v>
      </c>
      <c r="AF26" s="26" t="s">
        <v>1493</v>
      </c>
      <c r="AG26" s="24" t="s">
        <v>1492</v>
      </c>
      <c r="AH26" s="24" t="s">
        <v>1492</v>
      </c>
      <c r="AI26" s="24" t="s">
        <v>1492</v>
      </c>
      <c r="AJ26" s="24" t="s">
        <v>1492</v>
      </c>
      <c r="AK26" s="24" t="s">
        <v>1492</v>
      </c>
      <c r="AL26" s="24" t="s">
        <v>1492</v>
      </c>
      <c r="AM26" s="26" t="s">
        <v>1493</v>
      </c>
      <c r="AN26" s="24" t="s">
        <v>1492</v>
      </c>
      <c r="AO26" s="24" t="s">
        <v>1492</v>
      </c>
      <c r="AP26" s="24" t="s">
        <v>1492</v>
      </c>
      <c r="AQ26" s="24" t="s">
        <v>1492</v>
      </c>
      <c r="AR26" s="24" t="s">
        <v>1492</v>
      </c>
      <c r="AS26" s="24" t="s">
        <v>1492</v>
      </c>
      <c r="AT26" s="26" t="s">
        <v>1493</v>
      </c>
      <c r="AU26" s="24" t="s">
        <v>1492</v>
      </c>
      <c r="AV26" s="24" t="s">
        <v>1492</v>
      </c>
      <c r="AW26" s="24" t="s">
        <v>1492</v>
      </c>
      <c r="AX26" s="24" t="s">
        <v>1492</v>
      </c>
      <c r="AY26" s="24" t="s">
        <v>1492</v>
      </c>
      <c r="AZ26" s="20">
        <f t="shared" si="0"/>
        <v>31</v>
      </c>
      <c r="BA26" s="20">
        <f t="shared" si="1"/>
        <v>27</v>
      </c>
      <c r="BB26" s="20">
        <f t="shared" si="2"/>
        <v>0</v>
      </c>
      <c r="BC26" s="20">
        <f t="shared" si="3"/>
        <v>0</v>
      </c>
      <c r="BD26" s="20">
        <f t="shared" si="4"/>
        <v>0</v>
      </c>
      <c r="BE26" s="20">
        <f t="shared" si="5"/>
        <v>0</v>
      </c>
      <c r="BF26" s="20">
        <f t="shared" ca="1" si="6"/>
        <v>0</v>
      </c>
      <c r="BG26" s="20">
        <f t="shared" si="7"/>
        <v>0</v>
      </c>
      <c r="BH26" s="20">
        <f t="shared" si="8"/>
        <v>0</v>
      </c>
      <c r="BI26" s="20">
        <f t="shared" si="9"/>
        <v>0</v>
      </c>
      <c r="BJ26" s="20">
        <f t="shared" si="10"/>
        <v>1</v>
      </c>
      <c r="BK26" s="20">
        <f t="shared" si="11"/>
        <v>3</v>
      </c>
      <c r="BL26" s="20">
        <f t="shared" ca="1" si="12"/>
        <v>29</v>
      </c>
      <c r="BM26" s="29">
        <v>26</v>
      </c>
      <c r="BN26" s="29">
        <v>5</v>
      </c>
      <c r="BO26" s="29">
        <v>21</v>
      </c>
      <c r="BP26" s="29">
        <v>3</v>
      </c>
      <c r="BQ26">
        <f t="shared" si="14"/>
        <v>0</v>
      </c>
    </row>
    <row r="27" spans="1:69" ht="15.75" x14ac:dyDescent="0.25">
      <c r="A27" s="20">
        <v>27</v>
      </c>
      <c r="B27" s="60" t="s">
        <v>1621</v>
      </c>
      <c r="C27" s="60" t="s">
        <v>1622</v>
      </c>
      <c r="D27" s="60" t="s">
        <v>1622</v>
      </c>
      <c r="E27" s="60" t="s">
        <v>1623</v>
      </c>
      <c r="F27" s="61" t="s">
        <v>1395</v>
      </c>
      <c r="G27" s="20" t="s">
        <v>1483</v>
      </c>
      <c r="H27" s="49">
        <v>46064</v>
      </c>
      <c r="I27" s="20"/>
      <c r="J27" s="20" t="s">
        <v>1608</v>
      </c>
      <c r="K27" s="37" t="s">
        <v>1580</v>
      </c>
      <c r="L27" s="37" t="s">
        <v>1513</v>
      </c>
      <c r="M27" s="20" t="s">
        <v>1487</v>
      </c>
      <c r="N27" s="20" t="s">
        <v>1532</v>
      </c>
      <c r="O27" s="20" t="s">
        <v>1532</v>
      </c>
      <c r="P27" s="20"/>
      <c r="Q27" s="20"/>
      <c r="R27" s="20"/>
      <c r="S27" s="37" t="s">
        <v>1498</v>
      </c>
      <c r="T27" s="20"/>
      <c r="U27" s="24" t="s">
        <v>1492</v>
      </c>
      <c r="V27" s="24" t="s">
        <v>1492</v>
      </c>
      <c r="W27" s="24" t="s">
        <v>1492</v>
      </c>
      <c r="X27" s="26" t="s">
        <v>1493</v>
      </c>
      <c r="Y27" s="24" t="s">
        <v>1492</v>
      </c>
      <c r="Z27" s="24" t="s">
        <v>1492</v>
      </c>
      <c r="AA27" s="24" t="s">
        <v>1492</v>
      </c>
      <c r="AB27" s="24" t="s">
        <v>1492</v>
      </c>
      <c r="AC27" s="24" t="s">
        <v>1492</v>
      </c>
      <c r="AD27" s="24" t="s">
        <v>1492</v>
      </c>
      <c r="AE27" s="26" t="s">
        <v>1493</v>
      </c>
      <c r="AF27" s="24" t="s">
        <v>1492</v>
      </c>
      <c r="AG27" s="24" t="s">
        <v>1492</v>
      </c>
      <c r="AH27" s="24" t="s">
        <v>1492</v>
      </c>
      <c r="AI27" s="24" t="s">
        <v>1492</v>
      </c>
      <c r="AJ27" s="24" t="s">
        <v>1492</v>
      </c>
      <c r="AK27" s="24" t="s">
        <v>1492</v>
      </c>
      <c r="AL27" s="26" t="s">
        <v>1493</v>
      </c>
      <c r="AM27" s="24" t="s">
        <v>1492</v>
      </c>
      <c r="AN27" s="45" t="s">
        <v>1582</v>
      </c>
      <c r="AO27" s="45" t="s">
        <v>1582</v>
      </c>
      <c r="AP27" s="24" t="s">
        <v>1492</v>
      </c>
      <c r="AQ27" s="24" t="s">
        <v>1492</v>
      </c>
      <c r="AR27" s="24" t="s">
        <v>1492</v>
      </c>
      <c r="AS27" s="26" t="s">
        <v>1493</v>
      </c>
      <c r="AT27" s="24" t="s">
        <v>1492</v>
      </c>
      <c r="AU27" s="24" t="s">
        <v>1492</v>
      </c>
      <c r="AV27" s="24" t="s">
        <v>1492</v>
      </c>
      <c r="AW27" s="24" t="s">
        <v>1492</v>
      </c>
      <c r="AX27" s="24" t="s">
        <v>1492</v>
      </c>
      <c r="AY27" s="24" t="s">
        <v>1492</v>
      </c>
      <c r="AZ27" s="20">
        <f t="shared" si="0"/>
        <v>31</v>
      </c>
      <c r="BA27" s="20">
        <f t="shared" si="1"/>
        <v>25</v>
      </c>
      <c r="BB27" s="20">
        <f t="shared" si="2"/>
        <v>0</v>
      </c>
      <c r="BC27" s="20">
        <f t="shared" si="3"/>
        <v>0</v>
      </c>
      <c r="BD27" s="20">
        <f t="shared" si="4"/>
        <v>0</v>
      </c>
      <c r="BE27" s="20">
        <f t="shared" si="5"/>
        <v>0</v>
      </c>
      <c r="BF27" s="20">
        <f t="shared" ca="1" si="6"/>
        <v>0</v>
      </c>
      <c r="BG27" s="20">
        <f t="shared" si="7"/>
        <v>0</v>
      </c>
      <c r="BH27" s="20">
        <f t="shared" si="8"/>
        <v>0</v>
      </c>
      <c r="BI27" s="20">
        <f t="shared" si="9"/>
        <v>0</v>
      </c>
      <c r="BJ27" s="20">
        <f t="shared" si="10"/>
        <v>0</v>
      </c>
      <c r="BK27" s="20">
        <f t="shared" si="11"/>
        <v>4</v>
      </c>
      <c r="BL27" s="20">
        <f t="shared" ca="1" si="12"/>
        <v>29</v>
      </c>
      <c r="BM27" s="29">
        <v>26</v>
      </c>
      <c r="BN27" s="29">
        <v>5</v>
      </c>
      <c r="BO27" s="29">
        <v>21</v>
      </c>
      <c r="BP27" s="29">
        <v>3</v>
      </c>
      <c r="BQ27">
        <f t="shared" si="14"/>
        <v>0</v>
      </c>
    </row>
    <row r="28" spans="1:69" ht="15.75" x14ac:dyDescent="0.25">
      <c r="A28" s="20">
        <v>28</v>
      </c>
      <c r="B28" s="46" t="s">
        <v>1624</v>
      </c>
      <c r="C28" s="39" t="s">
        <v>1625</v>
      </c>
      <c r="D28" s="39" t="s">
        <v>1625</v>
      </c>
      <c r="E28" s="60" t="s">
        <v>1626</v>
      </c>
      <c r="F28" s="48" t="s">
        <v>1426</v>
      </c>
      <c r="G28" s="20" t="s">
        <v>1483</v>
      </c>
      <c r="H28" s="49">
        <v>46104</v>
      </c>
      <c r="I28" s="20"/>
      <c r="J28" s="20" t="s">
        <v>1627</v>
      </c>
      <c r="K28" s="37" t="s">
        <v>1580</v>
      </c>
      <c r="L28" s="37" t="s">
        <v>1513</v>
      </c>
      <c r="M28" s="20" t="s">
        <v>1487</v>
      </c>
      <c r="N28" s="20" t="s">
        <v>1532</v>
      </c>
      <c r="O28" s="20" t="s">
        <v>1532</v>
      </c>
      <c r="P28" s="20"/>
      <c r="Q28" s="20"/>
      <c r="R28" s="20"/>
      <c r="S28" s="37" t="s">
        <v>1628</v>
      </c>
      <c r="T28" s="20"/>
      <c r="U28" s="24" t="s">
        <v>1492</v>
      </c>
      <c r="V28" s="24" t="s">
        <v>1492</v>
      </c>
      <c r="W28" s="24" t="s">
        <v>1492</v>
      </c>
      <c r="X28" s="24" t="s">
        <v>1492</v>
      </c>
      <c r="Y28" s="26" t="s">
        <v>1493</v>
      </c>
      <c r="Z28" s="24" t="s">
        <v>1492</v>
      </c>
      <c r="AA28" s="24" t="s">
        <v>1492</v>
      </c>
      <c r="AB28" s="24" t="s">
        <v>1492</v>
      </c>
      <c r="AC28" s="24" t="s">
        <v>1492</v>
      </c>
      <c r="AD28" s="24" t="s">
        <v>1492</v>
      </c>
      <c r="AE28" s="26" t="s">
        <v>1493</v>
      </c>
      <c r="AF28" s="24" t="s">
        <v>1492</v>
      </c>
      <c r="AG28" s="24" t="s">
        <v>1492</v>
      </c>
      <c r="AH28" s="24" t="s">
        <v>1492</v>
      </c>
      <c r="AI28" s="24" t="s">
        <v>1492</v>
      </c>
      <c r="AJ28" s="45" t="s">
        <v>1582</v>
      </c>
      <c r="AK28" s="24" t="s">
        <v>1492</v>
      </c>
      <c r="AL28" s="24" t="s">
        <v>1492</v>
      </c>
      <c r="AM28" s="26" t="s">
        <v>1493</v>
      </c>
      <c r="AN28" s="24" t="s">
        <v>1492</v>
      </c>
      <c r="AO28" s="24" t="s">
        <v>1492</v>
      </c>
      <c r="AP28" s="24" t="s">
        <v>1492</v>
      </c>
      <c r="AQ28" s="24" t="s">
        <v>1492</v>
      </c>
      <c r="AR28" s="24" t="s">
        <v>1492</v>
      </c>
      <c r="AS28" s="24" t="s">
        <v>1492</v>
      </c>
      <c r="AT28" s="26" t="s">
        <v>1493</v>
      </c>
      <c r="AU28" s="53" t="s">
        <v>1582</v>
      </c>
      <c r="AV28" s="53" t="s">
        <v>1582</v>
      </c>
      <c r="AW28" s="53" t="s">
        <v>1582</v>
      </c>
      <c r="AX28" s="53" t="s">
        <v>1582</v>
      </c>
      <c r="AY28" s="53" t="s">
        <v>1582</v>
      </c>
      <c r="AZ28" s="20">
        <f t="shared" si="0"/>
        <v>31</v>
      </c>
      <c r="BA28" s="20">
        <f t="shared" si="1"/>
        <v>21</v>
      </c>
      <c r="BB28" s="20">
        <f t="shared" si="2"/>
        <v>0</v>
      </c>
      <c r="BC28" s="20">
        <f t="shared" si="3"/>
        <v>0</v>
      </c>
      <c r="BD28" s="20">
        <f t="shared" si="4"/>
        <v>0</v>
      </c>
      <c r="BE28" s="20">
        <f t="shared" si="5"/>
        <v>0</v>
      </c>
      <c r="BF28" s="20">
        <f t="shared" ca="1" si="6"/>
        <v>0</v>
      </c>
      <c r="BG28" s="20">
        <f t="shared" si="7"/>
        <v>0</v>
      </c>
      <c r="BH28" s="20">
        <f t="shared" si="8"/>
        <v>0</v>
      </c>
      <c r="BI28" s="20">
        <f t="shared" si="9"/>
        <v>0</v>
      </c>
      <c r="BJ28" s="20">
        <f t="shared" si="10"/>
        <v>0</v>
      </c>
      <c r="BK28" s="20">
        <f t="shared" si="11"/>
        <v>4</v>
      </c>
      <c r="BL28" s="20">
        <f t="shared" ca="1" si="12"/>
        <v>25</v>
      </c>
      <c r="BM28" s="29">
        <v>26</v>
      </c>
      <c r="BN28" s="29">
        <v>5</v>
      </c>
      <c r="BO28" s="29">
        <v>21</v>
      </c>
      <c r="BP28" s="29">
        <v>3</v>
      </c>
      <c r="BQ28">
        <f t="shared" si="14"/>
        <v>0</v>
      </c>
    </row>
    <row r="29" spans="1:69" ht="15.75" x14ac:dyDescent="0.25">
      <c r="A29" s="20">
        <v>29</v>
      </c>
      <c r="B29" s="46" t="s">
        <v>1629</v>
      </c>
      <c r="C29" s="39" t="s">
        <v>1630</v>
      </c>
      <c r="D29" s="39" t="s">
        <v>1630</v>
      </c>
      <c r="E29" s="60" t="s">
        <v>1631</v>
      </c>
      <c r="F29" s="48" t="s">
        <v>1434</v>
      </c>
      <c r="G29" s="20" t="s">
        <v>1483</v>
      </c>
      <c r="H29" s="49">
        <v>46104</v>
      </c>
      <c r="I29" s="20"/>
      <c r="J29" s="20" t="s">
        <v>1627</v>
      </c>
      <c r="K29" s="37" t="s">
        <v>1580</v>
      </c>
      <c r="L29" s="37" t="s">
        <v>1513</v>
      </c>
      <c r="M29" s="20" t="s">
        <v>1487</v>
      </c>
      <c r="N29" s="20" t="s">
        <v>1532</v>
      </c>
      <c r="O29" s="20" t="s">
        <v>1532</v>
      </c>
      <c r="P29" s="20"/>
      <c r="Q29" s="20"/>
      <c r="R29" s="20"/>
      <c r="S29" s="37" t="s">
        <v>1498</v>
      </c>
      <c r="T29" s="20"/>
      <c r="U29" s="5" t="s">
        <v>1464</v>
      </c>
      <c r="V29" s="24" t="s">
        <v>1492</v>
      </c>
      <c r="W29" s="24" t="s">
        <v>1492</v>
      </c>
      <c r="X29" s="24" t="s">
        <v>1492</v>
      </c>
      <c r="Y29" s="26" t="s">
        <v>1493</v>
      </c>
      <c r="Z29" s="24" t="s">
        <v>1492</v>
      </c>
      <c r="AA29" s="24" t="s">
        <v>1492</v>
      </c>
      <c r="AB29" s="24" t="s">
        <v>1492</v>
      </c>
      <c r="AC29" s="24" t="s">
        <v>1492</v>
      </c>
      <c r="AD29" s="24" t="s">
        <v>1492</v>
      </c>
      <c r="AE29" s="24" t="s">
        <v>1492</v>
      </c>
      <c r="AF29" s="26" t="s">
        <v>1493</v>
      </c>
      <c r="AG29" s="24" t="s">
        <v>1492</v>
      </c>
      <c r="AH29" s="24" t="s">
        <v>1492</v>
      </c>
      <c r="AI29" s="24" t="s">
        <v>1492</v>
      </c>
      <c r="AJ29" s="24" t="s">
        <v>1492</v>
      </c>
      <c r="AK29" s="24" t="s">
        <v>1492</v>
      </c>
      <c r="AL29" s="26" t="s">
        <v>1493</v>
      </c>
      <c r="AM29" s="24" t="s">
        <v>1492</v>
      </c>
      <c r="AN29" s="64" t="s">
        <v>1582</v>
      </c>
      <c r="AO29" s="24" t="s">
        <v>1492</v>
      </c>
      <c r="AP29" s="24" t="s">
        <v>1492</v>
      </c>
      <c r="AQ29" s="24" t="s">
        <v>1492</v>
      </c>
      <c r="AR29" s="24" t="s">
        <v>1492</v>
      </c>
      <c r="AS29" s="28" t="s">
        <v>1492</v>
      </c>
      <c r="AT29" s="26" t="s">
        <v>1493</v>
      </c>
      <c r="AU29" s="24" t="s">
        <v>1492</v>
      </c>
      <c r="AV29" s="24" t="s">
        <v>1492</v>
      </c>
      <c r="AW29" s="24" t="s">
        <v>1492</v>
      </c>
      <c r="AX29" s="24" t="s">
        <v>1492</v>
      </c>
      <c r="AY29" s="24" t="s">
        <v>1492</v>
      </c>
      <c r="AZ29" s="20">
        <f t="shared" si="0"/>
        <v>31</v>
      </c>
      <c r="BA29" s="20">
        <f t="shared" si="1"/>
        <v>25</v>
      </c>
      <c r="BB29" s="20">
        <f t="shared" si="2"/>
        <v>1</v>
      </c>
      <c r="BC29" s="20">
        <f t="shared" si="3"/>
        <v>0</v>
      </c>
      <c r="BD29" s="20">
        <f t="shared" si="4"/>
        <v>0</v>
      </c>
      <c r="BE29" s="20">
        <f t="shared" si="5"/>
        <v>0</v>
      </c>
      <c r="BF29" s="20">
        <f t="shared" ca="1" si="6"/>
        <v>0</v>
      </c>
      <c r="BG29" s="20">
        <f t="shared" si="7"/>
        <v>0</v>
      </c>
      <c r="BH29" s="20">
        <f t="shared" si="8"/>
        <v>0</v>
      </c>
      <c r="BI29" s="20">
        <f t="shared" si="9"/>
        <v>0</v>
      </c>
      <c r="BJ29" s="20">
        <f t="shared" si="10"/>
        <v>0</v>
      </c>
      <c r="BK29" s="20">
        <f t="shared" si="11"/>
        <v>4</v>
      </c>
      <c r="BL29" s="20">
        <f t="shared" ca="1" si="12"/>
        <v>29.5</v>
      </c>
      <c r="BM29" s="29">
        <v>26</v>
      </c>
      <c r="BN29" s="29">
        <v>5</v>
      </c>
      <c r="BO29" s="29">
        <v>21</v>
      </c>
      <c r="BP29" s="29">
        <v>3</v>
      </c>
      <c r="BQ29">
        <f t="shared" si="14"/>
        <v>0.5</v>
      </c>
    </row>
    <row r="30" spans="1:69" ht="15.75" x14ac:dyDescent="0.25">
      <c r="A30" s="20">
        <v>30</v>
      </c>
      <c r="B30" s="46" t="s">
        <v>1632</v>
      </c>
      <c r="C30" s="39" t="s">
        <v>1633</v>
      </c>
      <c r="D30" s="39" t="s">
        <v>1633</v>
      </c>
      <c r="E30" s="60" t="s">
        <v>1634</v>
      </c>
      <c r="F30" s="48" t="s">
        <v>1401</v>
      </c>
      <c r="G30" s="20" t="s">
        <v>1564</v>
      </c>
      <c r="H30" s="49">
        <v>46104</v>
      </c>
      <c r="I30" s="20"/>
      <c r="J30" s="20" t="s">
        <v>1627</v>
      </c>
      <c r="K30" s="37" t="s">
        <v>1580</v>
      </c>
      <c r="L30" s="37" t="s">
        <v>1513</v>
      </c>
      <c r="M30" s="20" t="s">
        <v>1487</v>
      </c>
      <c r="N30" s="20" t="s">
        <v>1532</v>
      </c>
      <c r="O30" s="20" t="s">
        <v>1532</v>
      </c>
      <c r="P30" s="20"/>
      <c r="Q30" s="20"/>
      <c r="R30" s="20"/>
      <c r="S30" s="37" t="s">
        <v>1635</v>
      </c>
      <c r="T30" s="20"/>
      <c r="U30" s="24" t="s">
        <v>1492</v>
      </c>
      <c r="V30" s="24" t="s">
        <v>1492</v>
      </c>
      <c r="W30" s="24" t="s">
        <v>1492</v>
      </c>
      <c r="X30" s="26" t="s">
        <v>1493</v>
      </c>
      <c r="Y30" s="24" t="s">
        <v>1492</v>
      </c>
      <c r="Z30" s="24" t="s">
        <v>1492</v>
      </c>
      <c r="AA30" s="24" t="s">
        <v>1492</v>
      </c>
      <c r="AB30" s="24" t="s">
        <v>1492</v>
      </c>
      <c r="AC30" s="55" t="s">
        <v>1594</v>
      </c>
      <c r="AD30" s="24" t="s">
        <v>1492</v>
      </c>
      <c r="AE30" s="24" t="s">
        <v>1492</v>
      </c>
      <c r="AF30" s="26" t="s">
        <v>1493</v>
      </c>
      <c r="AG30" s="24" t="s">
        <v>1492</v>
      </c>
      <c r="AH30" s="24" t="s">
        <v>1492</v>
      </c>
      <c r="AI30" s="24" t="s">
        <v>1492</v>
      </c>
      <c r="AJ30" s="24" t="s">
        <v>1492</v>
      </c>
      <c r="AK30" s="24" t="s">
        <v>1492</v>
      </c>
      <c r="AL30" s="24" t="s">
        <v>1492</v>
      </c>
      <c r="AM30" s="26" t="s">
        <v>1493</v>
      </c>
      <c r="AN30" s="24" t="s">
        <v>1492</v>
      </c>
      <c r="AO30" s="24" t="s">
        <v>1492</v>
      </c>
      <c r="AP30" s="24" t="s">
        <v>1492</v>
      </c>
      <c r="AQ30" s="24" t="s">
        <v>1492</v>
      </c>
      <c r="AR30" s="24" t="s">
        <v>1492</v>
      </c>
      <c r="AS30" s="26" t="s">
        <v>1493</v>
      </c>
      <c r="AT30" s="28" t="s">
        <v>1492</v>
      </c>
      <c r="AU30" s="24" t="s">
        <v>1492</v>
      </c>
      <c r="AV30" s="24" t="s">
        <v>1492</v>
      </c>
      <c r="AW30" s="24" t="s">
        <v>1492</v>
      </c>
      <c r="AX30" s="24" t="s">
        <v>1492</v>
      </c>
      <c r="AY30" s="24" t="s">
        <v>1492</v>
      </c>
      <c r="AZ30" s="20">
        <f t="shared" si="0"/>
        <v>31</v>
      </c>
      <c r="BA30" s="20">
        <f t="shared" si="1"/>
        <v>26</v>
      </c>
      <c r="BB30" s="20">
        <f t="shared" si="2"/>
        <v>0</v>
      </c>
      <c r="BC30" s="20">
        <f t="shared" si="3"/>
        <v>0</v>
      </c>
      <c r="BD30" s="20">
        <f t="shared" si="4"/>
        <v>0</v>
      </c>
      <c r="BE30" s="20">
        <f t="shared" si="5"/>
        <v>0</v>
      </c>
      <c r="BF30" s="20">
        <f t="shared" ca="1" si="6"/>
        <v>0</v>
      </c>
      <c r="BG30" s="20">
        <f t="shared" si="7"/>
        <v>0</v>
      </c>
      <c r="BH30" s="20">
        <f t="shared" si="8"/>
        <v>0</v>
      </c>
      <c r="BI30" s="20">
        <f t="shared" si="9"/>
        <v>0</v>
      </c>
      <c r="BJ30" s="20">
        <f t="shared" si="10"/>
        <v>1</v>
      </c>
      <c r="BK30" s="20">
        <f t="shared" si="11"/>
        <v>4</v>
      </c>
      <c r="BL30" s="20">
        <f t="shared" ca="1" si="12"/>
        <v>30</v>
      </c>
      <c r="BM30" s="29">
        <v>26</v>
      </c>
      <c r="BN30" s="29">
        <v>5</v>
      </c>
      <c r="BO30" s="29">
        <v>21</v>
      </c>
      <c r="BP30" s="29">
        <v>3</v>
      </c>
      <c r="BQ30">
        <f t="shared" si="14"/>
        <v>0</v>
      </c>
    </row>
    <row r="31" spans="1:69" ht="15.75" x14ac:dyDescent="0.25">
      <c r="A31" s="20">
        <v>30</v>
      </c>
      <c r="B31" s="65" t="s">
        <v>1636</v>
      </c>
      <c r="C31" s="65" t="s">
        <v>1637</v>
      </c>
      <c r="D31" s="65" t="s">
        <v>1637</v>
      </c>
      <c r="E31" s="60" t="s">
        <v>1638</v>
      </c>
      <c r="F31" s="66" t="s">
        <v>1437</v>
      </c>
      <c r="G31" s="20" t="s">
        <v>1483</v>
      </c>
      <c r="H31" s="67">
        <v>46203</v>
      </c>
      <c r="I31" s="20"/>
      <c r="J31" s="20" t="s">
        <v>1639</v>
      </c>
      <c r="K31" s="37" t="s">
        <v>1580</v>
      </c>
      <c r="L31" s="37" t="s">
        <v>1513</v>
      </c>
      <c r="M31" s="20" t="s">
        <v>1487</v>
      </c>
      <c r="N31" s="20" t="s">
        <v>1532</v>
      </c>
      <c r="O31" s="20" t="s">
        <v>1506</v>
      </c>
      <c r="P31" s="20"/>
      <c r="Q31" s="20"/>
      <c r="R31" s="20"/>
      <c r="S31" s="37" t="s">
        <v>1587</v>
      </c>
      <c r="T31" s="20" t="s">
        <v>1640</v>
      </c>
      <c r="U31" s="24" t="s">
        <v>1492</v>
      </c>
      <c r="V31" s="24" t="s">
        <v>1492</v>
      </c>
      <c r="W31" s="24" t="s">
        <v>1492</v>
      </c>
      <c r="X31" s="24" t="s">
        <v>1492</v>
      </c>
      <c r="Y31" s="26" t="s">
        <v>1493</v>
      </c>
      <c r="Z31" s="24" t="s">
        <v>1492</v>
      </c>
      <c r="AA31" s="24" t="s">
        <v>1492</v>
      </c>
      <c r="AB31" s="24" t="s">
        <v>1492</v>
      </c>
      <c r="AC31" s="24" t="s">
        <v>1492</v>
      </c>
      <c r="AD31" s="24" t="s">
        <v>1492</v>
      </c>
      <c r="AE31" s="24" t="s">
        <v>1492</v>
      </c>
      <c r="AF31" s="26" t="s">
        <v>1493</v>
      </c>
      <c r="AG31" s="24" t="s">
        <v>1492</v>
      </c>
      <c r="AH31" s="24" t="s">
        <v>1492</v>
      </c>
      <c r="AI31" s="24" t="s">
        <v>1492</v>
      </c>
      <c r="AJ31" s="24" t="s">
        <v>1492</v>
      </c>
      <c r="AK31" s="24" t="s">
        <v>1492</v>
      </c>
      <c r="AL31" s="45" t="s">
        <v>1582</v>
      </c>
      <c r="AM31" s="26" t="s">
        <v>1493</v>
      </c>
      <c r="AN31" s="45" t="s">
        <v>1582</v>
      </c>
      <c r="AO31" s="24" t="s">
        <v>1492</v>
      </c>
      <c r="AP31" s="24" t="s">
        <v>1492</v>
      </c>
      <c r="AQ31" s="24" t="s">
        <v>1492</v>
      </c>
      <c r="AR31" s="24" t="s">
        <v>1492</v>
      </c>
      <c r="AS31" s="26" t="s">
        <v>1493</v>
      </c>
      <c r="AT31" s="28" t="s">
        <v>1492</v>
      </c>
      <c r="AU31" s="24" t="s">
        <v>1492</v>
      </c>
      <c r="AV31" s="24" t="s">
        <v>1492</v>
      </c>
      <c r="AW31" s="24" t="s">
        <v>1492</v>
      </c>
      <c r="AX31" s="24" t="s">
        <v>1492</v>
      </c>
      <c r="AY31" s="24" t="s">
        <v>1492</v>
      </c>
      <c r="AZ31" s="20">
        <f t="shared" si="0"/>
        <v>31</v>
      </c>
      <c r="BA31" s="20">
        <f t="shared" si="1"/>
        <v>25</v>
      </c>
      <c r="BB31" s="20">
        <f t="shared" si="2"/>
        <v>0</v>
      </c>
      <c r="BC31" s="20">
        <f t="shared" si="3"/>
        <v>0</v>
      </c>
      <c r="BD31" s="20">
        <f t="shared" si="4"/>
        <v>0</v>
      </c>
      <c r="BE31" s="20">
        <f t="shared" si="5"/>
        <v>0</v>
      </c>
      <c r="BF31" s="20">
        <f t="shared" ca="1" si="6"/>
        <v>0</v>
      </c>
      <c r="BG31" s="20">
        <f t="shared" si="7"/>
        <v>0</v>
      </c>
      <c r="BH31" s="20">
        <f t="shared" si="8"/>
        <v>0</v>
      </c>
      <c r="BI31" s="20">
        <f t="shared" si="9"/>
        <v>0</v>
      </c>
      <c r="BJ31" s="20">
        <f t="shared" si="10"/>
        <v>0</v>
      </c>
      <c r="BK31" s="20">
        <f t="shared" si="11"/>
        <v>4</v>
      </c>
      <c r="BL31" s="20">
        <f t="shared" ca="1" si="12"/>
        <v>29</v>
      </c>
      <c r="BM31" s="29">
        <v>26</v>
      </c>
      <c r="BN31" s="29">
        <v>5</v>
      </c>
      <c r="BO31" s="29">
        <v>21</v>
      </c>
      <c r="BP31" s="29">
        <v>3</v>
      </c>
      <c r="BQ31">
        <f t="shared" si="14"/>
        <v>0</v>
      </c>
    </row>
    <row r="32" spans="1:69" ht="15.75" x14ac:dyDescent="0.25">
      <c r="A32" s="20">
        <v>30</v>
      </c>
      <c r="B32" s="65" t="s">
        <v>1641</v>
      </c>
      <c r="C32" s="65" t="s">
        <v>1642</v>
      </c>
      <c r="D32" s="65" t="s">
        <v>1642</v>
      </c>
      <c r="E32" s="60" t="s">
        <v>1643</v>
      </c>
      <c r="F32" s="66" t="s">
        <v>1411</v>
      </c>
      <c r="G32" s="20" t="s">
        <v>1483</v>
      </c>
      <c r="H32" s="67">
        <v>46203</v>
      </c>
      <c r="I32" s="20"/>
      <c r="J32" s="20" t="s">
        <v>1639</v>
      </c>
      <c r="K32" s="37" t="s">
        <v>1580</v>
      </c>
      <c r="L32" s="37" t="s">
        <v>1513</v>
      </c>
      <c r="M32" s="20" t="s">
        <v>1487</v>
      </c>
      <c r="N32" s="20" t="s">
        <v>1532</v>
      </c>
      <c r="O32" s="20" t="s">
        <v>1506</v>
      </c>
      <c r="P32" s="20"/>
      <c r="Q32" s="20"/>
      <c r="R32" s="20"/>
      <c r="S32" s="37" t="s">
        <v>1644</v>
      </c>
      <c r="T32" s="20" t="s">
        <v>1645</v>
      </c>
      <c r="U32" s="24" t="s">
        <v>1492</v>
      </c>
      <c r="V32" s="24" t="s">
        <v>1492</v>
      </c>
      <c r="W32" s="24" t="s">
        <v>1492</v>
      </c>
      <c r="X32" s="5" t="s">
        <v>1464</v>
      </c>
      <c r="Y32" s="26" t="s">
        <v>1493</v>
      </c>
      <c r="Z32" s="16" t="s">
        <v>1594</v>
      </c>
      <c r="AA32" s="16" t="s">
        <v>1594</v>
      </c>
      <c r="AB32" s="24" t="s">
        <v>1492</v>
      </c>
      <c r="AC32" s="24" t="s">
        <v>1492</v>
      </c>
      <c r="AD32" s="24" t="s">
        <v>1492</v>
      </c>
      <c r="AE32" s="24" t="s">
        <v>1492</v>
      </c>
      <c r="AF32" s="26" t="s">
        <v>1493</v>
      </c>
      <c r="AG32" s="24" t="s">
        <v>1492</v>
      </c>
      <c r="AH32" s="24" t="s">
        <v>1492</v>
      </c>
      <c r="AI32" s="24" t="s">
        <v>1492</v>
      </c>
      <c r="AJ32" s="24" t="s">
        <v>1492</v>
      </c>
      <c r="AK32" s="24" t="s">
        <v>1492</v>
      </c>
      <c r="AL32" s="26" t="s">
        <v>1493</v>
      </c>
      <c r="AM32" s="24" t="s">
        <v>1492</v>
      </c>
      <c r="AN32" s="45" t="s">
        <v>1582</v>
      </c>
      <c r="AO32" s="45" t="s">
        <v>1582</v>
      </c>
      <c r="AP32" s="24" t="s">
        <v>1492</v>
      </c>
      <c r="AQ32" s="24" t="s">
        <v>1492</v>
      </c>
      <c r="AR32" s="24" t="s">
        <v>1492</v>
      </c>
      <c r="AS32" s="28" t="s">
        <v>1492</v>
      </c>
      <c r="AT32" s="26" t="s">
        <v>1493</v>
      </c>
      <c r="AU32" s="53" t="s">
        <v>1582</v>
      </c>
      <c r="AV32" s="24" t="s">
        <v>1492</v>
      </c>
      <c r="AW32" s="24" t="s">
        <v>1492</v>
      </c>
      <c r="AX32" s="24" t="s">
        <v>1492</v>
      </c>
      <c r="AY32" s="24" t="s">
        <v>1492</v>
      </c>
      <c r="AZ32" s="20">
        <f t="shared" si="0"/>
        <v>31</v>
      </c>
      <c r="BA32" s="20">
        <f t="shared" si="1"/>
        <v>21</v>
      </c>
      <c r="BB32" s="20">
        <f t="shared" si="2"/>
        <v>1</v>
      </c>
      <c r="BC32" s="20">
        <f t="shared" si="3"/>
        <v>0</v>
      </c>
      <c r="BD32" s="20">
        <f t="shared" si="4"/>
        <v>0</v>
      </c>
      <c r="BE32" s="20">
        <f t="shared" si="5"/>
        <v>0</v>
      </c>
      <c r="BF32" s="20">
        <f t="shared" ca="1" si="6"/>
        <v>0</v>
      </c>
      <c r="BG32" s="20">
        <f t="shared" si="7"/>
        <v>0</v>
      </c>
      <c r="BH32" s="20">
        <f t="shared" si="8"/>
        <v>0</v>
      </c>
      <c r="BI32" s="20">
        <f t="shared" si="9"/>
        <v>0</v>
      </c>
      <c r="BJ32" s="20">
        <f t="shared" si="10"/>
        <v>2</v>
      </c>
      <c r="BK32" s="20">
        <f t="shared" si="11"/>
        <v>4</v>
      </c>
      <c r="BL32" s="20">
        <f t="shared" ca="1" si="12"/>
        <v>25.5</v>
      </c>
      <c r="BM32" s="29">
        <v>26</v>
      </c>
      <c r="BN32" s="29">
        <v>5</v>
      </c>
      <c r="BO32" s="29">
        <v>21</v>
      </c>
      <c r="BP32" s="29">
        <v>3</v>
      </c>
      <c r="BQ32">
        <f t="shared" si="14"/>
        <v>0.5</v>
      </c>
    </row>
    <row r="33" spans="1:69" ht="15.75" x14ac:dyDescent="0.25">
      <c r="A33" s="20">
        <v>30</v>
      </c>
      <c r="B33" s="65" t="s">
        <v>1646</v>
      </c>
      <c r="C33" s="65" t="s">
        <v>1647</v>
      </c>
      <c r="D33" s="39" t="s">
        <v>1647</v>
      </c>
      <c r="E33" s="60" t="s">
        <v>1648</v>
      </c>
      <c r="F33" s="66" t="s">
        <v>1416</v>
      </c>
      <c r="G33" s="20" t="s">
        <v>1483</v>
      </c>
      <c r="H33" s="68">
        <v>46205</v>
      </c>
      <c r="I33" s="20"/>
      <c r="J33" s="20" t="s">
        <v>1639</v>
      </c>
      <c r="K33" s="37" t="s">
        <v>1580</v>
      </c>
      <c r="L33" s="37" t="s">
        <v>1513</v>
      </c>
      <c r="M33" s="20" t="s">
        <v>1487</v>
      </c>
      <c r="N33" s="20" t="s">
        <v>1532</v>
      </c>
      <c r="O33" s="20" t="s">
        <v>1506</v>
      </c>
      <c r="P33" s="20"/>
      <c r="Q33" s="20"/>
      <c r="R33" s="20"/>
      <c r="S33" s="37" t="s">
        <v>1649</v>
      </c>
      <c r="T33" s="33" t="s">
        <v>1650</v>
      </c>
      <c r="U33" s="69" t="s">
        <v>1651</v>
      </c>
      <c r="V33" s="24" t="s">
        <v>1492</v>
      </c>
      <c r="W33" s="24" t="s">
        <v>1492</v>
      </c>
      <c r="X33" s="24" t="s">
        <v>1492</v>
      </c>
      <c r="Y33" s="26" t="s">
        <v>1493</v>
      </c>
      <c r="Z33" s="24" t="s">
        <v>1492</v>
      </c>
      <c r="AA33" s="24" t="s">
        <v>1492</v>
      </c>
      <c r="AB33" s="24" t="s">
        <v>1492</v>
      </c>
      <c r="AC33" s="24" t="s">
        <v>1492</v>
      </c>
      <c r="AD33" s="24" t="s">
        <v>1492</v>
      </c>
      <c r="AE33" s="16" t="s">
        <v>1594</v>
      </c>
      <c r="AF33" s="26" t="s">
        <v>1493</v>
      </c>
      <c r="AG33" s="24" t="s">
        <v>1492</v>
      </c>
      <c r="AH33" s="24" t="s">
        <v>1492</v>
      </c>
      <c r="AI33" s="24" t="s">
        <v>1492</v>
      </c>
      <c r="AJ33" s="24" t="s">
        <v>1492</v>
      </c>
      <c r="AK33" s="24" t="s">
        <v>1492</v>
      </c>
      <c r="AL33" s="24" t="s">
        <v>1492</v>
      </c>
      <c r="AM33" s="26" t="s">
        <v>1493</v>
      </c>
      <c r="AN33" s="24" t="s">
        <v>1492</v>
      </c>
      <c r="AO33" s="24" t="s">
        <v>1492</v>
      </c>
      <c r="AP33" s="24" t="s">
        <v>1492</v>
      </c>
      <c r="AQ33" s="24" t="s">
        <v>1492</v>
      </c>
      <c r="AR33" s="24" t="s">
        <v>1492</v>
      </c>
      <c r="AS33" s="28" t="s">
        <v>1492</v>
      </c>
      <c r="AT33" s="26" t="s">
        <v>1493</v>
      </c>
      <c r="AU33" s="24" t="s">
        <v>1492</v>
      </c>
      <c r="AV33" s="24" t="s">
        <v>1492</v>
      </c>
      <c r="AW33" s="24" t="s">
        <v>1492</v>
      </c>
      <c r="AX33" s="24" t="s">
        <v>1492</v>
      </c>
      <c r="AY33" s="24" t="s">
        <v>1492</v>
      </c>
      <c r="AZ33" s="20">
        <f t="shared" si="0"/>
        <v>31</v>
      </c>
      <c r="BA33" s="20">
        <f t="shared" si="1"/>
        <v>25</v>
      </c>
      <c r="BB33" s="20">
        <f t="shared" si="2"/>
        <v>0</v>
      </c>
      <c r="BC33" s="20">
        <f t="shared" si="3"/>
        <v>0</v>
      </c>
      <c r="BD33" s="20">
        <f t="shared" si="4"/>
        <v>0</v>
      </c>
      <c r="BE33" s="20">
        <f t="shared" si="5"/>
        <v>0</v>
      </c>
      <c r="BF33" s="20">
        <f t="shared" ca="1" si="6"/>
        <v>0</v>
      </c>
      <c r="BG33" s="20">
        <f t="shared" si="7"/>
        <v>0</v>
      </c>
      <c r="BH33" s="20">
        <f t="shared" si="8"/>
        <v>0</v>
      </c>
      <c r="BI33" s="20">
        <f t="shared" si="9"/>
        <v>0</v>
      </c>
      <c r="BJ33" s="20">
        <f t="shared" si="10"/>
        <v>1</v>
      </c>
      <c r="BK33" s="20">
        <f t="shared" si="11"/>
        <v>4</v>
      </c>
      <c r="BL33" s="20">
        <f t="shared" ca="1" si="12"/>
        <v>29</v>
      </c>
      <c r="BM33" s="29">
        <v>26</v>
      </c>
      <c r="BN33" s="29">
        <v>5</v>
      </c>
      <c r="BO33" s="29">
        <v>21</v>
      </c>
      <c r="BP33" s="29">
        <v>3</v>
      </c>
      <c r="BQ33">
        <f t="shared" si="14"/>
        <v>0</v>
      </c>
    </row>
    <row r="34" spans="1:69" ht="15.75" x14ac:dyDescent="0.25">
      <c r="A34" s="20">
        <v>30</v>
      </c>
      <c r="B34" s="20" t="s">
        <v>1652</v>
      </c>
      <c r="C34" s="35" t="s">
        <v>1653</v>
      </c>
      <c r="D34" s="35" t="s">
        <v>1654</v>
      </c>
      <c r="E34" s="60" t="s">
        <v>1654</v>
      </c>
      <c r="F34" s="21" t="s">
        <v>1403</v>
      </c>
      <c r="G34" s="20" t="s">
        <v>1483</v>
      </c>
      <c r="H34" s="22">
        <v>45509</v>
      </c>
      <c r="I34" s="20"/>
      <c r="J34" s="20" t="s">
        <v>1655</v>
      </c>
      <c r="K34" s="37" t="s">
        <v>1656</v>
      </c>
      <c r="L34" s="20" t="s">
        <v>1486</v>
      </c>
      <c r="M34" s="20" t="s">
        <v>1487</v>
      </c>
      <c r="N34" s="20" t="s">
        <v>1526</v>
      </c>
      <c r="O34" s="20" t="s">
        <v>1488</v>
      </c>
      <c r="P34" s="20"/>
      <c r="Q34" s="20" t="s">
        <v>1488</v>
      </c>
      <c r="R34" s="20" t="s">
        <v>1488</v>
      </c>
      <c r="S34" s="20" t="s">
        <v>1521</v>
      </c>
      <c r="T34" s="20" t="s">
        <v>1657</v>
      </c>
      <c r="U34" s="24" t="s">
        <v>1492</v>
      </c>
      <c r="V34" s="24" t="s">
        <v>1492</v>
      </c>
      <c r="W34" s="24" t="s">
        <v>1492</v>
      </c>
      <c r="X34" s="26" t="s">
        <v>1493</v>
      </c>
      <c r="Y34" s="24" t="s">
        <v>1492</v>
      </c>
      <c r="Z34" s="24" t="s">
        <v>1492</v>
      </c>
      <c r="AA34" s="24" t="s">
        <v>1492</v>
      </c>
      <c r="AB34" s="24" t="s">
        <v>1492</v>
      </c>
      <c r="AC34" s="24" t="s">
        <v>1492</v>
      </c>
      <c r="AD34" s="24" t="s">
        <v>1492</v>
      </c>
      <c r="AE34" s="20"/>
      <c r="AF34" s="20"/>
      <c r="AG34" s="24" t="s">
        <v>1492</v>
      </c>
      <c r="AH34" s="24" t="s">
        <v>1492</v>
      </c>
      <c r="AI34" s="24" t="s">
        <v>1492</v>
      </c>
      <c r="AJ34" s="24" t="s">
        <v>1492</v>
      </c>
      <c r="AK34" s="24" t="s">
        <v>1492</v>
      </c>
      <c r="AL34" s="26" t="s">
        <v>1493</v>
      </c>
      <c r="AM34" s="24" t="s">
        <v>1492</v>
      </c>
      <c r="AN34" s="45" t="s">
        <v>1582</v>
      </c>
      <c r="AO34" s="20"/>
      <c r="AP34" s="24" t="s">
        <v>1492</v>
      </c>
      <c r="AQ34" s="24" t="s">
        <v>1492</v>
      </c>
      <c r="AR34" s="24" t="s">
        <v>1492</v>
      </c>
      <c r="AS34" s="20"/>
      <c r="AT34" s="20"/>
      <c r="AU34" s="24" t="s">
        <v>1492</v>
      </c>
      <c r="AV34" s="24" t="s">
        <v>1492</v>
      </c>
      <c r="AW34" s="24" t="s">
        <v>1492</v>
      </c>
      <c r="AX34" s="24" t="s">
        <v>1492</v>
      </c>
      <c r="AY34" s="24" t="s">
        <v>1492</v>
      </c>
      <c r="AZ34" s="20">
        <f t="shared" si="0"/>
        <v>26</v>
      </c>
      <c r="BA34" s="20">
        <f t="shared" si="1"/>
        <v>23</v>
      </c>
      <c r="BB34" s="20">
        <f t="shared" si="2"/>
        <v>0</v>
      </c>
      <c r="BC34" s="20">
        <f t="shared" si="3"/>
        <v>0</v>
      </c>
      <c r="BD34" s="20">
        <f t="shared" si="4"/>
        <v>0</v>
      </c>
      <c r="BE34" s="20">
        <f t="shared" si="5"/>
        <v>0</v>
      </c>
      <c r="BF34" s="20">
        <f t="shared" ca="1" si="6"/>
        <v>0</v>
      </c>
      <c r="BG34" s="20">
        <f t="shared" si="7"/>
        <v>0</v>
      </c>
      <c r="BH34" s="20">
        <f t="shared" si="8"/>
        <v>0</v>
      </c>
      <c r="BI34" s="20">
        <f t="shared" si="9"/>
        <v>0</v>
      </c>
      <c r="BJ34" s="20">
        <f t="shared" si="10"/>
        <v>0</v>
      </c>
      <c r="BK34" s="20">
        <f t="shared" si="11"/>
        <v>2</v>
      </c>
      <c r="BL34" s="20">
        <f t="shared" ca="1" si="12"/>
        <v>25</v>
      </c>
      <c r="BM34" s="20">
        <v>45</v>
      </c>
      <c r="BN34" s="29">
        <v>15</v>
      </c>
      <c r="BO34" s="29">
        <f>INT(BM34*0.8)</f>
        <v>36</v>
      </c>
      <c r="BP34" s="29">
        <f>INT(BN34*0.8)</f>
        <v>12</v>
      </c>
      <c r="BQ34">
        <f t="shared" si="14"/>
        <v>0</v>
      </c>
    </row>
    <row r="35" spans="1:69" ht="15.75" x14ac:dyDescent="0.25">
      <c r="A35" s="20">
        <v>30</v>
      </c>
      <c r="B35" s="20" t="s">
        <v>1658</v>
      </c>
      <c r="C35" s="35" t="s">
        <v>1659</v>
      </c>
      <c r="D35" s="35" t="s">
        <v>1660</v>
      </c>
      <c r="E35" s="60" t="s">
        <v>1661</v>
      </c>
      <c r="F35" s="21" t="s">
        <v>1389</v>
      </c>
      <c r="G35" s="20" t="s">
        <v>1483</v>
      </c>
      <c r="H35" s="34">
        <v>45693</v>
      </c>
      <c r="I35" s="20"/>
      <c r="J35" s="20" t="s">
        <v>1655</v>
      </c>
      <c r="K35" s="37" t="s">
        <v>1656</v>
      </c>
      <c r="L35" s="20" t="s">
        <v>1574</v>
      </c>
      <c r="M35" s="20" t="s">
        <v>1487</v>
      </c>
      <c r="N35" s="20" t="s">
        <v>1506</v>
      </c>
      <c r="O35" s="20" t="s">
        <v>1488</v>
      </c>
      <c r="P35" s="20"/>
      <c r="Q35" s="20" t="s">
        <v>1488</v>
      </c>
      <c r="R35" s="20" t="s">
        <v>1488</v>
      </c>
      <c r="S35" s="20" t="s">
        <v>1662</v>
      </c>
      <c r="T35" s="20" t="s">
        <v>1663</v>
      </c>
      <c r="U35" s="24" t="s">
        <v>1492</v>
      </c>
      <c r="V35" s="24" t="s">
        <v>1492</v>
      </c>
      <c r="W35" s="24" t="s">
        <v>1492</v>
      </c>
      <c r="X35" s="26" t="s">
        <v>1493</v>
      </c>
      <c r="Y35" s="24" t="s">
        <v>1492</v>
      </c>
      <c r="Z35" s="24" t="s">
        <v>1492</v>
      </c>
      <c r="AA35" s="24" t="s">
        <v>1492</v>
      </c>
      <c r="AB35" s="24" t="s">
        <v>1492</v>
      </c>
      <c r="AC35" s="24" t="s">
        <v>1492</v>
      </c>
      <c r="AD35" s="5" t="s">
        <v>1464</v>
      </c>
      <c r="AE35" s="24" t="s">
        <v>1492</v>
      </c>
      <c r="AF35" s="20"/>
      <c r="AG35" s="24" t="s">
        <v>1492</v>
      </c>
      <c r="AH35" s="24" t="s">
        <v>1492</v>
      </c>
      <c r="AI35" s="24" t="s">
        <v>1492</v>
      </c>
      <c r="AJ35" s="24" t="s">
        <v>1492</v>
      </c>
      <c r="AK35" s="24" t="s">
        <v>1492</v>
      </c>
      <c r="AL35" s="26" t="s">
        <v>1493</v>
      </c>
      <c r="AM35" s="5" t="s">
        <v>1464</v>
      </c>
      <c r="AN35" s="24" t="s">
        <v>1492</v>
      </c>
      <c r="AO35" s="24" t="s">
        <v>1492</v>
      </c>
      <c r="AP35" s="24" t="s">
        <v>1492</v>
      </c>
      <c r="AQ35" s="24" t="s">
        <v>1492</v>
      </c>
      <c r="AR35" s="24" t="s">
        <v>1492</v>
      </c>
      <c r="AS35" s="20"/>
      <c r="AT35" s="20"/>
      <c r="AU35" s="24" t="s">
        <v>1492</v>
      </c>
      <c r="AV35" s="24" t="s">
        <v>1492</v>
      </c>
      <c r="AW35" s="24" t="s">
        <v>1492</v>
      </c>
      <c r="AX35" s="24" t="s">
        <v>1492</v>
      </c>
      <c r="AY35" s="24" t="s">
        <v>1492</v>
      </c>
      <c r="AZ35" s="20">
        <f t="shared" si="0"/>
        <v>28</v>
      </c>
      <c r="BA35" s="20">
        <f t="shared" si="1"/>
        <v>24</v>
      </c>
      <c r="BB35" s="20">
        <f t="shared" si="2"/>
        <v>2</v>
      </c>
      <c r="BC35" s="20">
        <f t="shared" si="3"/>
        <v>0</v>
      </c>
      <c r="BD35" s="20">
        <f t="shared" si="4"/>
        <v>0</v>
      </c>
      <c r="BE35" s="20">
        <f t="shared" si="5"/>
        <v>0</v>
      </c>
      <c r="BF35" s="20">
        <f t="shared" ca="1" si="6"/>
        <v>0</v>
      </c>
      <c r="BG35" s="20">
        <f t="shared" si="7"/>
        <v>0</v>
      </c>
      <c r="BH35" s="20">
        <f t="shared" si="8"/>
        <v>0</v>
      </c>
      <c r="BI35" s="20">
        <f t="shared" si="9"/>
        <v>0</v>
      </c>
      <c r="BJ35" s="20">
        <f t="shared" si="10"/>
        <v>0</v>
      </c>
      <c r="BK35" s="20">
        <f t="shared" si="11"/>
        <v>2</v>
      </c>
      <c r="BL35" s="20">
        <f t="shared" ca="1" si="12"/>
        <v>27</v>
      </c>
      <c r="BM35" s="20">
        <v>45</v>
      </c>
      <c r="BN35" s="29">
        <v>15</v>
      </c>
      <c r="BO35" s="29">
        <f t="shared" ref="BO35:BP42" si="16">INT(BM35*0.8)</f>
        <v>36</v>
      </c>
      <c r="BP35" s="29">
        <f t="shared" si="16"/>
        <v>12</v>
      </c>
      <c r="BQ35">
        <f t="shared" si="14"/>
        <v>1</v>
      </c>
    </row>
    <row r="36" spans="1:69" ht="15.75" x14ac:dyDescent="0.25">
      <c r="A36" s="20">
        <v>34</v>
      </c>
      <c r="B36" s="37" t="s">
        <v>1664</v>
      </c>
      <c r="C36" s="37" t="s">
        <v>1665</v>
      </c>
      <c r="D36" s="37" t="s">
        <v>1666</v>
      </c>
      <c r="E36" s="60" t="s">
        <v>1667</v>
      </c>
      <c r="F36" s="58" t="s">
        <v>1433</v>
      </c>
      <c r="G36" s="37" t="s">
        <v>1483</v>
      </c>
      <c r="H36" s="70">
        <v>45791</v>
      </c>
      <c r="I36" s="20"/>
      <c r="J36" s="20" t="s">
        <v>1655</v>
      </c>
      <c r="K36" s="37" t="s">
        <v>1656</v>
      </c>
      <c r="L36" s="37" t="s">
        <v>1513</v>
      </c>
      <c r="M36" s="37" t="s">
        <v>1487</v>
      </c>
      <c r="N36" s="37" t="s">
        <v>1506</v>
      </c>
      <c r="O36" s="37" t="s">
        <v>1488</v>
      </c>
      <c r="P36" s="37"/>
      <c r="Q36" s="37"/>
      <c r="R36" s="37" t="s">
        <v>1488</v>
      </c>
      <c r="S36" s="37" t="s">
        <v>1521</v>
      </c>
      <c r="T36" s="37" t="s">
        <v>1668</v>
      </c>
      <c r="U36" s="24" t="s">
        <v>1492</v>
      </c>
      <c r="V36" s="24" t="s">
        <v>1492</v>
      </c>
      <c r="W36" s="24" t="s">
        <v>1492</v>
      </c>
      <c r="X36" s="26" t="s">
        <v>1493</v>
      </c>
      <c r="Y36" s="24" t="s">
        <v>1492</v>
      </c>
      <c r="Z36" s="24" t="s">
        <v>1492</v>
      </c>
      <c r="AA36" s="24" t="s">
        <v>1492</v>
      </c>
      <c r="AB36" s="24" t="s">
        <v>1492</v>
      </c>
      <c r="AC36" s="24" t="s">
        <v>1492</v>
      </c>
      <c r="AD36" s="24" t="s">
        <v>1492</v>
      </c>
      <c r="AE36" s="24" t="s">
        <v>1492</v>
      </c>
      <c r="AF36" s="20"/>
      <c r="AG36" s="24" t="s">
        <v>1492</v>
      </c>
      <c r="AH36" s="24" t="s">
        <v>1492</v>
      </c>
      <c r="AI36" s="24" t="s">
        <v>1492</v>
      </c>
      <c r="AJ36" s="24" t="s">
        <v>1492</v>
      </c>
      <c r="AK36" s="24" t="s">
        <v>1492</v>
      </c>
      <c r="AL36" s="26" t="s">
        <v>1493</v>
      </c>
      <c r="AM36" s="31" t="s">
        <v>1501</v>
      </c>
      <c r="AN36" s="24" t="s">
        <v>1492</v>
      </c>
      <c r="AO36" s="24" t="s">
        <v>1492</v>
      </c>
      <c r="AP36" s="24" t="s">
        <v>1492</v>
      </c>
      <c r="AQ36" s="24" t="s">
        <v>1492</v>
      </c>
      <c r="AR36" s="24" t="s">
        <v>1492</v>
      </c>
      <c r="AS36" s="20"/>
      <c r="AT36" s="20"/>
      <c r="AU36" s="24" t="s">
        <v>1492</v>
      </c>
      <c r="AV36" s="24" t="s">
        <v>1492</v>
      </c>
      <c r="AW36" s="24" t="s">
        <v>1492</v>
      </c>
      <c r="AX36" s="5" t="s">
        <v>1464</v>
      </c>
      <c r="AY36" s="24" t="s">
        <v>1492</v>
      </c>
      <c r="AZ36" s="20">
        <f t="shared" si="0"/>
        <v>28</v>
      </c>
      <c r="BA36" s="20">
        <f t="shared" si="1"/>
        <v>24</v>
      </c>
      <c r="BB36" s="20">
        <f t="shared" si="2"/>
        <v>1</v>
      </c>
      <c r="BC36" s="20">
        <f t="shared" si="3"/>
        <v>0</v>
      </c>
      <c r="BD36" s="20">
        <f t="shared" si="4"/>
        <v>1</v>
      </c>
      <c r="BE36" s="20">
        <f t="shared" si="5"/>
        <v>0</v>
      </c>
      <c r="BF36" s="20">
        <f t="shared" ca="1" si="6"/>
        <v>0</v>
      </c>
      <c r="BG36" s="20">
        <f t="shared" si="7"/>
        <v>0</v>
      </c>
      <c r="BH36" s="20">
        <f t="shared" si="8"/>
        <v>0</v>
      </c>
      <c r="BI36" s="20">
        <f t="shared" si="9"/>
        <v>0</v>
      </c>
      <c r="BJ36" s="20">
        <f t="shared" si="10"/>
        <v>0</v>
      </c>
      <c r="BK36" s="20">
        <f t="shared" si="11"/>
        <v>2</v>
      </c>
      <c r="BL36" s="20">
        <f t="shared" ca="1" si="12"/>
        <v>27.5</v>
      </c>
      <c r="BM36" s="20">
        <v>45</v>
      </c>
      <c r="BN36" s="29">
        <v>15</v>
      </c>
      <c r="BO36" s="29">
        <f t="shared" si="16"/>
        <v>36</v>
      </c>
      <c r="BP36" s="29">
        <f t="shared" si="16"/>
        <v>12</v>
      </c>
      <c r="BQ36">
        <f t="shared" si="14"/>
        <v>0.5</v>
      </c>
    </row>
    <row r="37" spans="1:69" ht="15.75" x14ac:dyDescent="0.25">
      <c r="A37" s="20">
        <v>36</v>
      </c>
      <c r="B37" s="20" t="s">
        <v>1669</v>
      </c>
      <c r="C37" s="35" t="s">
        <v>1670</v>
      </c>
      <c r="D37" s="35" t="s">
        <v>1670</v>
      </c>
      <c r="E37" s="20" t="s">
        <v>1671</v>
      </c>
      <c r="F37" s="21" t="s">
        <v>1400</v>
      </c>
      <c r="G37" s="20" t="s">
        <v>1672</v>
      </c>
      <c r="H37" s="71">
        <v>46056</v>
      </c>
      <c r="I37" s="20"/>
      <c r="J37" s="20" t="s">
        <v>1655</v>
      </c>
      <c r="K37" s="37" t="s">
        <v>1656</v>
      </c>
      <c r="L37" s="37" t="s">
        <v>1513</v>
      </c>
      <c r="M37" s="20" t="s">
        <v>1487</v>
      </c>
      <c r="N37" s="37" t="s">
        <v>1506</v>
      </c>
      <c r="O37" s="20" t="s">
        <v>1532</v>
      </c>
      <c r="P37" s="20"/>
      <c r="Q37" s="20"/>
      <c r="R37" s="20" t="s">
        <v>1488</v>
      </c>
      <c r="S37" s="20"/>
      <c r="T37" s="20"/>
      <c r="U37" s="24" t="s">
        <v>1492</v>
      </c>
      <c r="V37" s="24" t="s">
        <v>1492</v>
      </c>
      <c r="W37" s="24" t="s">
        <v>1492</v>
      </c>
      <c r="X37" s="26" t="s">
        <v>1493</v>
      </c>
      <c r="Y37" s="24" t="s">
        <v>1492</v>
      </c>
      <c r="Z37" s="24" t="s">
        <v>1492</v>
      </c>
      <c r="AA37" s="24" t="s">
        <v>1492</v>
      </c>
      <c r="AB37" s="24" t="s">
        <v>1492</v>
      </c>
      <c r="AC37" s="24" t="s">
        <v>1492</v>
      </c>
      <c r="AD37" s="24" t="s">
        <v>1492</v>
      </c>
      <c r="AE37" s="20"/>
      <c r="AF37" s="20"/>
      <c r="AG37" s="24" t="s">
        <v>1492</v>
      </c>
      <c r="AH37" s="24" t="s">
        <v>1492</v>
      </c>
      <c r="AI37" s="24" t="s">
        <v>1492</v>
      </c>
      <c r="AJ37" s="24" t="s">
        <v>1492</v>
      </c>
      <c r="AK37" s="24" t="s">
        <v>1492</v>
      </c>
      <c r="AL37" s="26" t="s">
        <v>1493</v>
      </c>
      <c r="AM37" s="24" t="s">
        <v>1492</v>
      </c>
      <c r="AN37" s="24" t="s">
        <v>1492</v>
      </c>
      <c r="AO37" s="24" t="s">
        <v>1492</v>
      </c>
      <c r="AP37" s="24" t="s">
        <v>1492</v>
      </c>
      <c r="AQ37" s="24" t="s">
        <v>1492</v>
      </c>
      <c r="AR37" s="24" t="s">
        <v>1492</v>
      </c>
      <c r="AS37" s="20"/>
      <c r="AT37" s="20"/>
      <c r="AU37" s="24" t="s">
        <v>1492</v>
      </c>
      <c r="AV37" s="24" t="s">
        <v>1492</v>
      </c>
      <c r="AW37" s="24" t="s">
        <v>1492</v>
      </c>
      <c r="AX37" s="24" t="s">
        <v>1492</v>
      </c>
      <c r="AY37" s="24" t="s">
        <v>1492</v>
      </c>
      <c r="AZ37" s="20">
        <f t="shared" si="0"/>
        <v>27</v>
      </c>
      <c r="BA37" s="20">
        <f t="shared" si="1"/>
        <v>25</v>
      </c>
      <c r="BB37" s="20">
        <f t="shared" si="2"/>
        <v>0</v>
      </c>
      <c r="BC37" s="20">
        <f t="shared" si="3"/>
        <v>0</v>
      </c>
      <c r="BD37" s="20">
        <f t="shared" si="4"/>
        <v>0</v>
      </c>
      <c r="BE37" s="20">
        <f t="shared" si="5"/>
        <v>0</v>
      </c>
      <c r="BF37" s="20">
        <f t="shared" ca="1" si="6"/>
        <v>0</v>
      </c>
      <c r="BG37" s="20">
        <f t="shared" si="7"/>
        <v>0</v>
      </c>
      <c r="BH37" s="20">
        <f t="shared" si="8"/>
        <v>0</v>
      </c>
      <c r="BI37" s="20">
        <f t="shared" si="9"/>
        <v>0</v>
      </c>
      <c r="BJ37" s="20">
        <f t="shared" si="10"/>
        <v>0</v>
      </c>
      <c r="BK37" s="20">
        <f t="shared" si="11"/>
        <v>2</v>
      </c>
      <c r="BL37" s="20">
        <f t="shared" ca="1" si="12"/>
        <v>27</v>
      </c>
      <c r="BM37" s="20">
        <v>45</v>
      </c>
      <c r="BN37" s="29">
        <v>15</v>
      </c>
      <c r="BO37" s="29">
        <f t="shared" si="16"/>
        <v>36</v>
      </c>
      <c r="BP37" s="29">
        <f t="shared" si="16"/>
        <v>12</v>
      </c>
      <c r="BQ37">
        <f t="shared" si="14"/>
        <v>0</v>
      </c>
    </row>
    <row r="38" spans="1:69" ht="15.75" x14ac:dyDescent="0.25">
      <c r="A38" s="20">
        <v>37</v>
      </c>
      <c r="B38" s="20" t="s">
        <v>1673</v>
      </c>
      <c r="C38" s="35" t="s">
        <v>1674</v>
      </c>
      <c r="D38" s="35" t="s">
        <v>1675</v>
      </c>
      <c r="E38" s="20" t="s">
        <v>1676</v>
      </c>
      <c r="F38" s="21" t="s">
        <v>1397</v>
      </c>
      <c r="G38" s="20" t="s">
        <v>1564</v>
      </c>
      <c r="H38" s="34">
        <v>45770</v>
      </c>
      <c r="I38" s="20"/>
      <c r="J38" s="20" t="s">
        <v>1655</v>
      </c>
      <c r="K38" s="37" t="s">
        <v>1656</v>
      </c>
      <c r="L38" s="20" t="s">
        <v>1513</v>
      </c>
      <c r="M38" s="20" t="s">
        <v>1487</v>
      </c>
      <c r="N38" s="20" t="s">
        <v>1506</v>
      </c>
      <c r="O38" s="20" t="s">
        <v>1532</v>
      </c>
      <c r="P38" s="20"/>
      <c r="Q38" s="20" t="s">
        <v>1488</v>
      </c>
      <c r="R38" s="20" t="s">
        <v>1488</v>
      </c>
      <c r="S38" s="20" t="s">
        <v>1677</v>
      </c>
      <c r="T38" s="20" t="s">
        <v>1678</v>
      </c>
      <c r="U38" s="24" t="s">
        <v>1492</v>
      </c>
      <c r="V38" s="24" t="s">
        <v>1492</v>
      </c>
      <c r="W38" s="24" t="s">
        <v>1492</v>
      </c>
      <c r="X38" s="24" t="s">
        <v>1492</v>
      </c>
      <c r="Y38" s="26" t="s">
        <v>1493</v>
      </c>
      <c r="Z38" s="24" t="s">
        <v>1492</v>
      </c>
      <c r="AA38" s="5" t="s">
        <v>1464</v>
      </c>
      <c r="AB38" s="24" t="s">
        <v>1492</v>
      </c>
      <c r="AC38" s="24" t="s">
        <v>1492</v>
      </c>
      <c r="AD38" s="24" t="s">
        <v>1492</v>
      </c>
      <c r="AE38" s="20"/>
      <c r="AF38" s="5" t="s">
        <v>1464</v>
      </c>
      <c r="AG38" s="45" t="s">
        <v>1582</v>
      </c>
      <c r="AH38" s="45" t="s">
        <v>1582</v>
      </c>
      <c r="AI38" s="45" t="s">
        <v>1582</v>
      </c>
      <c r="AJ38" s="45" t="s">
        <v>1582</v>
      </c>
      <c r="AK38" s="45" t="s">
        <v>1582</v>
      </c>
      <c r="AL38" s="24" t="s">
        <v>1492</v>
      </c>
      <c r="AM38" s="26" t="s">
        <v>1493</v>
      </c>
      <c r="AN38" s="24" t="s">
        <v>1492</v>
      </c>
      <c r="AO38" s="24" t="s">
        <v>1492</v>
      </c>
      <c r="AP38" s="24" t="s">
        <v>1492</v>
      </c>
      <c r="AQ38" s="24" t="s">
        <v>1492</v>
      </c>
      <c r="AR38" s="24" t="s">
        <v>1492</v>
      </c>
      <c r="AS38" s="20"/>
      <c r="AT38" s="20"/>
      <c r="AU38" s="24" t="s">
        <v>1492</v>
      </c>
      <c r="AV38" s="24" t="s">
        <v>1492</v>
      </c>
      <c r="AW38" s="24" t="s">
        <v>1492</v>
      </c>
      <c r="AX38" s="24" t="s">
        <v>1492</v>
      </c>
      <c r="AY38" s="24" t="s">
        <v>1492</v>
      </c>
      <c r="AZ38" s="20">
        <f t="shared" si="0"/>
        <v>28</v>
      </c>
      <c r="BA38" s="20">
        <f t="shared" si="1"/>
        <v>19</v>
      </c>
      <c r="BB38" s="20">
        <f t="shared" si="2"/>
        <v>2</v>
      </c>
      <c r="BC38" s="20">
        <f t="shared" si="3"/>
        <v>0</v>
      </c>
      <c r="BD38" s="20">
        <f t="shared" si="4"/>
        <v>0</v>
      </c>
      <c r="BE38" s="20">
        <f t="shared" si="5"/>
        <v>0</v>
      </c>
      <c r="BF38" s="20">
        <f t="shared" ca="1" si="6"/>
        <v>0</v>
      </c>
      <c r="BG38" s="20">
        <f t="shared" si="7"/>
        <v>0</v>
      </c>
      <c r="BH38" s="20">
        <f t="shared" si="8"/>
        <v>0</v>
      </c>
      <c r="BI38" s="20">
        <f t="shared" si="9"/>
        <v>0</v>
      </c>
      <c r="BJ38" s="20">
        <f t="shared" si="10"/>
        <v>0</v>
      </c>
      <c r="BK38" s="20">
        <f t="shared" si="11"/>
        <v>2</v>
      </c>
      <c r="BL38" s="20">
        <f t="shared" ca="1" si="12"/>
        <v>22</v>
      </c>
      <c r="BM38" s="20">
        <v>45</v>
      </c>
      <c r="BN38" s="29">
        <v>15</v>
      </c>
      <c r="BO38" s="29">
        <f t="shared" si="16"/>
        <v>36</v>
      </c>
      <c r="BP38" s="29">
        <f t="shared" si="16"/>
        <v>12</v>
      </c>
      <c r="BQ38">
        <f t="shared" si="14"/>
        <v>1</v>
      </c>
    </row>
    <row r="39" spans="1:69" ht="15.75" x14ac:dyDescent="0.25">
      <c r="A39" s="20">
        <v>38</v>
      </c>
      <c r="B39" s="37" t="s">
        <v>1679</v>
      </c>
      <c r="C39" s="37" t="s">
        <v>1680</v>
      </c>
      <c r="D39" s="37" t="s">
        <v>1681</v>
      </c>
      <c r="E39" s="37" t="s">
        <v>1682</v>
      </c>
      <c r="F39" s="58" t="s">
        <v>1415</v>
      </c>
      <c r="G39" s="37" t="s">
        <v>1483</v>
      </c>
      <c r="H39" s="70">
        <v>45791</v>
      </c>
      <c r="I39" s="20"/>
      <c r="J39" s="20" t="s">
        <v>1655</v>
      </c>
      <c r="K39" s="37" t="s">
        <v>1656</v>
      </c>
      <c r="L39" s="37" t="s">
        <v>1513</v>
      </c>
      <c r="M39" s="37" t="s">
        <v>1487</v>
      </c>
      <c r="N39" s="37" t="s">
        <v>1506</v>
      </c>
      <c r="O39" s="37" t="s">
        <v>1488</v>
      </c>
      <c r="P39" s="37"/>
      <c r="Q39" s="37"/>
      <c r="R39" s="37" t="s">
        <v>1488</v>
      </c>
      <c r="S39" s="37" t="s">
        <v>1683</v>
      </c>
      <c r="T39" s="37" t="s">
        <v>1684</v>
      </c>
      <c r="U39" s="24" t="s">
        <v>1492</v>
      </c>
      <c r="V39" s="24" t="s">
        <v>1492</v>
      </c>
      <c r="W39" s="24" t="s">
        <v>1492</v>
      </c>
      <c r="X39" s="26" t="s">
        <v>1493</v>
      </c>
      <c r="Y39" s="26" t="s">
        <v>1493</v>
      </c>
      <c r="Z39" s="24" t="s">
        <v>1492</v>
      </c>
      <c r="AA39" s="24" t="s">
        <v>1492</v>
      </c>
      <c r="AB39" s="24" t="s">
        <v>1492</v>
      </c>
      <c r="AC39" s="24" t="s">
        <v>1492</v>
      </c>
      <c r="AD39" s="24" t="s">
        <v>1492</v>
      </c>
      <c r="AE39" s="20"/>
      <c r="AF39" s="20"/>
      <c r="AG39" s="24" t="s">
        <v>1492</v>
      </c>
      <c r="AH39" s="24" t="s">
        <v>1492</v>
      </c>
      <c r="AI39" s="24" t="s">
        <v>1492</v>
      </c>
      <c r="AJ39" s="24" t="s">
        <v>1492</v>
      </c>
      <c r="AK39" s="24" t="s">
        <v>1492</v>
      </c>
      <c r="AL39" s="24" t="s">
        <v>1492</v>
      </c>
      <c r="AM39" s="26" t="s">
        <v>1493</v>
      </c>
      <c r="AN39" s="24" t="s">
        <v>1492</v>
      </c>
      <c r="AO39" s="24" t="s">
        <v>1492</v>
      </c>
      <c r="AP39" s="24" t="s">
        <v>1492</v>
      </c>
      <c r="AQ39" s="24" t="s">
        <v>1492</v>
      </c>
      <c r="AR39" s="24" t="s">
        <v>1492</v>
      </c>
      <c r="AS39" s="20"/>
      <c r="AT39" s="20"/>
      <c r="AU39" s="24" t="s">
        <v>1492</v>
      </c>
      <c r="AV39" s="24" t="s">
        <v>1492</v>
      </c>
      <c r="AW39" s="24" t="s">
        <v>1492</v>
      </c>
      <c r="AX39" s="24" t="s">
        <v>1492</v>
      </c>
      <c r="AY39" s="24" t="s">
        <v>1492</v>
      </c>
      <c r="AZ39" s="20">
        <f t="shared" si="0"/>
        <v>27</v>
      </c>
      <c r="BA39" s="20">
        <f t="shared" si="1"/>
        <v>24</v>
      </c>
      <c r="BB39" s="20">
        <f t="shared" si="2"/>
        <v>0</v>
      </c>
      <c r="BC39" s="20">
        <f t="shared" si="3"/>
        <v>0</v>
      </c>
      <c r="BD39" s="20">
        <f t="shared" si="4"/>
        <v>0</v>
      </c>
      <c r="BE39" s="20">
        <f t="shared" si="5"/>
        <v>0</v>
      </c>
      <c r="BF39" s="20">
        <f t="shared" ca="1" si="6"/>
        <v>0</v>
      </c>
      <c r="BG39" s="20">
        <f t="shared" si="7"/>
        <v>0</v>
      </c>
      <c r="BH39" s="20">
        <f t="shared" si="8"/>
        <v>0</v>
      </c>
      <c r="BI39" s="20">
        <f t="shared" si="9"/>
        <v>0</v>
      </c>
      <c r="BJ39" s="20">
        <f t="shared" si="10"/>
        <v>0</v>
      </c>
      <c r="BK39" s="20">
        <f t="shared" si="11"/>
        <v>3</v>
      </c>
      <c r="BL39" s="20">
        <f t="shared" ca="1" si="12"/>
        <v>27</v>
      </c>
      <c r="BM39" s="20">
        <v>45</v>
      </c>
      <c r="BN39" s="29">
        <v>15</v>
      </c>
      <c r="BO39" s="29">
        <f t="shared" si="16"/>
        <v>36</v>
      </c>
      <c r="BP39" s="29">
        <f t="shared" si="16"/>
        <v>12</v>
      </c>
      <c r="BQ39">
        <f t="shared" si="14"/>
        <v>0</v>
      </c>
    </row>
    <row r="40" spans="1:69" ht="15.75" x14ac:dyDescent="0.25">
      <c r="A40" s="20">
        <v>39</v>
      </c>
      <c r="B40" s="20" t="s">
        <v>1685</v>
      </c>
      <c r="C40" s="35" t="s">
        <v>1686</v>
      </c>
      <c r="D40" s="35" t="s">
        <v>1687</v>
      </c>
      <c r="E40" s="20" t="s">
        <v>1688</v>
      </c>
      <c r="F40" s="21" t="s">
        <v>1407</v>
      </c>
      <c r="G40" s="20" t="s">
        <v>1483</v>
      </c>
      <c r="H40" s="22">
        <v>45609</v>
      </c>
      <c r="I40" s="20"/>
      <c r="J40" s="20" t="s">
        <v>1655</v>
      </c>
      <c r="K40" s="37" t="s">
        <v>1656</v>
      </c>
      <c r="L40" s="20" t="s">
        <v>1574</v>
      </c>
      <c r="M40" s="20" t="s">
        <v>1487</v>
      </c>
      <c r="N40" s="20" t="s">
        <v>1506</v>
      </c>
      <c r="O40" s="20" t="s">
        <v>1488</v>
      </c>
      <c r="P40" s="20"/>
      <c r="Q40" s="20" t="s">
        <v>1488</v>
      </c>
      <c r="R40" s="20" t="s">
        <v>1488</v>
      </c>
      <c r="S40" s="20" t="s">
        <v>1689</v>
      </c>
      <c r="T40" s="20" t="s">
        <v>1690</v>
      </c>
      <c r="U40" s="24" t="s">
        <v>1492</v>
      </c>
      <c r="V40" s="24" t="s">
        <v>1492</v>
      </c>
      <c r="W40" s="24" t="s">
        <v>1492</v>
      </c>
      <c r="X40" s="24" t="s">
        <v>1492</v>
      </c>
      <c r="Y40" s="26" t="s">
        <v>1493</v>
      </c>
      <c r="Z40" s="45" t="s">
        <v>1582</v>
      </c>
      <c r="AA40" s="24" t="s">
        <v>1492</v>
      </c>
      <c r="AB40" s="24" t="s">
        <v>1492</v>
      </c>
      <c r="AC40" s="24" t="s">
        <v>1492</v>
      </c>
      <c r="AD40" s="24" t="s">
        <v>1492</v>
      </c>
      <c r="AE40" s="24" t="s">
        <v>1492</v>
      </c>
      <c r="AF40" s="20"/>
      <c r="AG40" s="24" t="s">
        <v>1492</v>
      </c>
      <c r="AH40" s="24" t="s">
        <v>1492</v>
      </c>
      <c r="AI40" s="24" t="s">
        <v>1492</v>
      </c>
      <c r="AJ40" s="24" t="s">
        <v>1492</v>
      </c>
      <c r="AK40" s="24" t="s">
        <v>1492</v>
      </c>
      <c r="AL40" s="24" t="s">
        <v>1492</v>
      </c>
      <c r="AM40" s="26" t="s">
        <v>1493</v>
      </c>
      <c r="AN40" s="24" t="s">
        <v>1492</v>
      </c>
      <c r="AO40" s="24" t="s">
        <v>1492</v>
      </c>
      <c r="AP40" s="24" t="s">
        <v>1492</v>
      </c>
      <c r="AQ40" s="24" t="s">
        <v>1492</v>
      </c>
      <c r="AR40" s="24" t="s">
        <v>1492</v>
      </c>
      <c r="AS40" s="20"/>
      <c r="AT40" s="20"/>
      <c r="AU40" s="24" t="s">
        <v>1492</v>
      </c>
      <c r="AV40" s="24" t="s">
        <v>1492</v>
      </c>
      <c r="AW40" s="24" t="s">
        <v>1492</v>
      </c>
      <c r="AX40" s="24" t="s">
        <v>1492</v>
      </c>
      <c r="AY40" s="24" t="s">
        <v>1492</v>
      </c>
      <c r="AZ40" s="20">
        <f t="shared" si="0"/>
        <v>28</v>
      </c>
      <c r="BA40" s="20">
        <f t="shared" si="1"/>
        <v>25</v>
      </c>
      <c r="BB40" s="20">
        <f t="shared" si="2"/>
        <v>0</v>
      </c>
      <c r="BC40" s="20">
        <f t="shared" si="3"/>
        <v>0</v>
      </c>
      <c r="BD40" s="20">
        <f t="shared" si="4"/>
        <v>0</v>
      </c>
      <c r="BE40" s="20">
        <f t="shared" si="5"/>
        <v>0</v>
      </c>
      <c r="BF40" s="20">
        <f t="shared" ca="1" si="6"/>
        <v>0</v>
      </c>
      <c r="BG40" s="20">
        <f t="shared" si="7"/>
        <v>0</v>
      </c>
      <c r="BH40" s="20">
        <f t="shared" si="8"/>
        <v>0</v>
      </c>
      <c r="BI40" s="20">
        <f t="shared" si="9"/>
        <v>0</v>
      </c>
      <c r="BJ40" s="20">
        <f t="shared" si="10"/>
        <v>0</v>
      </c>
      <c r="BK40" s="20">
        <f t="shared" si="11"/>
        <v>2</v>
      </c>
      <c r="BL40" s="20">
        <f t="shared" ca="1" si="12"/>
        <v>27</v>
      </c>
      <c r="BM40" s="20">
        <v>45</v>
      </c>
      <c r="BN40" s="29">
        <v>15</v>
      </c>
      <c r="BO40" s="29">
        <f t="shared" si="16"/>
        <v>36</v>
      </c>
      <c r="BP40" s="29">
        <f t="shared" si="16"/>
        <v>12</v>
      </c>
      <c r="BQ40">
        <f t="shared" si="14"/>
        <v>0</v>
      </c>
    </row>
    <row r="41" spans="1:69" ht="15.75" x14ac:dyDescent="0.25">
      <c r="A41" s="20">
        <v>40</v>
      </c>
      <c r="B41" s="20" t="s">
        <v>1691</v>
      </c>
      <c r="C41" s="35" t="s">
        <v>1692</v>
      </c>
      <c r="D41" s="35" t="s">
        <v>1693</v>
      </c>
      <c r="E41" s="20" t="s">
        <v>1694</v>
      </c>
      <c r="F41" s="21" t="s">
        <v>1417</v>
      </c>
      <c r="G41" s="20" t="s">
        <v>1564</v>
      </c>
      <c r="H41" s="34">
        <v>45791</v>
      </c>
      <c r="I41" s="20"/>
      <c r="J41" s="20" t="s">
        <v>1655</v>
      </c>
      <c r="K41" s="37" t="s">
        <v>1656</v>
      </c>
      <c r="L41" s="20" t="s">
        <v>1513</v>
      </c>
      <c r="M41" s="20" t="s">
        <v>1487</v>
      </c>
      <c r="N41" s="20" t="s">
        <v>1506</v>
      </c>
      <c r="O41" s="20" t="s">
        <v>1488</v>
      </c>
      <c r="P41" s="20"/>
      <c r="Q41" s="20" t="s">
        <v>1488</v>
      </c>
      <c r="R41" s="20" t="s">
        <v>1488</v>
      </c>
      <c r="S41" s="20" t="s">
        <v>1498</v>
      </c>
      <c r="T41" s="20" t="s">
        <v>1695</v>
      </c>
      <c r="U41" s="24" t="s">
        <v>1492</v>
      </c>
      <c r="V41" s="24" t="s">
        <v>1492</v>
      </c>
      <c r="W41" s="24" t="s">
        <v>1492</v>
      </c>
      <c r="X41" s="24" t="s">
        <v>1492</v>
      </c>
      <c r="Y41" s="26" t="s">
        <v>1493</v>
      </c>
      <c r="Z41" s="24" t="s">
        <v>1492</v>
      </c>
      <c r="AA41" s="24" t="s">
        <v>1492</v>
      </c>
      <c r="AB41" s="24" t="s">
        <v>1492</v>
      </c>
      <c r="AC41" s="24" t="s">
        <v>1492</v>
      </c>
      <c r="AD41" s="24" t="s">
        <v>1492</v>
      </c>
      <c r="AE41" s="24" t="s">
        <v>1492</v>
      </c>
      <c r="AF41" s="20"/>
      <c r="AG41" s="24" t="s">
        <v>1492</v>
      </c>
      <c r="AH41" s="24" t="s">
        <v>1492</v>
      </c>
      <c r="AI41" s="24" t="s">
        <v>1492</v>
      </c>
      <c r="AJ41" s="24" t="s">
        <v>1492</v>
      </c>
      <c r="AK41" s="24" t="s">
        <v>1492</v>
      </c>
      <c r="AL41" s="24" t="s">
        <v>1492</v>
      </c>
      <c r="AM41" s="26" t="s">
        <v>1493</v>
      </c>
      <c r="AN41" s="24" t="s">
        <v>1492</v>
      </c>
      <c r="AO41" s="24" t="s">
        <v>1492</v>
      </c>
      <c r="AP41" s="24" t="s">
        <v>1492</v>
      </c>
      <c r="AQ41" s="24" t="s">
        <v>1492</v>
      </c>
      <c r="AR41" s="24" t="s">
        <v>1492</v>
      </c>
      <c r="AS41" s="20"/>
      <c r="AT41" s="20"/>
      <c r="AU41" s="24" t="s">
        <v>1492</v>
      </c>
      <c r="AV41" s="24" t="s">
        <v>1492</v>
      </c>
      <c r="AW41" s="24" t="s">
        <v>1492</v>
      </c>
      <c r="AX41" s="24" t="s">
        <v>1492</v>
      </c>
      <c r="AY41" s="24" t="s">
        <v>1492</v>
      </c>
      <c r="AZ41" s="20">
        <f t="shared" si="0"/>
        <v>28</v>
      </c>
      <c r="BA41" s="20">
        <f t="shared" si="1"/>
        <v>26</v>
      </c>
      <c r="BB41" s="20">
        <f t="shared" si="2"/>
        <v>0</v>
      </c>
      <c r="BC41" s="20">
        <f t="shared" si="3"/>
        <v>0</v>
      </c>
      <c r="BD41" s="20">
        <f t="shared" si="4"/>
        <v>0</v>
      </c>
      <c r="BE41" s="20">
        <f t="shared" si="5"/>
        <v>0</v>
      </c>
      <c r="BF41" s="20">
        <f t="shared" ca="1" si="6"/>
        <v>0</v>
      </c>
      <c r="BG41" s="20">
        <f t="shared" si="7"/>
        <v>0</v>
      </c>
      <c r="BH41" s="20">
        <f t="shared" si="8"/>
        <v>0</v>
      </c>
      <c r="BI41" s="20">
        <f t="shared" si="9"/>
        <v>0</v>
      </c>
      <c r="BJ41" s="20">
        <f t="shared" si="10"/>
        <v>0</v>
      </c>
      <c r="BK41" s="20">
        <f t="shared" si="11"/>
        <v>2</v>
      </c>
      <c r="BL41" s="20">
        <f t="shared" ca="1" si="12"/>
        <v>28</v>
      </c>
      <c r="BM41" s="20">
        <v>45</v>
      </c>
      <c r="BN41" s="29">
        <v>15</v>
      </c>
      <c r="BO41" s="29">
        <f t="shared" si="16"/>
        <v>36</v>
      </c>
      <c r="BP41" s="29">
        <f t="shared" si="16"/>
        <v>12</v>
      </c>
      <c r="BQ41">
        <f t="shared" si="14"/>
        <v>0</v>
      </c>
    </row>
    <row r="42" spans="1:69" ht="15.75" x14ac:dyDescent="0.25">
      <c r="A42" s="20">
        <v>45</v>
      </c>
      <c r="B42" s="20" t="s">
        <v>1696</v>
      </c>
      <c r="C42" s="35" t="s">
        <v>1697</v>
      </c>
      <c r="D42" s="35" t="s">
        <v>1698</v>
      </c>
      <c r="E42" s="20" t="s">
        <v>1699</v>
      </c>
      <c r="F42" s="21" t="s">
        <v>1390</v>
      </c>
      <c r="G42" s="20" t="s">
        <v>1483</v>
      </c>
      <c r="H42" s="22">
        <v>45867</v>
      </c>
      <c r="I42" s="20"/>
      <c r="J42" s="20" t="s">
        <v>1655</v>
      </c>
      <c r="K42" s="37" t="s">
        <v>1656</v>
      </c>
      <c r="L42" s="20" t="s">
        <v>1513</v>
      </c>
      <c r="M42" s="20" t="s">
        <v>1487</v>
      </c>
      <c r="N42" s="20" t="s">
        <v>1506</v>
      </c>
      <c r="O42" s="20" t="s">
        <v>1488</v>
      </c>
      <c r="P42" s="20"/>
      <c r="Q42" s="20"/>
      <c r="R42" s="20"/>
      <c r="S42" s="20" t="s">
        <v>1490</v>
      </c>
      <c r="T42" s="20" t="s">
        <v>1700</v>
      </c>
      <c r="U42" s="28" t="s">
        <v>1492</v>
      </c>
      <c r="V42" s="28" t="s">
        <v>1492</v>
      </c>
      <c r="W42" s="24" t="s">
        <v>1492</v>
      </c>
      <c r="X42" s="24" t="s">
        <v>1492</v>
      </c>
      <c r="Y42" s="26" t="s">
        <v>1493</v>
      </c>
      <c r="Z42" s="24" t="s">
        <v>1492</v>
      </c>
      <c r="AA42" s="24" t="s">
        <v>1492</v>
      </c>
      <c r="AB42" s="24" t="s">
        <v>1492</v>
      </c>
      <c r="AC42" s="5" t="s">
        <v>1464</v>
      </c>
      <c r="AD42" s="45" t="s">
        <v>1582</v>
      </c>
      <c r="AE42" s="20"/>
      <c r="AF42" s="20"/>
      <c r="AG42" s="24" t="s">
        <v>1492</v>
      </c>
      <c r="AH42" s="24" t="s">
        <v>1492</v>
      </c>
      <c r="AI42" s="24" t="s">
        <v>1492</v>
      </c>
      <c r="AJ42" s="24" t="s">
        <v>1492</v>
      </c>
      <c r="AK42" s="24" t="s">
        <v>1492</v>
      </c>
      <c r="AL42" s="26" t="s">
        <v>1493</v>
      </c>
      <c r="AM42" s="24" t="s">
        <v>1492</v>
      </c>
      <c r="AN42" s="24" t="s">
        <v>1492</v>
      </c>
      <c r="AO42" s="24" t="s">
        <v>1492</v>
      </c>
      <c r="AP42" s="24" t="s">
        <v>1492</v>
      </c>
      <c r="AQ42" s="24" t="s">
        <v>1492</v>
      </c>
      <c r="AR42" s="45" t="s">
        <v>1582</v>
      </c>
      <c r="AS42" s="45" t="s">
        <v>1582</v>
      </c>
      <c r="AT42" s="45" t="s">
        <v>1582</v>
      </c>
      <c r="AU42" s="24" t="s">
        <v>1492</v>
      </c>
      <c r="AV42" s="24" t="s">
        <v>1492</v>
      </c>
      <c r="AW42" s="24" t="s">
        <v>1492</v>
      </c>
      <c r="AX42" s="24" t="s">
        <v>1492</v>
      </c>
      <c r="AY42" s="24" t="s">
        <v>1492</v>
      </c>
      <c r="AZ42" s="20">
        <f t="shared" si="0"/>
        <v>29</v>
      </c>
      <c r="BA42" s="20">
        <f t="shared" si="1"/>
        <v>22</v>
      </c>
      <c r="BB42" s="20">
        <f t="shared" si="2"/>
        <v>1</v>
      </c>
      <c r="BC42" s="20">
        <f t="shared" si="3"/>
        <v>0</v>
      </c>
      <c r="BD42" s="20">
        <f t="shared" si="4"/>
        <v>0</v>
      </c>
      <c r="BE42" s="20">
        <f t="shared" si="5"/>
        <v>0</v>
      </c>
      <c r="BF42" s="20">
        <f t="shared" ca="1" si="6"/>
        <v>0</v>
      </c>
      <c r="BG42" s="20">
        <f t="shared" si="7"/>
        <v>0</v>
      </c>
      <c r="BH42" s="20">
        <f t="shared" si="8"/>
        <v>0</v>
      </c>
      <c r="BI42" s="20">
        <f t="shared" si="9"/>
        <v>0</v>
      </c>
      <c r="BJ42" s="20">
        <f t="shared" si="10"/>
        <v>0</v>
      </c>
      <c r="BK42" s="20">
        <f t="shared" si="11"/>
        <v>2</v>
      </c>
      <c r="BL42" s="20">
        <f t="shared" ca="1" si="12"/>
        <v>24.5</v>
      </c>
      <c r="BM42" s="20">
        <v>45</v>
      </c>
      <c r="BN42" s="29">
        <v>15</v>
      </c>
      <c r="BO42" s="29">
        <f t="shared" si="16"/>
        <v>36</v>
      </c>
      <c r="BP42" s="29">
        <f t="shared" si="16"/>
        <v>12</v>
      </c>
      <c r="BQ42">
        <f t="shared" si="14"/>
        <v>0.5</v>
      </c>
    </row>
    <row r="43" spans="1:69" ht="15.75" x14ac:dyDescent="0.25">
      <c r="A43" s="20">
        <v>30</v>
      </c>
      <c r="B43" s="20" t="s">
        <v>1701</v>
      </c>
      <c r="C43" s="35" t="s">
        <v>1702</v>
      </c>
      <c r="D43" s="35" t="s">
        <v>1703</v>
      </c>
      <c r="E43" s="60" t="s">
        <v>1704</v>
      </c>
      <c r="F43" s="21" t="s">
        <v>1392</v>
      </c>
      <c r="G43" s="20" t="s">
        <v>1483</v>
      </c>
      <c r="H43" s="32">
        <v>45909</v>
      </c>
      <c r="I43" s="20" t="s">
        <v>1705</v>
      </c>
      <c r="J43" s="20" t="s">
        <v>1706</v>
      </c>
      <c r="K43" s="37" t="s">
        <v>1656</v>
      </c>
      <c r="L43" s="20" t="s">
        <v>1513</v>
      </c>
      <c r="M43" s="20" t="s">
        <v>1487</v>
      </c>
      <c r="N43" s="20" t="s">
        <v>1526</v>
      </c>
      <c r="O43" s="20" t="s">
        <v>1532</v>
      </c>
      <c r="P43" s="20"/>
      <c r="Q43" s="20"/>
      <c r="R43" s="20"/>
      <c r="S43" s="20" t="s">
        <v>1587</v>
      </c>
      <c r="T43" s="20" t="s">
        <v>1707</v>
      </c>
      <c r="U43" s="24" t="s">
        <v>1492</v>
      </c>
      <c r="V43" s="24" t="s">
        <v>1492</v>
      </c>
      <c r="W43" s="24" t="s">
        <v>1492</v>
      </c>
      <c r="X43" s="24" t="s">
        <v>1492</v>
      </c>
      <c r="Y43" s="26" t="s">
        <v>1493</v>
      </c>
      <c r="Z43" s="24" t="s">
        <v>1492</v>
      </c>
      <c r="AA43" s="24" t="s">
        <v>1492</v>
      </c>
      <c r="AB43" s="24" t="s">
        <v>1492</v>
      </c>
      <c r="AC43" s="24" t="s">
        <v>1492</v>
      </c>
      <c r="AD43" s="24" t="s">
        <v>1492</v>
      </c>
      <c r="AE43" s="20"/>
      <c r="AF43" s="20"/>
      <c r="AG43" s="24" t="s">
        <v>1492</v>
      </c>
      <c r="AH43" s="24" t="s">
        <v>1492</v>
      </c>
      <c r="AI43" s="24" t="s">
        <v>1492</v>
      </c>
      <c r="AJ43" s="24" t="s">
        <v>1492</v>
      </c>
      <c r="AK43" s="24" t="s">
        <v>1492</v>
      </c>
      <c r="AL43" s="24" t="s">
        <v>1492</v>
      </c>
      <c r="AM43" s="26" t="s">
        <v>1493</v>
      </c>
      <c r="AN43" s="24" t="s">
        <v>1492</v>
      </c>
      <c r="AO43" s="20"/>
      <c r="AP43" s="24" t="s">
        <v>1492</v>
      </c>
      <c r="AQ43" s="24" t="s">
        <v>1492</v>
      </c>
      <c r="AR43" s="24" t="s">
        <v>1492</v>
      </c>
      <c r="AS43" s="20"/>
      <c r="AT43" s="20"/>
      <c r="AU43" s="24" t="s">
        <v>1492</v>
      </c>
      <c r="AV43" s="24" t="s">
        <v>1492</v>
      </c>
      <c r="AW43" s="24" t="s">
        <v>1492</v>
      </c>
      <c r="AX43" s="24" t="s">
        <v>1492</v>
      </c>
      <c r="AY43" s="24" t="s">
        <v>1492</v>
      </c>
      <c r="AZ43" s="20">
        <f t="shared" si="0"/>
        <v>26</v>
      </c>
      <c r="BA43" s="20">
        <f t="shared" si="1"/>
        <v>24</v>
      </c>
      <c r="BB43" s="20">
        <f t="shared" si="2"/>
        <v>0</v>
      </c>
      <c r="BC43" s="20">
        <f t="shared" si="3"/>
        <v>0</v>
      </c>
      <c r="BD43" s="20">
        <f t="shared" si="4"/>
        <v>0</v>
      </c>
      <c r="BE43" s="20">
        <f t="shared" si="5"/>
        <v>0</v>
      </c>
      <c r="BF43" s="20">
        <f t="shared" ca="1" si="6"/>
        <v>0</v>
      </c>
      <c r="BG43" s="20">
        <f t="shared" si="7"/>
        <v>0</v>
      </c>
      <c r="BH43" s="20">
        <f t="shared" si="8"/>
        <v>0</v>
      </c>
      <c r="BI43" s="20">
        <f t="shared" si="9"/>
        <v>0</v>
      </c>
      <c r="BJ43" s="20">
        <f t="shared" si="10"/>
        <v>0</v>
      </c>
      <c r="BK43" s="20">
        <f t="shared" si="11"/>
        <v>2</v>
      </c>
      <c r="BL43" s="20">
        <f t="shared" ca="1" si="12"/>
        <v>26</v>
      </c>
      <c r="BM43" s="29">
        <v>45</v>
      </c>
      <c r="BN43" s="29">
        <v>15</v>
      </c>
      <c r="BO43" s="29">
        <v>36</v>
      </c>
      <c r="BP43" s="29">
        <v>12</v>
      </c>
      <c r="BQ43">
        <f t="shared" si="14"/>
        <v>0</v>
      </c>
    </row>
    <row r="44" spans="1:69" ht="15.75" x14ac:dyDescent="0.25">
      <c r="A44" s="20">
        <v>35</v>
      </c>
      <c r="B44" s="37" t="s">
        <v>1708</v>
      </c>
      <c r="C44" s="37" t="s">
        <v>1709</v>
      </c>
      <c r="D44" s="37" t="s">
        <v>1710</v>
      </c>
      <c r="E44" s="60" t="s">
        <v>1711</v>
      </c>
      <c r="F44" s="58" t="s">
        <v>1396</v>
      </c>
      <c r="G44" s="37" t="s">
        <v>1483</v>
      </c>
      <c r="H44" s="70">
        <v>45810</v>
      </c>
      <c r="I44" s="35" t="s">
        <v>1712</v>
      </c>
      <c r="J44" s="20" t="s">
        <v>1706</v>
      </c>
      <c r="K44" s="37" t="s">
        <v>1656</v>
      </c>
      <c r="L44" s="37" t="s">
        <v>1513</v>
      </c>
      <c r="M44" s="37" t="s">
        <v>1487</v>
      </c>
      <c r="N44" s="37" t="s">
        <v>1506</v>
      </c>
      <c r="O44" s="37" t="s">
        <v>1532</v>
      </c>
      <c r="P44" s="37"/>
      <c r="Q44" s="37"/>
      <c r="R44" s="37" t="s">
        <v>1713</v>
      </c>
      <c r="S44" s="37" t="s">
        <v>1490</v>
      </c>
      <c r="T44" s="37" t="s">
        <v>1714</v>
      </c>
      <c r="U44" s="24" t="s">
        <v>1492</v>
      </c>
      <c r="V44" s="24" t="s">
        <v>1492</v>
      </c>
      <c r="W44" s="24" t="s">
        <v>1492</v>
      </c>
      <c r="X44" s="26" t="s">
        <v>1493</v>
      </c>
      <c r="Y44" s="24" t="s">
        <v>1492</v>
      </c>
      <c r="Z44" s="24" t="s">
        <v>1492</v>
      </c>
      <c r="AA44" s="24" t="s">
        <v>1492</v>
      </c>
      <c r="AB44" s="24" t="s">
        <v>1492</v>
      </c>
      <c r="AC44" s="24" t="s">
        <v>1492</v>
      </c>
      <c r="AD44" s="24" t="s">
        <v>1492</v>
      </c>
      <c r="AE44" s="20"/>
      <c r="AF44" s="20"/>
      <c r="AG44" s="24" t="s">
        <v>1492</v>
      </c>
      <c r="AH44" s="24" t="s">
        <v>1492</v>
      </c>
      <c r="AI44" s="24" t="s">
        <v>1492</v>
      </c>
      <c r="AJ44" s="24" t="s">
        <v>1492</v>
      </c>
      <c r="AK44" s="24" t="s">
        <v>1492</v>
      </c>
      <c r="AL44" s="24" t="s">
        <v>1492</v>
      </c>
      <c r="AM44" s="26" t="s">
        <v>1493</v>
      </c>
      <c r="AN44" s="24" t="s">
        <v>1492</v>
      </c>
      <c r="AO44" s="24" t="s">
        <v>1492</v>
      </c>
      <c r="AP44" s="24" t="s">
        <v>1492</v>
      </c>
      <c r="AQ44" s="24" t="s">
        <v>1492</v>
      </c>
      <c r="AR44" s="24" t="s">
        <v>1492</v>
      </c>
      <c r="AS44" s="20"/>
      <c r="AT44" s="20"/>
      <c r="AU44" s="24" t="s">
        <v>1492</v>
      </c>
      <c r="AV44" s="24" t="s">
        <v>1492</v>
      </c>
      <c r="AW44" s="24" t="s">
        <v>1492</v>
      </c>
      <c r="AX44" s="24" t="s">
        <v>1492</v>
      </c>
      <c r="AY44" s="24" t="s">
        <v>1492</v>
      </c>
      <c r="AZ44" s="20">
        <f t="shared" si="0"/>
        <v>27</v>
      </c>
      <c r="BA44" s="20">
        <f t="shared" si="1"/>
        <v>25</v>
      </c>
      <c r="BB44" s="20">
        <f t="shared" si="2"/>
        <v>0</v>
      </c>
      <c r="BC44" s="20">
        <f t="shared" si="3"/>
        <v>0</v>
      </c>
      <c r="BD44" s="20">
        <f t="shared" si="4"/>
        <v>0</v>
      </c>
      <c r="BE44" s="20">
        <f t="shared" si="5"/>
        <v>0</v>
      </c>
      <c r="BF44" s="20">
        <f t="shared" ca="1" si="6"/>
        <v>0</v>
      </c>
      <c r="BG44" s="20">
        <f t="shared" si="7"/>
        <v>0</v>
      </c>
      <c r="BH44" s="20">
        <f t="shared" si="8"/>
        <v>0</v>
      </c>
      <c r="BI44" s="20">
        <f t="shared" si="9"/>
        <v>0</v>
      </c>
      <c r="BJ44" s="20">
        <f t="shared" si="10"/>
        <v>0</v>
      </c>
      <c r="BK44" s="20">
        <f t="shared" si="11"/>
        <v>2</v>
      </c>
      <c r="BL44" s="20">
        <f t="shared" ca="1" si="12"/>
        <v>27</v>
      </c>
      <c r="BM44" s="29">
        <v>45</v>
      </c>
      <c r="BN44" s="29">
        <v>15</v>
      </c>
      <c r="BO44" s="29">
        <v>36</v>
      </c>
      <c r="BP44" s="29">
        <v>12</v>
      </c>
      <c r="BQ44">
        <f t="shared" si="14"/>
        <v>0</v>
      </c>
    </row>
    <row r="45" spans="1:69" ht="15.75" x14ac:dyDescent="0.25">
      <c r="A45" s="20">
        <v>42</v>
      </c>
      <c r="B45" s="37" t="s">
        <v>1715</v>
      </c>
      <c r="C45" s="37" t="s">
        <v>1716</v>
      </c>
      <c r="D45" s="37" t="s">
        <v>1717</v>
      </c>
      <c r="E45" s="37" t="s">
        <v>1718</v>
      </c>
      <c r="F45" s="58" t="s">
        <v>1436</v>
      </c>
      <c r="G45" s="37" t="s">
        <v>1483</v>
      </c>
      <c r="H45" s="70">
        <v>45695</v>
      </c>
      <c r="I45" s="35" t="s">
        <v>1712</v>
      </c>
      <c r="J45" s="35" t="s">
        <v>1706</v>
      </c>
      <c r="K45" s="37" t="s">
        <v>1656</v>
      </c>
      <c r="L45" s="37" t="s">
        <v>1513</v>
      </c>
      <c r="M45" s="37" t="s">
        <v>1487</v>
      </c>
      <c r="N45" s="37" t="s">
        <v>1506</v>
      </c>
      <c r="O45" s="20" t="s">
        <v>1532</v>
      </c>
      <c r="P45" s="37"/>
      <c r="Q45" s="37"/>
      <c r="R45" s="37" t="s">
        <v>1719</v>
      </c>
      <c r="S45" s="37" t="s">
        <v>1521</v>
      </c>
      <c r="T45" s="37" t="s">
        <v>1720</v>
      </c>
      <c r="U45" s="24" t="s">
        <v>1492</v>
      </c>
      <c r="V45" s="24" t="s">
        <v>1492</v>
      </c>
      <c r="W45" s="24" t="s">
        <v>1492</v>
      </c>
      <c r="X45" s="24" t="s">
        <v>1492</v>
      </c>
      <c r="Y45" s="26" t="s">
        <v>1493</v>
      </c>
      <c r="Z45" s="24" t="s">
        <v>1492</v>
      </c>
      <c r="AA45" s="24" t="s">
        <v>1492</v>
      </c>
      <c r="AB45" s="24" t="s">
        <v>1492</v>
      </c>
      <c r="AC45" s="24" t="s">
        <v>1492</v>
      </c>
      <c r="AD45" s="24" t="s">
        <v>1492</v>
      </c>
      <c r="AE45" s="20"/>
      <c r="AF45" s="20"/>
      <c r="AG45" s="24" t="s">
        <v>1492</v>
      </c>
      <c r="AH45" s="24" t="s">
        <v>1492</v>
      </c>
      <c r="AI45" s="24" t="s">
        <v>1492</v>
      </c>
      <c r="AJ45" s="24" t="s">
        <v>1492</v>
      </c>
      <c r="AK45" s="24" t="s">
        <v>1492</v>
      </c>
      <c r="AL45" s="24" t="s">
        <v>1492</v>
      </c>
      <c r="AM45" s="26" t="s">
        <v>1493</v>
      </c>
      <c r="AN45" s="24" t="s">
        <v>1492</v>
      </c>
      <c r="AO45" s="24" t="s">
        <v>1492</v>
      </c>
      <c r="AP45" s="24" t="s">
        <v>1492</v>
      </c>
      <c r="AQ45" s="24" t="s">
        <v>1492</v>
      </c>
      <c r="AR45" s="24" t="s">
        <v>1492</v>
      </c>
      <c r="AS45" s="20"/>
      <c r="AT45" s="20"/>
      <c r="AU45" s="24" t="s">
        <v>1492</v>
      </c>
      <c r="AV45" s="24" t="s">
        <v>1492</v>
      </c>
      <c r="AW45" s="24" t="s">
        <v>1492</v>
      </c>
      <c r="AX45" s="24" t="s">
        <v>1492</v>
      </c>
      <c r="AY45" s="24" t="s">
        <v>1492</v>
      </c>
      <c r="AZ45" s="20">
        <f t="shared" si="0"/>
        <v>27</v>
      </c>
      <c r="BA45" s="20">
        <f t="shared" si="1"/>
        <v>25</v>
      </c>
      <c r="BB45" s="20">
        <f t="shared" si="2"/>
        <v>0</v>
      </c>
      <c r="BC45" s="20">
        <f t="shared" si="3"/>
        <v>0</v>
      </c>
      <c r="BD45" s="20">
        <f t="shared" si="4"/>
        <v>0</v>
      </c>
      <c r="BE45" s="20">
        <f t="shared" si="5"/>
        <v>0</v>
      </c>
      <c r="BF45" s="20">
        <f t="shared" ca="1" si="6"/>
        <v>0</v>
      </c>
      <c r="BG45" s="20">
        <f t="shared" si="7"/>
        <v>0</v>
      </c>
      <c r="BH45" s="20">
        <f t="shared" si="8"/>
        <v>0</v>
      </c>
      <c r="BI45" s="20">
        <f t="shared" si="9"/>
        <v>0</v>
      </c>
      <c r="BJ45" s="20">
        <f t="shared" si="10"/>
        <v>0</v>
      </c>
      <c r="BK45" s="20">
        <f t="shared" si="11"/>
        <v>2</v>
      </c>
      <c r="BL45" s="20">
        <f t="shared" ca="1" si="12"/>
        <v>27</v>
      </c>
      <c r="BM45" s="29">
        <v>45</v>
      </c>
      <c r="BN45" s="29">
        <v>15</v>
      </c>
      <c r="BO45" s="29">
        <v>36</v>
      </c>
      <c r="BP45" s="29">
        <v>12</v>
      </c>
      <c r="BQ45">
        <f t="shared" si="14"/>
        <v>0</v>
      </c>
    </row>
    <row r="46" spans="1:69" ht="15.75" x14ac:dyDescent="0.25">
      <c r="A46" s="20">
        <v>43</v>
      </c>
      <c r="B46" s="60" t="s">
        <v>1721</v>
      </c>
      <c r="C46" s="60" t="s">
        <v>1722</v>
      </c>
      <c r="D46" s="60" t="s">
        <v>1722</v>
      </c>
      <c r="E46" s="60" t="s">
        <v>1723</v>
      </c>
      <c r="F46" s="61" t="s">
        <v>1388</v>
      </c>
      <c r="G46" s="20" t="s">
        <v>1564</v>
      </c>
      <c r="H46" s="49">
        <v>46064</v>
      </c>
      <c r="I46" s="20" t="s">
        <v>1705</v>
      </c>
      <c r="J46" s="35" t="s">
        <v>1706</v>
      </c>
      <c r="K46" s="37" t="s">
        <v>1656</v>
      </c>
      <c r="L46" s="37" t="s">
        <v>1513</v>
      </c>
      <c r="M46" s="20" t="s">
        <v>1487</v>
      </c>
      <c r="N46" s="20" t="s">
        <v>1532</v>
      </c>
      <c r="O46" s="20" t="s">
        <v>1532</v>
      </c>
      <c r="P46" s="20"/>
      <c r="Q46" s="20"/>
      <c r="R46" s="20"/>
      <c r="S46" s="37" t="s">
        <v>1617</v>
      </c>
      <c r="T46" s="20"/>
      <c r="U46" s="28" t="s">
        <v>1492</v>
      </c>
      <c r="V46" s="28" t="s">
        <v>1492</v>
      </c>
      <c r="W46" s="24" t="s">
        <v>1492</v>
      </c>
      <c r="X46" s="26" t="s">
        <v>1493</v>
      </c>
      <c r="Y46" s="26" t="s">
        <v>1493</v>
      </c>
      <c r="Z46" s="24" t="s">
        <v>1492</v>
      </c>
      <c r="AA46" s="24" t="s">
        <v>1492</v>
      </c>
      <c r="AB46" s="24" t="s">
        <v>1492</v>
      </c>
      <c r="AC46" s="24" t="s">
        <v>1492</v>
      </c>
      <c r="AD46" s="24" t="s">
        <v>1492</v>
      </c>
      <c r="AE46" s="20"/>
      <c r="AF46" s="20"/>
      <c r="AG46" s="24" t="s">
        <v>1492</v>
      </c>
      <c r="AH46" s="24" t="s">
        <v>1492</v>
      </c>
      <c r="AI46" s="24" t="s">
        <v>1492</v>
      </c>
      <c r="AJ46" s="24" t="s">
        <v>1492</v>
      </c>
      <c r="AK46" s="24" t="s">
        <v>1492</v>
      </c>
      <c r="AL46" s="24" t="s">
        <v>1492</v>
      </c>
      <c r="AM46" s="26" t="s">
        <v>1493</v>
      </c>
      <c r="AN46" s="24" t="s">
        <v>1492</v>
      </c>
      <c r="AO46" s="24" t="s">
        <v>1492</v>
      </c>
      <c r="AP46" s="24" t="s">
        <v>1492</v>
      </c>
      <c r="AQ46" s="24" t="s">
        <v>1492</v>
      </c>
      <c r="AR46" s="24" t="s">
        <v>1492</v>
      </c>
      <c r="AS46" s="20"/>
      <c r="AT46" s="20"/>
      <c r="AU46" s="24" t="s">
        <v>1492</v>
      </c>
      <c r="AV46" s="24" t="s">
        <v>1492</v>
      </c>
      <c r="AW46" s="24" t="s">
        <v>1492</v>
      </c>
      <c r="AX46" s="24" t="s">
        <v>1492</v>
      </c>
      <c r="AY46" s="45" t="s">
        <v>1582</v>
      </c>
      <c r="AZ46" s="20">
        <f t="shared" si="0"/>
        <v>27</v>
      </c>
      <c r="BA46" s="20">
        <f t="shared" si="1"/>
        <v>23</v>
      </c>
      <c r="BB46" s="20">
        <f t="shared" si="2"/>
        <v>0</v>
      </c>
      <c r="BC46" s="20">
        <f t="shared" si="3"/>
        <v>0</v>
      </c>
      <c r="BD46" s="20">
        <f t="shared" si="4"/>
        <v>0</v>
      </c>
      <c r="BE46" s="20">
        <f t="shared" si="5"/>
        <v>0</v>
      </c>
      <c r="BF46" s="20">
        <f t="shared" ca="1" si="6"/>
        <v>0</v>
      </c>
      <c r="BG46" s="20">
        <f t="shared" si="7"/>
        <v>0</v>
      </c>
      <c r="BH46" s="20">
        <f t="shared" si="8"/>
        <v>0</v>
      </c>
      <c r="BI46" s="20">
        <f t="shared" si="9"/>
        <v>0</v>
      </c>
      <c r="BJ46" s="20">
        <f t="shared" si="10"/>
        <v>0</v>
      </c>
      <c r="BK46" s="20">
        <f t="shared" si="11"/>
        <v>3</v>
      </c>
      <c r="BL46" s="20">
        <f t="shared" ca="1" si="12"/>
        <v>26</v>
      </c>
      <c r="BM46" s="29">
        <v>45</v>
      </c>
      <c r="BN46" s="29">
        <v>15</v>
      </c>
      <c r="BO46" s="29">
        <v>36</v>
      </c>
      <c r="BP46" s="29">
        <v>12</v>
      </c>
      <c r="BQ46">
        <f t="shared" si="14"/>
        <v>0</v>
      </c>
    </row>
    <row r="47" spans="1:69" ht="15.75" x14ac:dyDescent="0.25">
      <c r="A47" s="20">
        <v>44</v>
      </c>
      <c r="B47" s="20" t="s">
        <v>1724</v>
      </c>
      <c r="C47" s="35" t="s">
        <v>1725</v>
      </c>
      <c r="D47" s="35" t="s">
        <v>1726</v>
      </c>
      <c r="E47" s="20" t="s">
        <v>1727</v>
      </c>
      <c r="F47" s="21" t="s">
        <v>1430</v>
      </c>
      <c r="G47" s="20" t="s">
        <v>1483</v>
      </c>
      <c r="H47" s="22">
        <v>45867</v>
      </c>
      <c r="I47" s="35" t="s">
        <v>1712</v>
      </c>
      <c r="J47" s="20" t="s">
        <v>1706</v>
      </c>
      <c r="K47" s="37" t="s">
        <v>1656</v>
      </c>
      <c r="L47" s="20" t="s">
        <v>1513</v>
      </c>
      <c r="M47" s="20" t="s">
        <v>1487</v>
      </c>
      <c r="N47" s="20" t="s">
        <v>1526</v>
      </c>
      <c r="O47" s="20" t="s">
        <v>1488</v>
      </c>
      <c r="P47" s="20">
        <v>9401008194</v>
      </c>
      <c r="Q47" s="20"/>
      <c r="R47" s="20"/>
      <c r="S47" s="20" t="s">
        <v>1498</v>
      </c>
      <c r="T47" s="20" t="s">
        <v>1728</v>
      </c>
      <c r="U47" s="28" t="s">
        <v>1492</v>
      </c>
      <c r="V47" s="28" t="s">
        <v>1492</v>
      </c>
      <c r="W47" s="24" t="s">
        <v>1492</v>
      </c>
      <c r="X47" s="26" t="s">
        <v>1493</v>
      </c>
      <c r="Y47" s="24" t="s">
        <v>1492</v>
      </c>
      <c r="Z47" s="24" t="s">
        <v>1492</v>
      </c>
      <c r="AA47" s="24" t="s">
        <v>1492</v>
      </c>
      <c r="AB47" s="24" t="s">
        <v>1492</v>
      </c>
      <c r="AC47" s="24" t="s">
        <v>1492</v>
      </c>
      <c r="AD47" s="24" t="s">
        <v>1492</v>
      </c>
      <c r="AE47" s="20"/>
      <c r="AF47" s="55" t="s">
        <v>1594</v>
      </c>
      <c r="AG47" s="24" t="s">
        <v>1492</v>
      </c>
      <c r="AH47" s="24" t="s">
        <v>1492</v>
      </c>
      <c r="AI47" s="24" t="s">
        <v>1492</v>
      </c>
      <c r="AJ47" s="24" t="s">
        <v>1492</v>
      </c>
      <c r="AK47" s="24" t="s">
        <v>1492</v>
      </c>
      <c r="AL47" s="26" t="s">
        <v>1493</v>
      </c>
      <c r="AM47" s="45" t="s">
        <v>1582</v>
      </c>
      <c r="AN47" s="45" t="s">
        <v>1582</v>
      </c>
      <c r="AO47" s="45" t="s">
        <v>1582</v>
      </c>
      <c r="AP47" s="45" t="s">
        <v>1582</v>
      </c>
      <c r="AQ47" s="45" t="s">
        <v>1582</v>
      </c>
      <c r="AR47" s="45" t="s">
        <v>1582</v>
      </c>
      <c r="AS47" s="45" t="s">
        <v>1582</v>
      </c>
      <c r="AT47" s="45" t="s">
        <v>1582</v>
      </c>
      <c r="AU47" s="24" t="s">
        <v>1492</v>
      </c>
      <c r="AV47" s="24" t="s">
        <v>1492</v>
      </c>
      <c r="AW47" s="24" t="s">
        <v>1492</v>
      </c>
      <c r="AX47" s="24" t="s">
        <v>1492</v>
      </c>
      <c r="AY47" s="24" t="s">
        <v>1492</v>
      </c>
      <c r="AZ47" s="20">
        <f t="shared" si="0"/>
        <v>30</v>
      </c>
      <c r="BA47" s="20">
        <f t="shared" si="1"/>
        <v>19</v>
      </c>
      <c r="BB47" s="20">
        <f t="shared" si="2"/>
        <v>0</v>
      </c>
      <c r="BC47" s="20">
        <f t="shared" si="3"/>
        <v>0</v>
      </c>
      <c r="BD47" s="20">
        <f t="shared" si="4"/>
        <v>0</v>
      </c>
      <c r="BE47" s="20">
        <f t="shared" si="5"/>
        <v>0</v>
      </c>
      <c r="BF47" s="20">
        <f t="shared" ca="1" si="6"/>
        <v>0</v>
      </c>
      <c r="BG47" s="20">
        <f t="shared" si="7"/>
        <v>0</v>
      </c>
      <c r="BH47" s="20">
        <f t="shared" si="8"/>
        <v>0</v>
      </c>
      <c r="BI47" s="20">
        <f t="shared" si="9"/>
        <v>0</v>
      </c>
      <c r="BJ47" s="20">
        <f t="shared" si="10"/>
        <v>1</v>
      </c>
      <c r="BK47" s="20">
        <f t="shared" si="11"/>
        <v>2</v>
      </c>
      <c r="BL47" s="20">
        <f t="shared" ca="1" si="12"/>
        <v>21</v>
      </c>
      <c r="BM47" s="29">
        <v>45</v>
      </c>
      <c r="BN47" s="29">
        <v>15</v>
      </c>
      <c r="BO47" s="29">
        <v>36</v>
      </c>
      <c r="BP47" s="29">
        <v>12</v>
      </c>
      <c r="BQ47">
        <f t="shared" si="14"/>
        <v>0</v>
      </c>
    </row>
    <row r="48" spans="1:69" x14ac:dyDescent="0.25">
      <c r="A48" s="20">
        <v>46</v>
      </c>
      <c r="B48" s="20" t="s">
        <v>1729</v>
      </c>
      <c r="C48" s="20" t="s">
        <v>1730</v>
      </c>
      <c r="D48" s="20" t="s">
        <v>1731</v>
      </c>
      <c r="E48" s="20" t="s">
        <v>1732</v>
      </c>
      <c r="F48" s="21" t="s">
        <v>1431</v>
      </c>
      <c r="G48" s="20" t="s">
        <v>1483</v>
      </c>
      <c r="H48" s="20">
        <v>45867</v>
      </c>
      <c r="I48" s="20" t="s">
        <v>1705</v>
      </c>
      <c r="J48" s="20" t="s">
        <v>1706</v>
      </c>
      <c r="K48" s="20" t="s">
        <v>1656</v>
      </c>
      <c r="L48" s="20" t="s">
        <v>1513</v>
      </c>
      <c r="M48" s="20" t="s">
        <v>1487</v>
      </c>
      <c r="N48" s="20" t="s">
        <v>1526</v>
      </c>
      <c r="O48" s="20" t="s">
        <v>1488</v>
      </c>
      <c r="P48" s="20"/>
      <c r="Q48" s="20" t="s">
        <v>1488</v>
      </c>
      <c r="R48" s="20" t="s">
        <v>1488</v>
      </c>
      <c r="S48" s="20" t="s">
        <v>1733</v>
      </c>
      <c r="T48" s="20" t="s">
        <v>1734</v>
      </c>
      <c r="U48" s="24" t="s">
        <v>1492</v>
      </c>
      <c r="V48" s="24" t="s">
        <v>1492</v>
      </c>
      <c r="W48" s="24" t="s">
        <v>1492</v>
      </c>
      <c r="X48" s="26" t="s">
        <v>1493</v>
      </c>
      <c r="Y48" s="24" t="s">
        <v>1492</v>
      </c>
      <c r="Z48" s="24" t="s">
        <v>1492</v>
      </c>
      <c r="AA48" s="28" t="s">
        <v>1492</v>
      </c>
      <c r="AB48" s="24" t="s">
        <v>1492</v>
      </c>
      <c r="AC48" s="28" t="s">
        <v>1492</v>
      </c>
      <c r="AD48" s="28" t="s">
        <v>1492</v>
      </c>
      <c r="AE48" s="20"/>
      <c r="AF48" s="20"/>
      <c r="AG48" s="24" t="s">
        <v>1492</v>
      </c>
      <c r="AH48" s="24" t="s">
        <v>1492</v>
      </c>
      <c r="AI48" s="24" t="s">
        <v>1492</v>
      </c>
      <c r="AJ48" s="24" t="s">
        <v>1492</v>
      </c>
      <c r="AK48" s="24" t="s">
        <v>1492</v>
      </c>
      <c r="AL48" s="24" t="s">
        <v>1492</v>
      </c>
      <c r="AM48" s="26" t="s">
        <v>1493</v>
      </c>
      <c r="AN48" s="24" t="s">
        <v>1492</v>
      </c>
      <c r="AO48" s="24" t="s">
        <v>1492</v>
      </c>
      <c r="AP48" s="45" t="s">
        <v>1582</v>
      </c>
      <c r="AQ48" s="24" t="s">
        <v>1492</v>
      </c>
      <c r="AR48" s="24" t="s">
        <v>1492</v>
      </c>
      <c r="AS48" s="20"/>
      <c r="AT48" s="20"/>
      <c r="AU48" s="24" t="s">
        <v>1492</v>
      </c>
      <c r="AV48" s="24" t="s">
        <v>1492</v>
      </c>
      <c r="AW48" s="24" t="s">
        <v>1492</v>
      </c>
      <c r="AX48" s="24" t="s">
        <v>1492</v>
      </c>
      <c r="AY48" s="24" t="s">
        <v>1492</v>
      </c>
      <c r="AZ48" s="20">
        <f t="shared" si="0"/>
        <v>27</v>
      </c>
      <c r="BA48" s="20">
        <f t="shared" si="1"/>
        <v>24</v>
      </c>
      <c r="BB48" s="20">
        <f t="shared" si="2"/>
        <v>0</v>
      </c>
      <c r="BC48" s="20">
        <f t="shared" si="3"/>
        <v>0</v>
      </c>
      <c r="BD48" s="20">
        <f t="shared" si="4"/>
        <v>0</v>
      </c>
      <c r="BE48" s="20">
        <f t="shared" si="5"/>
        <v>0</v>
      </c>
      <c r="BF48" s="20">
        <f t="shared" ca="1" si="6"/>
        <v>0</v>
      </c>
      <c r="BG48" s="20">
        <f t="shared" si="7"/>
        <v>0</v>
      </c>
      <c r="BH48" s="20">
        <f t="shared" si="8"/>
        <v>0</v>
      </c>
      <c r="BI48" s="20">
        <f t="shared" si="9"/>
        <v>0</v>
      </c>
      <c r="BJ48" s="20">
        <f t="shared" si="10"/>
        <v>0</v>
      </c>
      <c r="BK48" s="20">
        <f t="shared" si="11"/>
        <v>2</v>
      </c>
      <c r="BL48" s="20">
        <f t="shared" ca="1" si="12"/>
        <v>26</v>
      </c>
      <c r="BM48" s="29">
        <v>45</v>
      </c>
      <c r="BN48" s="29">
        <v>15</v>
      </c>
      <c r="BO48" s="29">
        <v>36</v>
      </c>
      <c r="BP48" s="29">
        <v>12</v>
      </c>
      <c r="BQ48">
        <f t="shared" si="14"/>
        <v>0</v>
      </c>
    </row>
  </sheetData>
  <autoFilter ref="A1:BP48" xr:uid="{48A54B81-4F8F-4B2A-BD86-D9ADEA0850DD}"/>
  <hyperlinks>
    <hyperlink ref="F2" r:id="rId1" xr:uid="{6AAF2BCF-74B7-482C-96F6-6E1FF8353F44}"/>
    <hyperlink ref="F3" r:id="rId2" xr:uid="{989681D9-94E6-458E-969E-0EF6A0B1163B}"/>
    <hyperlink ref="F4" r:id="rId3" xr:uid="{785BD9D5-87AF-45EA-BAAF-28CC3ACDA00F}"/>
    <hyperlink ref="F5" r:id="rId4" xr:uid="{2A6F27FB-0AE4-4711-B4AA-2AD1E1499266}"/>
    <hyperlink ref="F6" r:id="rId5" xr:uid="{F21D625B-FE7B-4F0D-A514-1216C2657563}"/>
    <hyperlink ref="F7" r:id="rId6" xr:uid="{9367B2A8-650D-4699-BCFE-5D542D4A0B45}"/>
    <hyperlink ref="F18" r:id="rId7" xr:uid="{1F71B492-93F8-48C1-8D94-888EE12C4F56}"/>
    <hyperlink ref="F19" r:id="rId8" xr:uid="{AA26D609-7FEF-4FDC-B97D-B2C73CFE9978}"/>
    <hyperlink ref="F20" r:id="rId9" xr:uid="{9BB64020-AA2B-435F-9BF8-A89B23551F34}"/>
    <hyperlink ref="F21" r:id="rId10" xr:uid="{6D220AC1-E8EB-48BD-B3B6-011D8232644B}"/>
    <hyperlink ref="F22" r:id="rId11" xr:uid="{E5F5E522-0A77-459D-B123-F0FD125CB7D3}"/>
    <hyperlink ref="F26" r:id="rId12" xr:uid="{C48E45CC-3F6B-4F70-8E16-AF621F4643E9}"/>
    <hyperlink ref="F34" r:id="rId13" xr:uid="{F93D535B-4E48-4706-B269-F5911C70BA16}"/>
    <hyperlink ref="F35" r:id="rId14" xr:uid="{B1A3E544-EE21-491F-8D86-B82DD03C2649}"/>
    <hyperlink ref="F36" r:id="rId15" xr:uid="{5A1502F3-426A-421F-8D26-800093E33671}"/>
    <hyperlink ref="F37" r:id="rId16" xr:uid="{816F8A05-D43C-4430-807A-38338489FAA6}"/>
    <hyperlink ref="F38" r:id="rId17" xr:uid="{81E6ECDF-500C-4AE7-81A9-587D22D9AFB0}"/>
    <hyperlink ref="F39" r:id="rId18" xr:uid="{04161156-EE92-47F5-A38E-F7107512F728}"/>
    <hyperlink ref="F40" r:id="rId19" xr:uid="{81DF7421-C7B4-4AD1-9118-061B23F1EB59}"/>
    <hyperlink ref="F41" r:id="rId20" xr:uid="{605209CA-47AC-4B08-94EE-39048A9441DE}"/>
    <hyperlink ref="F42" r:id="rId21" xr:uid="{6E8ECB4E-0932-48B2-8DF4-02D5336DBBD1}"/>
    <hyperlink ref="F43" r:id="rId22" xr:uid="{42039A85-15CC-4A2C-8229-F7A3E94BC902}"/>
    <hyperlink ref="F44" r:id="rId23" xr:uid="{5CE6521C-B4E5-4C1B-9DF5-0532B435F345}"/>
    <hyperlink ref="F45" r:id="rId24" xr:uid="{4FAB0178-363D-4543-97B3-65C91BC28043}"/>
    <hyperlink ref="F47" r:id="rId25" xr:uid="{3581EBAA-ED9D-4F0E-8552-CE0723659D86}"/>
    <hyperlink ref="F48" r:id="rId26" xr:uid="{F12A89E1-AB91-4E56-A9A8-7A5B6B20A266}"/>
  </hyperlinks>
  <pageMargins left="0.7" right="0.7" top="0.75" bottom="0.75" header="0.3" footer="0.3"/>
  <legacyDrawing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1AB0-49DF-4BEC-99C3-8995E578CC18}">
  <dimension ref="A1:D50"/>
  <sheetViews>
    <sheetView workbookViewId="0">
      <selection activeCell="D8" sqref="D8"/>
    </sheetView>
  </sheetViews>
  <sheetFormatPr defaultRowHeight="15" x14ac:dyDescent="0.25"/>
  <cols>
    <col min="1" max="1" width="22.42578125" bestFit="1" customWidth="1"/>
    <col min="2" max="2" width="7.140625" bestFit="1" customWidth="1"/>
    <col min="3" max="3" width="11.140625" bestFit="1" customWidth="1"/>
    <col min="4" max="4" width="21.140625" style="72" bestFit="1" customWidth="1"/>
  </cols>
  <sheetData>
    <row r="1" spans="1:4" x14ac:dyDescent="0.25">
      <c r="A1" s="19" t="s">
        <v>1793</v>
      </c>
      <c r="B1" s="19" t="s">
        <v>1452</v>
      </c>
      <c r="C1" s="19" t="s">
        <v>1791</v>
      </c>
      <c r="D1" s="81" t="s">
        <v>1792</v>
      </c>
    </row>
    <row r="2" spans="1:4" x14ac:dyDescent="0.25">
      <c r="A2" s="29" t="s">
        <v>1401</v>
      </c>
      <c r="B2" s="29" t="s">
        <v>1580</v>
      </c>
      <c r="C2" s="29">
        <v>37</v>
      </c>
      <c r="D2" s="80">
        <v>1</v>
      </c>
    </row>
    <row r="3" spans="1:4" x14ac:dyDescent="0.25">
      <c r="A3" s="29" t="s">
        <v>1397</v>
      </c>
      <c r="B3" s="29" t="s">
        <v>1656</v>
      </c>
      <c r="C3" s="29">
        <v>34</v>
      </c>
      <c r="D3" s="80">
        <v>0.99705882352941178</v>
      </c>
    </row>
    <row r="4" spans="1:4" x14ac:dyDescent="0.25">
      <c r="A4" s="29" t="s">
        <v>1392</v>
      </c>
      <c r="B4" s="29" t="s">
        <v>1656</v>
      </c>
      <c r="C4" s="29">
        <v>32</v>
      </c>
      <c r="D4" s="80">
        <v>0.99687499999999996</v>
      </c>
    </row>
    <row r="5" spans="1:4" x14ac:dyDescent="0.25">
      <c r="A5" s="29" t="s">
        <v>1430</v>
      </c>
      <c r="B5" s="29" t="s">
        <v>1656</v>
      </c>
      <c r="C5" s="29">
        <v>29</v>
      </c>
      <c r="D5" s="80">
        <v>0.98620689655172422</v>
      </c>
    </row>
    <row r="6" spans="1:4" x14ac:dyDescent="0.25">
      <c r="A6" s="29" t="s">
        <v>1398</v>
      </c>
      <c r="B6" s="29" t="s">
        <v>1485</v>
      </c>
      <c r="C6" s="29">
        <v>32</v>
      </c>
      <c r="D6" s="80">
        <v>0.98593749999999991</v>
      </c>
    </row>
    <row r="7" spans="1:4" x14ac:dyDescent="0.25">
      <c r="A7" s="29" t="s">
        <v>1389</v>
      </c>
      <c r="B7" s="29" t="s">
        <v>1656</v>
      </c>
      <c r="C7" s="29">
        <v>35</v>
      </c>
      <c r="D7" s="80">
        <v>0.98428571428571432</v>
      </c>
    </row>
    <row r="8" spans="1:4" x14ac:dyDescent="0.25">
      <c r="A8" s="29" t="s">
        <v>1437</v>
      </c>
      <c r="B8" s="29" t="s">
        <v>1580</v>
      </c>
      <c r="C8" s="29">
        <v>34</v>
      </c>
      <c r="D8" s="80">
        <v>0.98382352941176476</v>
      </c>
    </row>
    <row r="9" spans="1:4" x14ac:dyDescent="0.25">
      <c r="A9" s="29" t="s">
        <v>1407</v>
      </c>
      <c r="B9" s="29" t="s">
        <v>1656</v>
      </c>
      <c r="C9" s="29">
        <v>34</v>
      </c>
      <c r="D9" s="80">
        <v>0.98088235294117654</v>
      </c>
    </row>
    <row r="10" spans="1:4" x14ac:dyDescent="0.25">
      <c r="A10" s="29" t="s">
        <v>1402</v>
      </c>
      <c r="B10" s="29" t="s">
        <v>1485</v>
      </c>
      <c r="C10" s="29">
        <v>34</v>
      </c>
      <c r="D10" s="80">
        <v>0.96911764705882342</v>
      </c>
    </row>
    <row r="11" spans="1:4" x14ac:dyDescent="0.25">
      <c r="A11" s="29" t="s">
        <v>1425</v>
      </c>
      <c r="B11" s="29" t="s">
        <v>1580</v>
      </c>
      <c r="C11" s="29">
        <v>34</v>
      </c>
      <c r="D11" s="80">
        <v>0.96764705882352942</v>
      </c>
    </row>
    <row r="12" spans="1:4" x14ac:dyDescent="0.25">
      <c r="A12" s="29" t="s">
        <v>1400</v>
      </c>
      <c r="B12" s="29" t="s">
        <v>1656</v>
      </c>
      <c r="C12" s="29">
        <v>32</v>
      </c>
      <c r="D12" s="80">
        <v>0.96249999999999991</v>
      </c>
    </row>
    <row r="13" spans="1:4" x14ac:dyDescent="0.25">
      <c r="A13" s="29" t="s">
        <v>1396</v>
      </c>
      <c r="B13" s="29" t="s">
        <v>1656</v>
      </c>
      <c r="C13" s="29">
        <v>34</v>
      </c>
      <c r="D13" s="80">
        <v>0.95588235294117652</v>
      </c>
    </row>
    <row r="14" spans="1:4" x14ac:dyDescent="0.25">
      <c r="A14" s="29" t="s">
        <v>1388</v>
      </c>
      <c r="B14" s="29" t="s">
        <v>1656</v>
      </c>
      <c r="C14" s="29">
        <v>34</v>
      </c>
      <c r="D14" s="80">
        <v>0.95</v>
      </c>
    </row>
    <row r="15" spans="1:4" x14ac:dyDescent="0.25">
      <c r="A15" s="29" t="s">
        <v>1433</v>
      </c>
      <c r="B15" s="29" t="s">
        <v>1656</v>
      </c>
      <c r="C15" s="29">
        <v>29</v>
      </c>
      <c r="D15" s="80">
        <v>0.95</v>
      </c>
    </row>
    <row r="16" spans="1:4" x14ac:dyDescent="0.25">
      <c r="A16" s="29" t="s">
        <v>1421</v>
      </c>
      <c r="B16" s="29" t="s">
        <v>1580</v>
      </c>
      <c r="C16" s="29">
        <v>34</v>
      </c>
      <c r="D16" s="80">
        <v>0.94117647058823528</v>
      </c>
    </row>
    <row r="17" spans="1:4" x14ac:dyDescent="0.25">
      <c r="A17" s="29" t="s">
        <v>1404</v>
      </c>
      <c r="B17" s="29" t="s">
        <v>1485</v>
      </c>
      <c r="C17" s="29">
        <v>34</v>
      </c>
      <c r="D17" s="80">
        <v>0.94117647058823528</v>
      </c>
    </row>
    <row r="18" spans="1:4" x14ac:dyDescent="0.25">
      <c r="A18" s="29" t="s">
        <v>1413</v>
      </c>
      <c r="B18" s="29" t="s">
        <v>1580</v>
      </c>
      <c r="C18" s="29">
        <v>35</v>
      </c>
      <c r="D18" s="80">
        <v>0.93857142857142861</v>
      </c>
    </row>
    <row r="19" spans="1:4" x14ac:dyDescent="0.25">
      <c r="A19" s="29" t="s">
        <v>1434</v>
      </c>
      <c r="B19" s="29" t="s">
        <v>1580</v>
      </c>
      <c r="C19" s="29">
        <v>34</v>
      </c>
      <c r="D19" s="80">
        <v>0.93235294117647061</v>
      </c>
    </row>
    <row r="20" spans="1:4" x14ac:dyDescent="0.25">
      <c r="A20" s="29" t="s">
        <v>1428</v>
      </c>
      <c r="B20" s="29" t="s">
        <v>1485</v>
      </c>
      <c r="C20" s="29">
        <v>34</v>
      </c>
      <c r="D20" s="80">
        <v>0.92941176470588227</v>
      </c>
    </row>
    <row r="21" spans="1:4" x14ac:dyDescent="0.25">
      <c r="A21" s="29" t="s">
        <v>1431</v>
      </c>
      <c r="B21" s="29" t="s">
        <v>1656</v>
      </c>
      <c r="C21" s="29">
        <v>32</v>
      </c>
      <c r="D21" s="80">
        <v>0.92656249999999996</v>
      </c>
    </row>
    <row r="22" spans="1:4" x14ac:dyDescent="0.25">
      <c r="A22" s="29" t="s">
        <v>1419</v>
      </c>
      <c r="B22" s="29" t="s">
        <v>1485</v>
      </c>
      <c r="C22" s="29">
        <v>13</v>
      </c>
      <c r="D22" s="80">
        <v>0.92307692307692313</v>
      </c>
    </row>
    <row r="23" spans="1:4" x14ac:dyDescent="0.25">
      <c r="A23" s="29" t="s">
        <v>1393</v>
      </c>
      <c r="B23" s="29" t="s">
        <v>1580</v>
      </c>
      <c r="C23" s="29">
        <v>30</v>
      </c>
      <c r="D23" s="80">
        <v>0.91999999999999993</v>
      </c>
    </row>
    <row r="24" spans="1:4" x14ac:dyDescent="0.25">
      <c r="A24" s="29" t="s">
        <v>1409</v>
      </c>
      <c r="B24" s="29" t="s">
        <v>1580</v>
      </c>
      <c r="C24" s="29">
        <v>36</v>
      </c>
      <c r="D24" s="80">
        <v>0.91250000000000009</v>
      </c>
    </row>
    <row r="25" spans="1:4" x14ac:dyDescent="0.25">
      <c r="A25" s="29" t="s">
        <v>1426</v>
      </c>
      <c r="B25" s="29" t="s">
        <v>1580</v>
      </c>
      <c r="C25" s="29">
        <v>32</v>
      </c>
      <c r="D25" s="80">
        <v>0.90625</v>
      </c>
    </row>
    <row r="26" spans="1:4" x14ac:dyDescent="0.25">
      <c r="A26" s="29" t="s">
        <v>1390</v>
      </c>
      <c r="B26" s="29" t="s">
        <v>1656</v>
      </c>
      <c r="C26" s="29">
        <v>29</v>
      </c>
      <c r="D26" s="80">
        <v>0.89827586206896559</v>
      </c>
    </row>
    <row r="27" spans="1:4" x14ac:dyDescent="0.25">
      <c r="A27" s="29" t="s">
        <v>1415</v>
      </c>
      <c r="B27" s="29" t="s">
        <v>1656</v>
      </c>
      <c r="C27" s="29">
        <v>34</v>
      </c>
      <c r="D27" s="80">
        <v>0.8970588235294118</v>
      </c>
    </row>
    <row r="28" spans="1:4" x14ac:dyDescent="0.25">
      <c r="A28" s="29" t="s">
        <v>1420</v>
      </c>
      <c r="B28" s="29" t="s">
        <v>1656</v>
      </c>
      <c r="C28" s="29">
        <v>31</v>
      </c>
      <c r="D28" s="80">
        <v>0.8935483870967742</v>
      </c>
    </row>
    <row r="29" spans="1:4" x14ac:dyDescent="0.25">
      <c r="A29" s="29" t="s">
        <v>1436</v>
      </c>
      <c r="B29" s="29" t="s">
        <v>1656</v>
      </c>
      <c r="C29" s="29">
        <v>34</v>
      </c>
      <c r="D29" s="80">
        <v>0.88970588235294124</v>
      </c>
    </row>
    <row r="30" spans="1:4" x14ac:dyDescent="0.25">
      <c r="A30" s="29" t="s">
        <v>1399</v>
      </c>
      <c r="B30" s="29" t="s">
        <v>1485</v>
      </c>
      <c r="C30" s="29">
        <v>34</v>
      </c>
      <c r="D30" s="80">
        <v>0.88970588235294112</v>
      </c>
    </row>
    <row r="31" spans="1:4" x14ac:dyDescent="0.25">
      <c r="A31" s="29" t="s">
        <v>1438</v>
      </c>
      <c r="B31" s="29" t="s">
        <v>1656</v>
      </c>
      <c r="C31" s="29">
        <v>39</v>
      </c>
      <c r="D31" s="80">
        <v>0.88589743589743586</v>
      </c>
    </row>
    <row r="32" spans="1:4" x14ac:dyDescent="0.25">
      <c r="A32" s="29" t="s">
        <v>1405</v>
      </c>
      <c r="B32" s="29" t="s">
        <v>1580</v>
      </c>
      <c r="C32" s="29">
        <v>34</v>
      </c>
      <c r="D32" s="80">
        <v>0.88235294117647056</v>
      </c>
    </row>
    <row r="33" spans="1:4" x14ac:dyDescent="0.25">
      <c r="A33" s="29" t="s">
        <v>1414</v>
      </c>
      <c r="B33" s="29" t="s">
        <v>1485</v>
      </c>
      <c r="C33" s="29">
        <v>34</v>
      </c>
      <c r="D33" s="80">
        <v>0.876470588235294</v>
      </c>
    </row>
    <row r="34" spans="1:4" x14ac:dyDescent="0.25">
      <c r="A34" s="29" t="s">
        <v>1406</v>
      </c>
      <c r="B34" s="29" t="s">
        <v>1485</v>
      </c>
      <c r="C34" s="29">
        <v>33</v>
      </c>
      <c r="D34" s="80">
        <v>0.87272727272727268</v>
      </c>
    </row>
    <row r="35" spans="1:4" x14ac:dyDescent="0.25">
      <c r="A35" s="29" t="s">
        <v>1394</v>
      </c>
      <c r="B35" s="29" t="s">
        <v>1580</v>
      </c>
      <c r="C35" s="29">
        <v>36</v>
      </c>
      <c r="D35" s="80">
        <v>0.86944444444444446</v>
      </c>
    </row>
    <row r="36" spans="1:4" x14ac:dyDescent="0.25">
      <c r="A36" s="29" t="s">
        <v>1410</v>
      </c>
      <c r="B36" s="29" t="s">
        <v>1485</v>
      </c>
      <c r="C36" s="29">
        <v>34</v>
      </c>
      <c r="D36" s="80">
        <v>0.86764705882352955</v>
      </c>
    </row>
    <row r="37" spans="1:4" x14ac:dyDescent="0.25">
      <c r="A37" s="29" t="s">
        <v>1408</v>
      </c>
      <c r="B37" s="29" t="s">
        <v>1485</v>
      </c>
      <c r="C37" s="29">
        <v>36</v>
      </c>
      <c r="D37" s="80">
        <v>0.8666666666666667</v>
      </c>
    </row>
    <row r="38" spans="1:4" x14ac:dyDescent="0.25">
      <c r="A38" s="29" t="s">
        <v>1422</v>
      </c>
      <c r="B38" s="29" t="s">
        <v>1485</v>
      </c>
      <c r="C38" s="29">
        <v>36</v>
      </c>
      <c r="D38" s="80">
        <v>0.86249999999999982</v>
      </c>
    </row>
    <row r="39" spans="1:4" x14ac:dyDescent="0.25">
      <c r="A39" s="29" t="s">
        <v>1416</v>
      </c>
      <c r="B39" s="29" t="s">
        <v>1580</v>
      </c>
      <c r="C39" s="29">
        <v>37</v>
      </c>
      <c r="D39" s="80">
        <v>0.84324324324324329</v>
      </c>
    </row>
    <row r="40" spans="1:4" x14ac:dyDescent="0.25">
      <c r="A40" s="29" t="s">
        <v>1417</v>
      </c>
      <c r="B40" s="29" t="s">
        <v>1656</v>
      </c>
      <c r="C40" s="29">
        <v>34</v>
      </c>
      <c r="D40" s="80">
        <v>0.83823529411764708</v>
      </c>
    </row>
    <row r="41" spans="1:4" x14ac:dyDescent="0.25">
      <c r="A41" s="29" t="s">
        <v>1424</v>
      </c>
      <c r="B41" s="29" t="s">
        <v>1485</v>
      </c>
      <c r="C41" s="29">
        <v>34</v>
      </c>
      <c r="D41" s="80">
        <v>0.83235294117647052</v>
      </c>
    </row>
    <row r="42" spans="1:4" x14ac:dyDescent="0.25">
      <c r="A42" s="29" t="s">
        <v>1435</v>
      </c>
      <c r="B42" s="29" t="s">
        <v>1485</v>
      </c>
      <c r="C42" s="29">
        <v>34</v>
      </c>
      <c r="D42" s="80">
        <v>0.81911764705882362</v>
      </c>
    </row>
    <row r="43" spans="1:4" x14ac:dyDescent="0.25">
      <c r="A43" s="29" t="s">
        <v>1412</v>
      </c>
      <c r="B43" s="29" t="s">
        <v>1485</v>
      </c>
      <c r="C43" s="29">
        <v>34</v>
      </c>
      <c r="D43" s="80">
        <v>0.80588235294117649</v>
      </c>
    </row>
    <row r="44" spans="1:4" x14ac:dyDescent="0.25">
      <c r="A44" s="29" t="s">
        <v>1411</v>
      </c>
      <c r="B44" s="29" t="s">
        <v>1580</v>
      </c>
      <c r="C44" s="29">
        <v>34</v>
      </c>
      <c r="D44" s="80">
        <v>0.80147058823529405</v>
      </c>
    </row>
    <row r="45" spans="1:4" x14ac:dyDescent="0.25">
      <c r="A45" s="29" t="s">
        <v>1395</v>
      </c>
      <c r="B45" s="29" t="s">
        <v>1580</v>
      </c>
      <c r="C45" s="29">
        <v>34</v>
      </c>
      <c r="D45" s="80">
        <v>0.79411764705882348</v>
      </c>
    </row>
    <row r="46" spans="1:4" x14ac:dyDescent="0.25">
      <c r="A46" s="29" t="s">
        <v>1418</v>
      </c>
      <c r="B46" s="29" t="s">
        <v>1580</v>
      </c>
      <c r="C46" s="29">
        <v>34</v>
      </c>
      <c r="D46" s="80">
        <v>0.79117647058823526</v>
      </c>
    </row>
    <row r="47" spans="1:4" x14ac:dyDescent="0.25">
      <c r="A47" s="29" t="s">
        <v>1391</v>
      </c>
      <c r="B47" s="29" t="s">
        <v>1580</v>
      </c>
      <c r="C47" s="29">
        <v>34</v>
      </c>
      <c r="D47" s="80">
        <v>0.751470588235294</v>
      </c>
    </row>
    <row r="48" spans="1:4" x14ac:dyDescent="0.25">
      <c r="A48" s="29" t="s">
        <v>1403</v>
      </c>
      <c r="B48" s="29" t="s">
        <v>1656</v>
      </c>
      <c r="C48" s="29">
        <v>34</v>
      </c>
      <c r="D48" s="80">
        <v>0.72058823529411764</v>
      </c>
    </row>
    <row r="49" spans="1:4" x14ac:dyDescent="0.25">
      <c r="A49" s="29" t="s">
        <v>1427</v>
      </c>
      <c r="B49" s="29" t="s">
        <v>1485</v>
      </c>
      <c r="C49" s="29">
        <v>34</v>
      </c>
      <c r="D49" s="80">
        <v>0.625</v>
      </c>
    </row>
    <row r="50" spans="1:4" x14ac:dyDescent="0.25">
      <c r="A50" s="29" t="s">
        <v>1432</v>
      </c>
      <c r="B50" s="29" t="s">
        <v>1485</v>
      </c>
      <c r="C50" s="29">
        <v>34</v>
      </c>
      <c r="D50" s="80">
        <v>0.58529411764705874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A984-36AF-4331-B696-0F9FE5E5D0E9}">
  <dimension ref="A1:F22"/>
  <sheetViews>
    <sheetView workbookViewId="0">
      <selection activeCell="H9" sqref="H9"/>
    </sheetView>
  </sheetViews>
  <sheetFormatPr defaultRowHeight="15" x14ac:dyDescent="0.25"/>
  <cols>
    <col min="1" max="1" width="22.42578125" bestFit="1" customWidth="1"/>
    <col min="2" max="2" width="20.140625" bestFit="1" customWidth="1"/>
    <col min="3" max="3" width="11.140625" bestFit="1" customWidth="1"/>
    <col min="4" max="4" width="22.42578125" style="83" bestFit="1" customWidth="1"/>
    <col min="5" max="5" width="27.140625" style="72" bestFit="1" customWidth="1"/>
    <col min="6" max="6" width="16.85546875" style="72" bestFit="1" customWidth="1"/>
  </cols>
  <sheetData>
    <row r="1" spans="1:6" x14ac:dyDescent="0.25">
      <c r="A1" s="29" t="s">
        <v>1805</v>
      </c>
      <c r="B1" s="29" t="s">
        <v>1796</v>
      </c>
      <c r="C1" s="29" t="s">
        <v>1791</v>
      </c>
      <c r="D1" s="82" t="s">
        <v>1797</v>
      </c>
      <c r="E1" s="80" t="s">
        <v>1798</v>
      </c>
      <c r="F1" s="84" t="s">
        <v>1799</v>
      </c>
    </row>
    <row r="2" spans="1:6" x14ac:dyDescent="0.25">
      <c r="A2" s="29" t="s">
        <v>1393</v>
      </c>
      <c r="B2" s="29" t="s">
        <v>1600</v>
      </c>
      <c r="C2" s="29">
        <v>5</v>
      </c>
      <c r="D2" s="82">
        <v>1</v>
      </c>
      <c r="E2" s="80">
        <v>0.2</v>
      </c>
      <c r="F2" s="80">
        <v>0.8</v>
      </c>
    </row>
    <row r="3" spans="1:6" x14ac:dyDescent="0.25">
      <c r="A3" s="29" t="s">
        <v>1392</v>
      </c>
      <c r="B3" s="29" t="s">
        <v>1702</v>
      </c>
      <c r="C3" s="29">
        <v>216</v>
      </c>
      <c r="D3" s="82">
        <v>39</v>
      </c>
      <c r="E3" s="80">
        <v>0.18055555555555555</v>
      </c>
      <c r="F3" s="80">
        <v>0.81944444444444442</v>
      </c>
    </row>
    <row r="4" spans="1:6" x14ac:dyDescent="0.25">
      <c r="A4" s="29" t="s">
        <v>1433</v>
      </c>
      <c r="B4" s="29" t="s">
        <v>1800</v>
      </c>
      <c r="C4" s="29">
        <v>115</v>
      </c>
      <c r="D4" s="82">
        <v>17</v>
      </c>
      <c r="E4" s="80">
        <v>0.14782608695652175</v>
      </c>
      <c r="F4" s="80">
        <v>0.85217391304347823</v>
      </c>
    </row>
    <row r="5" spans="1:6" x14ac:dyDescent="0.25">
      <c r="A5" s="29" t="s">
        <v>1396</v>
      </c>
      <c r="B5" s="29" t="s">
        <v>1709</v>
      </c>
      <c r="C5" s="29">
        <v>84</v>
      </c>
      <c r="D5" s="82">
        <v>11</v>
      </c>
      <c r="E5" s="80">
        <v>0.13095238095238096</v>
      </c>
      <c r="F5" s="80">
        <v>0.86904761904761907</v>
      </c>
    </row>
    <row r="6" spans="1:6" x14ac:dyDescent="0.25">
      <c r="A6" s="29" t="s">
        <v>1420</v>
      </c>
      <c r="B6" s="29" t="s">
        <v>1801</v>
      </c>
      <c r="C6" s="29">
        <v>58</v>
      </c>
      <c r="D6" s="82">
        <v>6</v>
      </c>
      <c r="E6" s="80">
        <v>0.10344827586206896</v>
      </c>
      <c r="F6" s="80">
        <v>0.89655172413793105</v>
      </c>
    </row>
    <row r="7" spans="1:6" x14ac:dyDescent="0.25">
      <c r="A7" s="29" t="s">
        <v>1397</v>
      </c>
      <c r="B7" s="29" t="s">
        <v>1674</v>
      </c>
      <c r="C7" s="29">
        <v>110</v>
      </c>
      <c r="D7" s="82">
        <v>9</v>
      </c>
      <c r="E7" s="80">
        <v>8.1818181818181818E-2</v>
      </c>
      <c r="F7" s="80">
        <v>0.91818181818181821</v>
      </c>
    </row>
    <row r="8" spans="1:6" x14ac:dyDescent="0.25">
      <c r="A8" s="29" t="s">
        <v>1403</v>
      </c>
      <c r="B8" s="29" t="s">
        <v>1653</v>
      </c>
      <c r="C8" s="29">
        <v>203</v>
      </c>
      <c r="D8" s="82">
        <v>16</v>
      </c>
      <c r="E8" s="80">
        <v>7.8817733990147784E-2</v>
      </c>
      <c r="F8" s="80">
        <v>0.9211822660098522</v>
      </c>
    </row>
    <row r="9" spans="1:6" x14ac:dyDescent="0.25">
      <c r="A9" s="29" t="s">
        <v>1412</v>
      </c>
      <c r="B9" s="29" t="s">
        <v>1802</v>
      </c>
      <c r="C9" s="29">
        <v>215</v>
      </c>
      <c r="D9" s="82">
        <v>16</v>
      </c>
      <c r="E9" s="80">
        <v>7.441860465116279E-2</v>
      </c>
      <c r="F9" s="80">
        <v>0.92558139534883721</v>
      </c>
    </row>
    <row r="10" spans="1:6" x14ac:dyDescent="0.25">
      <c r="A10" s="29" t="s">
        <v>1399</v>
      </c>
      <c r="B10" s="29" t="s">
        <v>1517</v>
      </c>
      <c r="C10" s="29">
        <v>289</v>
      </c>
      <c r="D10" s="82">
        <v>21</v>
      </c>
      <c r="E10" s="80">
        <v>7.2664359861591699E-2</v>
      </c>
      <c r="F10" s="80">
        <v>0.9273356401384083</v>
      </c>
    </row>
    <row r="11" spans="1:6" x14ac:dyDescent="0.25">
      <c r="A11" s="29" t="s">
        <v>1408</v>
      </c>
      <c r="B11" s="29" t="s">
        <v>1503</v>
      </c>
      <c r="C11" s="29">
        <v>197</v>
      </c>
      <c r="D11" s="82">
        <v>14</v>
      </c>
      <c r="E11" s="80">
        <v>7.1065989847715741E-2</v>
      </c>
      <c r="F11" s="80">
        <v>0.92893401015228427</v>
      </c>
    </row>
    <row r="12" spans="1:6" x14ac:dyDescent="0.25">
      <c r="A12" s="29" t="s">
        <v>1417</v>
      </c>
      <c r="B12" s="29" t="s">
        <v>1692</v>
      </c>
      <c r="C12" s="29">
        <v>248</v>
      </c>
      <c r="D12" s="82">
        <v>17</v>
      </c>
      <c r="E12" s="80">
        <v>6.8548387096774188E-2</v>
      </c>
      <c r="F12" s="80">
        <v>0.93145161290322576</v>
      </c>
    </row>
    <row r="13" spans="1:6" x14ac:dyDescent="0.25">
      <c r="A13" s="29" t="s">
        <v>1431</v>
      </c>
      <c r="B13" s="29" t="s">
        <v>1730</v>
      </c>
      <c r="C13" s="29">
        <v>190</v>
      </c>
      <c r="D13" s="82">
        <v>13</v>
      </c>
      <c r="E13" s="80">
        <v>6.8421052631578952E-2</v>
      </c>
      <c r="F13" s="80">
        <v>0.93157894736842106</v>
      </c>
    </row>
    <row r="14" spans="1:6" x14ac:dyDescent="0.25">
      <c r="A14" s="29" t="s">
        <v>1430</v>
      </c>
      <c r="B14" s="29" t="s">
        <v>1725</v>
      </c>
      <c r="C14" s="29">
        <v>133</v>
      </c>
      <c r="D14" s="82">
        <v>9</v>
      </c>
      <c r="E14" s="80">
        <v>6.7669172932330823E-2</v>
      </c>
      <c r="F14" s="80">
        <v>0.93233082706766912</v>
      </c>
    </row>
    <row r="15" spans="1:6" x14ac:dyDescent="0.25">
      <c r="A15" s="29" t="s">
        <v>1398</v>
      </c>
      <c r="B15" s="29" t="s">
        <v>1480</v>
      </c>
      <c r="C15" s="29">
        <v>287</v>
      </c>
      <c r="D15" s="82">
        <v>19</v>
      </c>
      <c r="E15" s="80">
        <v>6.6202090592334492E-2</v>
      </c>
      <c r="F15" s="80">
        <v>0.93379790940766549</v>
      </c>
    </row>
    <row r="16" spans="1:6" x14ac:dyDescent="0.25">
      <c r="A16" s="29" t="s">
        <v>1415</v>
      </c>
      <c r="B16" s="29" t="s">
        <v>1803</v>
      </c>
      <c r="C16" s="29">
        <v>131</v>
      </c>
      <c r="D16" s="82">
        <v>8</v>
      </c>
      <c r="E16" s="80">
        <v>6.1068702290076333E-2</v>
      </c>
      <c r="F16" s="80">
        <v>0.93893129770992367</v>
      </c>
    </row>
    <row r="17" spans="1:6" x14ac:dyDescent="0.25">
      <c r="A17" s="29" t="s">
        <v>1436</v>
      </c>
      <c r="B17" s="29" t="s">
        <v>1716</v>
      </c>
      <c r="C17" s="29">
        <v>185</v>
      </c>
      <c r="D17" s="82">
        <v>11</v>
      </c>
      <c r="E17" s="80">
        <v>5.9459459459459463E-2</v>
      </c>
      <c r="F17" s="80">
        <v>0.94054054054054048</v>
      </c>
    </row>
    <row r="18" spans="1:6" x14ac:dyDescent="0.25">
      <c r="A18" s="29" t="s">
        <v>1402</v>
      </c>
      <c r="B18" s="29" t="s">
        <v>1524</v>
      </c>
      <c r="C18" s="29">
        <v>265</v>
      </c>
      <c r="D18" s="82">
        <v>12</v>
      </c>
      <c r="E18" s="80">
        <v>4.5283018867924525E-2</v>
      </c>
      <c r="F18" s="80">
        <v>0.95471698113207548</v>
      </c>
    </row>
    <row r="19" spans="1:6" x14ac:dyDescent="0.25">
      <c r="A19" s="29" t="s">
        <v>1390</v>
      </c>
      <c r="B19" s="29" t="s">
        <v>1697</v>
      </c>
      <c r="C19" s="29">
        <v>55</v>
      </c>
      <c r="D19" s="82">
        <v>2</v>
      </c>
      <c r="E19" s="80">
        <v>3.6363636363636362E-2</v>
      </c>
      <c r="F19" s="80">
        <v>0.96363636363636362</v>
      </c>
    </row>
    <row r="20" spans="1:6" x14ac:dyDescent="0.25">
      <c r="A20" s="29" t="s">
        <v>1406</v>
      </c>
      <c r="B20" s="29" t="s">
        <v>1495</v>
      </c>
      <c r="C20" s="29">
        <v>284</v>
      </c>
      <c r="D20" s="82">
        <v>10</v>
      </c>
      <c r="E20" s="80">
        <v>3.5211267605633804E-2</v>
      </c>
      <c r="F20" s="80">
        <v>0.96478873239436624</v>
      </c>
    </row>
    <row r="21" spans="1:6" x14ac:dyDescent="0.25">
      <c r="A21" s="29" t="e">
        <v>#N/A</v>
      </c>
      <c r="B21" s="29" t="s">
        <v>1804</v>
      </c>
      <c r="C21" s="29">
        <v>3</v>
      </c>
      <c r="D21" s="82">
        <v>0</v>
      </c>
      <c r="E21" s="80">
        <v>0</v>
      </c>
      <c r="F21" s="80">
        <v>1</v>
      </c>
    </row>
    <row r="22" spans="1:6" x14ac:dyDescent="0.25">
      <c r="A22" s="29" t="s">
        <v>1409</v>
      </c>
      <c r="B22" s="29" t="s">
        <v>1584</v>
      </c>
      <c r="C22" s="29">
        <v>1</v>
      </c>
      <c r="D22" s="82">
        <v>0</v>
      </c>
      <c r="E22" s="80">
        <v>0</v>
      </c>
      <c r="F22" s="80">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8F0E-CF28-4665-8D97-F65DD2BB3693}">
  <dimension ref="A1:C88"/>
  <sheetViews>
    <sheetView workbookViewId="0">
      <selection activeCell="C6" sqref="A1:C88"/>
    </sheetView>
  </sheetViews>
  <sheetFormatPr defaultRowHeight="15" x14ac:dyDescent="0.25"/>
  <cols>
    <col min="1" max="1" width="26" bestFit="1" customWidth="1"/>
    <col min="2" max="2" width="15.5703125" bestFit="1" customWidth="1"/>
    <col min="3" max="3" width="23.28515625" bestFit="1" customWidth="1"/>
  </cols>
  <sheetData>
    <row r="1" spans="1:3" x14ac:dyDescent="0.25">
      <c r="A1" s="85" t="s">
        <v>1444</v>
      </c>
      <c r="B1" s="85" t="s">
        <v>1806</v>
      </c>
      <c r="C1" s="85" t="s">
        <v>1807</v>
      </c>
    </row>
    <row r="2" spans="1:3" x14ac:dyDescent="0.25">
      <c r="A2" s="86" t="s">
        <v>1813</v>
      </c>
      <c r="B2" s="87">
        <v>163.31</v>
      </c>
      <c r="C2" s="87">
        <v>153.27000000000001</v>
      </c>
    </row>
    <row r="3" spans="1:3" x14ac:dyDescent="0.25">
      <c r="A3" s="86" t="s">
        <v>1814</v>
      </c>
      <c r="B3" s="87">
        <v>194.59</v>
      </c>
      <c r="C3" s="87">
        <v>177.33</v>
      </c>
    </row>
    <row r="4" spans="1:3" x14ac:dyDescent="0.25">
      <c r="A4" s="86" t="s">
        <v>1407</v>
      </c>
      <c r="B4" s="87">
        <v>201.44</v>
      </c>
      <c r="C4" s="87">
        <v>150.91999999999999</v>
      </c>
    </row>
    <row r="5" spans="1:3" x14ac:dyDescent="0.25">
      <c r="A5" s="86" t="s">
        <v>1401</v>
      </c>
      <c r="B5" s="87">
        <v>200.73</v>
      </c>
      <c r="C5" s="87">
        <v>181.92</v>
      </c>
    </row>
    <row r="6" spans="1:3" x14ac:dyDescent="0.25">
      <c r="A6" s="86" t="s">
        <v>1416</v>
      </c>
      <c r="B6" s="87">
        <v>221.25</v>
      </c>
      <c r="C6" s="87">
        <v>142.41999999999999</v>
      </c>
    </row>
    <row r="7" spans="1:3" x14ac:dyDescent="0.25">
      <c r="A7" s="86" t="s">
        <v>1815</v>
      </c>
      <c r="B7" s="87">
        <v>216.13</v>
      </c>
      <c r="C7" s="87">
        <v>93.17</v>
      </c>
    </row>
    <row r="8" spans="1:3" x14ac:dyDescent="0.25">
      <c r="A8" s="86" t="s">
        <v>1432</v>
      </c>
      <c r="B8" s="87">
        <v>286.13</v>
      </c>
      <c r="C8" s="87">
        <v>230.96</v>
      </c>
    </row>
    <row r="9" spans="1:3" x14ac:dyDescent="0.25">
      <c r="A9" s="86" t="s">
        <v>1816</v>
      </c>
      <c r="B9" s="87">
        <v>184.88</v>
      </c>
      <c r="C9" s="87">
        <v>167.88</v>
      </c>
    </row>
    <row r="10" spans="1:3" x14ac:dyDescent="0.25">
      <c r="A10" s="86" t="s">
        <v>1390</v>
      </c>
      <c r="B10" s="87">
        <v>147.63999999999999</v>
      </c>
      <c r="C10" s="87">
        <v>107.68</v>
      </c>
    </row>
    <row r="11" spans="1:3" x14ac:dyDescent="0.25">
      <c r="A11" s="86" t="s">
        <v>1817</v>
      </c>
      <c r="B11" s="87">
        <v>149.04</v>
      </c>
      <c r="C11" s="87">
        <v>112.04</v>
      </c>
    </row>
    <row r="12" spans="1:3" x14ac:dyDescent="0.25">
      <c r="A12" s="86" t="s">
        <v>1411</v>
      </c>
      <c r="B12" s="87">
        <v>123.4</v>
      </c>
      <c r="C12" s="87">
        <v>79.8</v>
      </c>
    </row>
    <row r="13" spans="1:3" x14ac:dyDescent="0.25">
      <c r="A13" s="86" t="s">
        <v>1431</v>
      </c>
      <c r="B13" s="87">
        <v>226.38</v>
      </c>
      <c r="C13" s="87">
        <v>176.23</v>
      </c>
    </row>
    <row r="14" spans="1:3" x14ac:dyDescent="0.25">
      <c r="A14" s="86" t="s">
        <v>1818</v>
      </c>
      <c r="B14" s="87">
        <v>256.08</v>
      </c>
      <c r="C14" s="87">
        <v>243.92</v>
      </c>
    </row>
    <row r="15" spans="1:3" x14ac:dyDescent="0.25">
      <c r="A15" s="86" t="s">
        <v>1395</v>
      </c>
      <c r="B15" s="87">
        <v>307.32</v>
      </c>
      <c r="C15" s="87">
        <v>245.68</v>
      </c>
    </row>
    <row r="16" spans="1:3" x14ac:dyDescent="0.25">
      <c r="A16" s="86" t="s">
        <v>1414</v>
      </c>
      <c r="B16" s="87">
        <v>303.89</v>
      </c>
      <c r="C16" s="87">
        <v>251.59</v>
      </c>
    </row>
    <row r="17" spans="1:3" x14ac:dyDescent="0.25">
      <c r="A17" s="86" t="s">
        <v>1419</v>
      </c>
      <c r="B17" s="87">
        <v>216.25</v>
      </c>
      <c r="C17" s="87">
        <v>149.38</v>
      </c>
    </row>
    <row r="18" spans="1:3" x14ac:dyDescent="0.25">
      <c r="A18" s="86" t="s">
        <v>1391</v>
      </c>
      <c r="B18" s="87">
        <v>272.52</v>
      </c>
      <c r="C18" s="87">
        <v>235.43</v>
      </c>
    </row>
    <row r="19" spans="1:3" x14ac:dyDescent="0.25">
      <c r="A19" s="86" t="s">
        <v>1417</v>
      </c>
      <c r="B19" s="87">
        <v>192.3</v>
      </c>
      <c r="C19" s="87">
        <v>137.85</v>
      </c>
    </row>
    <row r="20" spans="1:3" x14ac:dyDescent="0.25">
      <c r="A20" s="86" t="s">
        <v>1435</v>
      </c>
      <c r="B20" s="87">
        <v>281.14999999999998</v>
      </c>
      <c r="C20" s="87">
        <v>244.93</v>
      </c>
    </row>
    <row r="21" spans="1:3" x14ac:dyDescent="0.25">
      <c r="A21" s="86" t="s">
        <v>1819</v>
      </c>
      <c r="B21" s="87">
        <v>122.48</v>
      </c>
      <c r="C21" s="87">
        <v>112.36</v>
      </c>
    </row>
    <row r="22" spans="1:3" x14ac:dyDescent="0.25">
      <c r="A22" s="86" t="s">
        <v>1820</v>
      </c>
      <c r="B22" s="87">
        <v>142.41</v>
      </c>
      <c r="C22" s="87">
        <v>123.48</v>
      </c>
    </row>
    <row r="23" spans="1:3" x14ac:dyDescent="0.25">
      <c r="A23" s="86" t="s">
        <v>1821</v>
      </c>
      <c r="B23" s="87">
        <v>204.29</v>
      </c>
      <c r="C23" s="87">
        <v>179</v>
      </c>
    </row>
    <row r="24" spans="1:3" x14ac:dyDescent="0.25">
      <c r="A24" s="86" t="s">
        <v>1822</v>
      </c>
      <c r="B24" s="87">
        <v>148.65</v>
      </c>
      <c r="C24" s="87">
        <v>137.08000000000001</v>
      </c>
    </row>
    <row r="25" spans="1:3" x14ac:dyDescent="0.25">
      <c r="A25" s="86" t="s">
        <v>1823</v>
      </c>
      <c r="B25" s="87">
        <v>180.27</v>
      </c>
      <c r="C25" s="87">
        <v>162.38</v>
      </c>
    </row>
    <row r="26" spans="1:3" x14ac:dyDescent="0.25">
      <c r="A26" s="86" t="s">
        <v>1415</v>
      </c>
      <c r="B26" s="87">
        <v>264.04000000000002</v>
      </c>
      <c r="C26" s="87">
        <v>207.92</v>
      </c>
    </row>
    <row r="27" spans="1:3" x14ac:dyDescent="0.25">
      <c r="A27" s="86" t="s">
        <v>1824</v>
      </c>
      <c r="B27" s="87">
        <v>117.5</v>
      </c>
      <c r="C27" s="87">
        <v>112.58</v>
      </c>
    </row>
    <row r="28" spans="1:3" x14ac:dyDescent="0.25">
      <c r="A28" s="86" t="s">
        <v>1426</v>
      </c>
      <c r="B28" s="87">
        <v>253.57</v>
      </c>
      <c r="C28" s="87">
        <v>210.24</v>
      </c>
    </row>
    <row r="29" spans="1:3" x14ac:dyDescent="0.25">
      <c r="A29" s="86" t="s">
        <v>1405</v>
      </c>
      <c r="B29" s="87">
        <v>233.25</v>
      </c>
      <c r="C29" s="87">
        <v>180.71</v>
      </c>
    </row>
    <row r="30" spans="1:3" x14ac:dyDescent="0.25">
      <c r="A30" s="86" t="s">
        <v>1392</v>
      </c>
      <c r="B30" s="87">
        <v>255.22</v>
      </c>
      <c r="C30" s="87">
        <v>164.37</v>
      </c>
    </row>
    <row r="31" spans="1:3" x14ac:dyDescent="0.25">
      <c r="A31" s="86" t="s">
        <v>1420</v>
      </c>
      <c r="B31" s="87">
        <v>142.16</v>
      </c>
      <c r="C31" s="87">
        <v>117.64</v>
      </c>
    </row>
    <row r="32" spans="1:3" x14ac:dyDescent="0.25">
      <c r="A32" s="86" t="s">
        <v>1422</v>
      </c>
      <c r="B32" s="87">
        <v>277.48</v>
      </c>
      <c r="C32" s="87">
        <v>155.37</v>
      </c>
    </row>
    <row r="33" spans="1:3" x14ac:dyDescent="0.25">
      <c r="A33" s="86" t="s">
        <v>1402</v>
      </c>
      <c r="B33" s="87">
        <v>282.04000000000002</v>
      </c>
      <c r="C33" s="87">
        <v>213.5</v>
      </c>
    </row>
    <row r="34" spans="1:3" x14ac:dyDescent="0.25">
      <c r="A34" s="86" t="s">
        <v>1418</v>
      </c>
      <c r="B34" s="87">
        <v>203.79</v>
      </c>
      <c r="C34" s="87">
        <v>157.11000000000001</v>
      </c>
    </row>
    <row r="35" spans="1:3" x14ac:dyDescent="0.25">
      <c r="A35" s="86" t="s">
        <v>1825</v>
      </c>
      <c r="B35" s="87">
        <v>131.16999999999999</v>
      </c>
      <c r="C35" s="87">
        <v>98.5</v>
      </c>
    </row>
    <row r="36" spans="1:3" x14ac:dyDescent="0.25">
      <c r="A36" s="86" t="s">
        <v>1826</v>
      </c>
      <c r="B36" s="87">
        <v>190</v>
      </c>
      <c r="C36" s="87">
        <v>180.52</v>
      </c>
    </row>
    <row r="37" spans="1:3" x14ac:dyDescent="0.25">
      <c r="A37" s="86" t="s">
        <v>1409</v>
      </c>
      <c r="B37" s="87">
        <v>258.35000000000002</v>
      </c>
      <c r="C37" s="87">
        <v>212.46</v>
      </c>
    </row>
    <row r="38" spans="1:3" x14ac:dyDescent="0.25">
      <c r="A38" s="86" t="s">
        <v>1404</v>
      </c>
      <c r="B38" s="87">
        <v>183.41</v>
      </c>
      <c r="C38" s="87">
        <v>153.33000000000001</v>
      </c>
    </row>
    <row r="39" spans="1:3" x14ac:dyDescent="0.25">
      <c r="A39" s="86" t="s">
        <v>1397</v>
      </c>
      <c r="B39" s="87">
        <v>177.4</v>
      </c>
      <c r="C39" s="87">
        <v>152.08000000000001</v>
      </c>
    </row>
    <row r="40" spans="1:3" x14ac:dyDescent="0.25">
      <c r="A40" s="86" t="s">
        <v>1827</v>
      </c>
      <c r="B40" s="87">
        <v>182.6</v>
      </c>
      <c r="C40" s="87">
        <v>162.88</v>
      </c>
    </row>
    <row r="41" spans="1:3" x14ac:dyDescent="0.25">
      <c r="A41" s="86" t="s">
        <v>1828</v>
      </c>
      <c r="B41" s="87">
        <v>106.26</v>
      </c>
      <c r="C41" s="87">
        <v>95.07</v>
      </c>
    </row>
    <row r="42" spans="1:3" x14ac:dyDescent="0.25">
      <c r="A42" s="86" t="s">
        <v>1427</v>
      </c>
      <c r="B42" s="87">
        <v>274.95999999999998</v>
      </c>
      <c r="C42" s="87">
        <v>234.5</v>
      </c>
    </row>
    <row r="43" spans="1:3" x14ac:dyDescent="0.25">
      <c r="A43" s="86" t="s">
        <v>1829</v>
      </c>
      <c r="B43" s="87">
        <v>163.66999999999999</v>
      </c>
      <c r="C43" s="87">
        <v>149.47999999999999</v>
      </c>
    </row>
    <row r="44" spans="1:3" x14ac:dyDescent="0.25">
      <c r="A44" s="86" t="s">
        <v>1830</v>
      </c>
      <c r="B44" s="87">
        <v>43</v>
      </c>
      <c r="C44" s="87">
        <v>40</v>
      </c>
    </row>
    <row r="45" spans="1:3" x14ac:dyDescent="0.25">
      <c r="A45" s="86" t="s">
        <v>1433</v>
      </c>
      <c r="B45" s="87">
        <v>271.81</v>
      </c>
      <c r="C45" s="87">
        <v>164.08</v>
      </c>
    </row>
    <row r="46" spans="1:3" x14ac:dyDescent="0.25">
      <c r="A46" s="86" t="s">
        <v>1396</v>
      </c>
      <c r="B46" s="87">
        <v>221.97</v>
      </c>
      <c r="C46" s="87">
        <v>195.63</v>
      </c>
    </row>
    <row r="47" spans="1:3" x14ac:dyDescent="0.25">
      <c r="A47" s="86" t="s">
        <v>1408</v>
      </c>
      <c r="B47" s="87">
        <v>182.32</v>
      </c>
      <c r="C47" s="87">
        <v>135.63999999999999</v>
      </c>
    </row>
    <row r="48" spans="1:3" x14ac:dyDescent="0.25">
      <c r="A48" s="86" t="s">
        <v>1412</v>
      </c>
      <c r="B48" s="87">
        <v>188.64</v>
      </c>
      <c r="C48" s="87">
        <v>153</v>
      </c>
    </row>
    <row r="49" spans="1:3" x14ac:dyDescent="0.25">
      <c r="A49" s="86" t="s">
        <v>1831</v>
      </c>
      <c r="B49" s="87">
        <v>187.22</v>
      </c>
      <c r="C49" s="87">
        <v>171.56</v>
      </c>
    </row>
    <row r="50" spans="1:3" x14ac:dyDescent="0.25">
      <c r="A50" s="86" t="s">
        <v>1425</v>
      </c>
      <c r="B50" s="87">
        <v>274.26</v>
      </c>
      <c r="C50" s="87">
        <v>237.48</v>
      </c>
    </row>
    <row r="51" spans="1:3" x14ac:dyDescent="0.25">
      <c r="A51" s="86" t="s">
        <v>1832</v>
      </c>
      <c r="B51" s="87">
        <v>112.48</v>
      </c>
      <c r="C51" s="87">
        <v>68.680000000000007</v>
      </c>
    </row>
    <row r="52" spans="1:3" x14ac:dyDescent="0.25">
      <c r="A52" s="86" t="s">
        <v>1833</v>
      </c>
      <c r="B52" s="87">
        <v>172.27</v>
      </c>
      <c r="C52" s="87">
        <v>151.46</v>
      </c>
    </row>
    <row r="53" spans="1:3" x14ac:dyDescent="0.25">
      <c r="A53" s="86" t="s">
        <v>1434</v>
      </c>
      <c r="B53" s="87">
        <v>225.56</v>
      </c>
      <c r="C53" s="87">
        <v>202.63</v>
      </c>
    </row>
    <row r="54" spans="1:3" x14ac:dyDescent="0.25">
      <c r="A54" s="86" t="s">
        <v>1834</v>
      </c>
      <c r="B54" s="87">
        <v>6.6</v>
      </c>
      <c r="C54" s="87">
        <v>4.53</v>
      </c>
    </row>
    <row r="55" spans="1:3" x14ac:dyDescent="0.25">
      <c r="A55" s="86" t="s">
        <v>1437</v>
      </c>
      <c r="B55" s="87">
        <v>194</v>
      </c>
      <c r="C55" s="87">
        <v>173.3</v>
      </c>
    </row>
    <row r="56" spans="1:3" x14ac:dyDescent="0.25">
      <c r="A56" s="86" t="s">
        <v>1428</v>
      </c>
      <c r="B56" s="87">
        <v>263.67</v>
      </c>
      <c r="C56" s="87">
        <v>235.54</v>
      </c>
    </row>
    <row r="57" spans="1:3" x14ac:dyDescent="0.25">
      <c r="A57" s="86" t="s">
        <v>1424</v>
      </c>
      <c r="B57" s="87">
        <v>282.08</v>
      </c>
      <c r="C57" s="87">
        <v>220.88</v>
      </c>
    </row>
    <row r="58" spans="1:3" x14ac:dyDescent="0.25">
      <c r="A58" s="86" t="s">
        <v>1421</v>
      </c>
      <c r="B58" s="87">
        <v>307.58</v>
      </c>
      <c r="C58" s="87">
        <v>193.67</v>
      </c>
    </row>
    <row r="59" spans="1:3" x14ac:dyDescent="0.25">
      <c r="A59" s="86" t="s">
        <v>1406</v>
      </c>
      <c r="B59" s="87">
        <v>225.12</v>
      </c>
      <c r="C59" s="87">
        <v>174.4</v>
      </c>
    </row>
    <row r="60" spans="1:3" x14ac:dyDescent="0.25">
      <c r="A60" s="86" t="s">
        <v>1835</v>
      </c>
      <c r="B60" s="87">
        <v>203.04</v>
      </c>
      <c r="C60" s="87">
        <v>187.27</v>
      </c>
    </row>
    <row r="61" spans="1:3" x14ac:dyDescent="0.25">
      <c r="A61" s="86" t="s">
        <v>1413</v>
      </c>
      <c r="B61" s="87">
        <v>215.88</v>
      </c>
      <c r="C61" s="87">
        <v>192</v>
      </c>
    </row>
    <row r="62" spans="1:3" x14ac:dyDescent="0.25">
      <c r="A62" s="86" t="s">
        <v>1836</v>
      </c>
      <c r="B62" s="87">
        <v>118.19</v>
      </c>
      <c r="C62" s="87">
        <v>90.74</v>
      </c>
    </row>
    <row r="63" spans="1:3" x14ac:dyDescent="0.25">
      <c r="A63" s="86" t="s">
        <v>1403</v>
      </c>
      <c r="B63" s="87">
        <v>254.89</v>
      </c>
      <c r="C63" s="87">
        <v>177.48</v>
      </c>
    </row>
    <row r="64" spans="1:3" x14ac:dyDescent="0.25">
      <c r="A64" s="86" t="s">
        <v>1410</v>
      </c>
      <c r="B64" s="87">
        <v>265.95999999999998</v>
      </c>
      <c r="C64" s="87">
        <v>207.38</v>
      </c>
    </row>
    <row r="65" spans="1:3" x14ac:dyDescent="0.25">
      <c r="A65" s="86" t="s">
        <v>1837</v>
      </c>
      <c r="B65" s="87">
        <v>212.93</v>
      </c>
      <c r="C65" s="87">
        <v>173.22</v>
      </c>
    </row>
    <row r="66" spans="1:3" x14ac:dyDescent="0.25">
      <c r="A66" s="86" t="s">
        <v>1423</v>
      </c>
      <c r="B66" s="87">
        <v>11</v>
      </c>
      <c r="C66" s="87">
        <v>11</v>
      </c>
    </row>
    <row r="67" spans="1:3" x14ac:dyDescent="0.25">
      <c r="A67" s="86" t="s">
        <v>1429</v>
      </c>
      <c r="B67" s="87">
        <v>159.54</v>
      </c>
      <c r="C67" s="87">
        <v>151.08000000000001</v>
      </c>
    </row>
    <row r="68" spans="1:3" x14ac:dyDescent="0.25">
      <c r="A68" s="86" t="s">
        <v>1400</v>
      </c>
      <c r="B68" s="87">
        <v>156</v>
      </c>
      <c r="C68" s="87">
        <v>102.55</v>
      </c>
    </row>
    <row r="69" spans="1:3" x14ac:dyDescent="0.25">
      <c r="A69" s="86" t="s">
        <v>1838</v>
      </c>
      <c r="B69" s="87">
        <v>140.44</v>
      </c>
      <c r="C69" s="87">
        <v>132.78</v>
      </c>
    </row>
    <row r="70" spans="1:3" x14ac:dyDescent="0.25">
      <c r="A70" s="86" t="s">
        <v>1839</v>
      </c>
      <c r="B70" s="87">
        <v>140.11000000000001</v>
      </c>
      <c r="C70" s="87">
        <v>96.22</v>
      </c>
    </row>
    <row r="71" spans="1:3" x14ac:dyDescent="0.25">
      <c r="A71" s="86" t="s">
        <v>1430</v>
      </c>
      <c r="B71" s="87">
        <v>197.62</v>
      </c>
      <c r="C71" s="87">
        <v>152.52000000000001</v>
      </c>
    </row>
    <row r="72" spans="1:3" x14ac:dyDescent="0.25">
      <c r="A72" s="86" t="s">
        <v>1840</v>
      </c>
      <c r="B72" s="87">
        <v>203.04</v>
      </c>
      <c r="C72" s="87">
        <v>187.27</v>
      </c>
    </row>
    <row r="73" spans="1:3" x14ac:dyDescent="0.25">
      <c r="A73" s="86" t="s">
        <v>1398</v>
      </c>
      <c r="B73" s="87">
        <v>214.7</v>
      </c>
      <c r="C73" s="87">
        <v>151.85</v>
      </c>
    </row>
    <row r="74" spans="1:3" x14ac:dyDescent="0.25">
      <c r="A74" s="86" t="s">
        <v>1394</v>
      </c>
      <c r="B74" s="87">
        <v>379.04</v>
      </c>
      <c r="C74" s="87">
        <v>265.08</v>
      </c>
    </row>
    <row r="75" spans="1:3" x14ac:dyDescent="0.25">
      <c r="A75" s="86" t="s">
        <v>1388</v>
      </c>
      <c r="B75" s="87">
        <v>205.14</v>
      </c>
      <c r="C75" s="87">
        <v>162.9</v>
      </c>
    </row>
    <row r="76" spans="1:3" x14ac:dyDescent="0.25">
      <c r="A76" s="86" t="s">
        <v>1841</v>
      </c>
      <c r="B76" s="87">
        <v>19.64</v>
      </c>
      <c r="C76" s="87">
        <v>11.77</v>
      </c>
    </row>
    <row r="77" spans="1:3" x14ac:dyDescent="0.25">
      <c r="A77" s="86" t="s">
        <v>1399</v>
      </c>
      <c r="B77" s="87">
        <v>260.7</v>
      </c>
      <c r="C77" s="87">
        <v>199.59</v>
      </c>
    </row>
    <row r="78" spans="1:3" x14ac:dyDescent="0.25">
      <c r="A78" s="86" t="s">
        <v>1436</v>
      </c>
      <c r="B78" s="87">
        <v>237.22</v>
      </c>
      <c r="C78" s="87">
        <v>136.85</v>
      </c>
    </row>
    <row r="79" spans="1:3" x14ac:dyDescent="0.25">
      <c r="A79" s="86" t="s">
        <v>1842</v>
      </c>
      <c r="B79" s="87">
        <v>168.87</v>
      </c>
      <c r="C79" s="87">
        <v>153.26</v>
      </c>
    </row>
    <row r="80" spans="1:3" x14ac:dyDescent="0.25">
      <c r="A80" s="86" t="s">
        <v>1393</v>
      </c>
      <c r="B80" s="87">
        <v>250.57</v>
      </c>
      <c r="C80" s="87">
        <v>203.48</v>
      </c>
    </row>
    <row r="81" spans="1:3" x14ac:dyDescent="0.25">
      <c r="A81" s="86" t="s">
        <v>1843</v>
      </c>
      <c r="B81" s="87">
        <v>201.54</v>
      </c>
      <c r="C81" s="87">
        <v>174.19</v>
      </c>
    </row>
    <row r="82" spans="1:3" x14ac:dyDescent="0.25">
      <c r="A82" s="86" t="s">
        <v>1844</v>
      </c>
      <c r="B82" s="87">
        <v>104.63</v>
      </c>
      <c r="C82" s="87">
        <v>86.63</v>
      </c>
    </row>
    <row r="83" spans="1:3" x14ac:dyDescent="0.25">
      <c r="A83" s="86" t="s">
        <v>1438</v>
      </c>
      <c r="B83" s="87">
        <v>156.33000000000001</v>
      </c>
      <c r="C83" s="87">
        <v>129</v>
      </c>
    </row>
    <row r="84" spans="1:3" x14ac:dyDescent="0.25">
      <c r="A84" s="86" t="s">
        <v>1845</v>
      </c>
      <c r="B84" s="87">
        <v>207.78</v>
      </c>
      <c r="C84" s="87">
        <v>151.63</v>
      </c>
    </row>
    <row r="85" spans="1:3" x14ac:dyDescent="0.25">
      <c r="A85" s="86" t="s">
        <v>1846</v>
      </c>
      <c r="B85" s="87">
        <v>177.5</v>
      </c>
      <c r="C85" s="87">
        <v>135.35</v>
      </c>
    </row>
    <row r="86" spans="1:3" x14ac:dyDescent="0.25">
      <c r="A86" s="86" t="s">
        <v>1847</v>
      </c>
      <c r="B86" s="87">
        <v>124.25</v>
      </c>
      <c r="C86" s="87">
        <v>103.5</v>
      </c>
    </row>
    <row r="87" spans="1:3" x14ac:dyDescent="0.25">
      <c r="A87" s="86" t="s">
        <v>1848</v>
      </c>
      <c r="B87" s="87">
        <v>116.82</v>
      </c>
      <c r="C87" s="87">
        <v>102.14</v>
      </c>
    </row>
    <row r="88" spans="1:3" x14ac:dyDescent="0.25">
      <c r="A88" s="86" t="s">
        <v>1849</v>
      </c>
      <c r="B88" s="87">
        <v>25.06</v>
      </c>
      <c r="C88" s="87">
        <v>23.39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1956-CE5B-484B-A465-6E843A90C84C}">
  <dimension ref="A1:D35"/>
  <sheetViews>
    <sheetView workbookViewId="0">
      <selection activeCell="A6" sqref="A6"/>
    </sheetView>
  </sheetViews>
  <sheetFormatPr defaultRowHeight="15" x14ac:dyDescent="0.25"/>
  <cols>
    <col min="1" max="1" width="22.42578125" bestFit="1" customWidth="1"/>
    <col min="2" max="2" width="21.42578125" bestFit="1" customWidth="1"/>
  </cols>
  <sheetData>
    <row r="1" spans="1:4" ht="45" x14ac:dyDescent="0.25">
      <c r="A1" s="88" t="s">
        <v>1864</v>
      </c>
      <c r="B1" s="89" t="s">
        <v>1861</v>
      </c>
      <c r="C1" s="89" t="s">
        <v>1862</v>
      </c>
      <c r="D1" t="s">
        <v>1865</v>
      </c>
    </row>
    <row r="2" spans="1:4" x14ac:dyDescent="0.25">
      <c r="A2" s="29" t="s">
        <v>1398</v>
      </c>
      <c r="B2" s="90" t="s">
        <v>1480</v>
      </c>
      <c r="C2" s="90">
        <v>25</v>
      </c>
      <c r="D2">
        <f>C2*150</f>
        <v>3750</v>
      </c>
    </row>
    <row r="3" spans="1:4" x14ac:dyDescent="0.25">
      <c r="A3" s="29" t="s">
        <v>1403</v>
      </c>
      <c r="B3" s="90" t="s">
        <v>1653</v>
      </c>
      <c r="C3" s="90">
        <v>25</v>
      </c>
      <c r="D3">
        <f t="shared" ref="D3:D35" si="0">C3*150</f>
        <v>3750</v>
      </c>
    </row>
    <row r="4" spans="1:4" x14ac:dyDescent="0.25">
      <c r="A4" s="29" t="s">
        <v>1417</v>
      </c>
      <c r="B4" s="90" t="s">
        <v>1692</v>
      </c>
      <c r="C4" s="90">
        <v>15</v>
      </c>
      <c r="D4">
        <f t="shared" si="0"/>
        <v>2250</v>
      </c>
    </row>
    <row r="5" spans="1:4" x14ac:dyDescent="0.25">
      <c r="A5" s="29" t="s">
        <v>1408</v>
      </c>
      <c r="B5" s="90" t="s">
        <v>1503</v>
      </c>
      <c r="C5" s="90">
        <v>12</v>
      </c>
      <c r="D5">
        <f t="shared" si="0"/>
        <v>1800</v>
      </c>
    </row>
    <row r="6" spans="1:4" x14ac:dyDescent="0.25">
      <c r="A6" s="29" t="s">
        <v>1431</v>
      </c>
      <c r="B6" s="90" t="s">
        <v>1730</v>
      </c>
      <c r="C6" s="90">
        <v>11</v>
      </c>
      <c r="D6">
        <f t="shared" si="0"/>
        <v>1650</v>
      </c>
    </row>
    <row r="7" spans="1:4" x14ac:dyDescent="0.25">
      <c r="A7" s="29" t="s">
        <v>1390</v>
      </c>
      <c r="B7" s="90" t="s">
        <v>1697</v>
      </c>
      <c r="C7" s="90">
        <v>9</v>
      </c>
      <c r="D7">
        <f t="shared" si="0"/>
        <v>1350</v>
      </c>
    </row>
    <row r="8" spans="1:4" x14ac:dyDescent="0.25">
      <c r="A8" s="29" t="s">
        <v>1430</v>
      </c>
      <c r="B8" s="90" t="s">
        <v>1725</v>
      </c>
      <c r="C8" s="90">
        <v>6</v>
      </c>
      <c r="D8">
        <f t="shared" si="0"/>
        <v>900</v>
      </c>
    </row>
    <row r="9" spans="1:4" x14ac:dyDescent="0.25">
      <c r="A9" s="29" t="s">
        <v>1433</v>
      </c>
      <c r="B9" s="90" t="s">
        <v>1800</v>
      </c>
      <c r="C9" s="90">
        <v>5</v>
      </c>
      <c r="D9">
        <f t="shared" si="0"/>
        <v>750</v>
      </c>
    </row>
    <row r="10" spans="1:4" x14ac:dyDescent="0.25">
      <c r="A10" s="29" t="s">
        <v>1396</v>
      </c>
      <c r="B10" s="90" t="s">
        <v>1709</v>
      </c>
      <c r="C10" s="90">
        <v>4</v>
      </c>
      <c r="D10">
        <f t="shared" si="0"/>
        <v>600</v>
      </c>
    </row>
    <row r="11" spans="1:4" x14ac:dyDescent="0.25">
      <c r="A11" s="29" t="s">
        <v>1416</v>
      </c>
      <c r="B11" s="90" t="s">
        <v>1647</v>
      </c>
      <c r="C11" s="90">
        <v>4</v>
      </c>
      <c r="D11">
        <f t="shared" si="0"/>
        <v>600</v>
      </c>
    </row>
    <row r="12" spans="1:4" x14ac:dyDescent="0.25">
      <c r="A12" s="29" t="s">
        <v>1422</v>
      </c>
      <c r="B12" s="90" t="s">
        <v>1540</v>
      </c>
      <c r="C12" s="90">
        <v>3</v>
      </c>
      <c r="D12">
        <f t="shared" si="0"/>
        <v>450</v>
      </c>
    </row>
    <row r="13" spans="1:4" x14ac:dyDescent="0.25">
      <c r="A13" s="29" t="s">
        <v>1397</v>
      </c>
      <c r="B13" s="90" t="s">
        <v>1674</v>
      </c>
      <c r="C13" s="90">
        <v>3</v>
      </c>
      <c r="D13">
        <f t="shared" si="0"/>
        <v>450</v>
      </c>
    </row>
    <row r="14" spans="1:4" x14ac:dyDescent="0.25">
      <c r="A14" s="29" t="s">
        <v>1428</v>
      </c>
      <c r="B14" s="90" t="s">
        <v>1809</v>
      </c>
      <c r="C14" s="90">
        <v>3</v>
      </c>
      <c r="D14">
        <f t="shared" si="0"/>
        <v>450</v>
      </c>
    </row>
    <row r="15" spans="1:4" x14ac:dyDescent="0.25">
      <c r="A15" s="29" t="s">
        <v>1412</v>
      </c>
      <c r="B15" s="90" t="s">
        <v>1802</v>
      </c>
      <c r="C15" s="90">
        <v>3</v>
      </c>
      <c r="D15">
        <f t="shared" si="0"/>
        <v>450</v>
      </c>
    </row>
    <row r="16" spans="1:4" x14ac:dyDescent="0.25">
      <c r="A16" s="29" t="s">
        <v>1436</v>
      </c>
      <c r="B16" s="90" t="s">
        <v>1716</v>
      </c>
      <c r="C16" s="90">
        <v>3</v>
      </c>
      <c r="D16">
        <f t="shared" si="0"/>
        <v>450</v>
      </c>
    </row>
    <row r="17" spans="1:4" x14ac:dyDescent="0.25">
      <c r="A17" s="29" t="s">
        <v>1406</v>
      </c>
      <c r="B17" s="90" t="s">
        <v>1495</v>
      </c>
      <c r="C17" s="90">
        <v>3</v>
      </c>
      <c r="D17">
        <f t="shared" si="0"/>
        <v>450</v>
      </c>
    </row>
    <row r="18" spans="1:4" x14ac:dyDescent="0.25">
      <c r="A18" s="29" t="s">
        <v>1402</v>
      </c>
      <c r="B18" s="90" t="s">
        <v>1524</v>
      </c>
      <c r="C18" s="90">
        <v>2</v>
      </c>
      <c r="D18">
        <f t="shared" si="0"/>
        <v>300</v>
      </c>
    </row>
    <row r="19" spans="1:4" x14ac:dyDescent="0.25">
      <c r="A19" s="29" t="s">
        <v>1418</v>
      </c>
      <c r="B19" s="90" t="s">
        <v>1611</v>
      </c>
      <c r="C19" s="90">
        <v>2</v>
      </c>
      <c r="D19">
        <f t="shared" si="0"/>
        <v>300</v>
      </c>
    </row>
    <row r="20" spans="1:4" x14ac:dyDescent="0.25">
      <c r="A20" s="29" t="s">
        <v>1399</v>
      </c>
      <c r="B20" s="90" t="s">
        <v>1517</v>
      </c>
      <c r="C20" s="90">
        <v>2</v>
      </c>
      <c r="D20">
        <f t="shared" si="0"/>
        <v>300</v>
      </c>
    </row>
    <row r="21" spans="1:4" x14ac:dyDescent="0.25">
      <c r="A21" s="29" t="s">
        <v>1392</v>
      </c>
      <c r="B21" s="90" t="s">
        <v>1702</v>
      </c>
      <c r="C21" s="90">
        <v>2</v>
      </c>
      <c r="D21">
        <f t="shared" si="0"/>
        <v>300</v>
      </c>
    </row>
    <row r="22" spans="1:4" x14ac:dyDescent="0.25">
      <c r="A22" s="29" t="s">
        <v>1395</v>
      </c>
      <c r="B22" s="90" t="s">
        <v>1622</v>
      </c>
      <c r="C22" s="90">
        <v>2</v>
      </c>
      <c r="D22">
        <f t="shared" si="0"/>
        <v>300</v>
      </c>
    </row>
    <row r="23" spans="1:4" x14ac:dyDescent="0.25">
      <c r="A23" s="29" t="s">
        <v>1407</v>
      </c>
      <c r="B23" s="90" t="s">
        <v>1686</v>
      </c>
      <c r="C23" s="90">
        <v>1</v>
      </c>
      <c r="D23">
        <f t="shared" si="0"/>
        <v>150</v>
      </c>
    </row>
    <row r="24" spans="1:4" x14ac:dyDescent="0.25">
      <c r="A24" s="29" t="s">
        <v>1435</v>
      </c>
      <c r="B24" s="90" t="s">
        <v>1808</v>
      </c>
      <c r="C24" s="90">
        <v>1</v>
      </c>
      <c r="D24">
        <f t="shared" si="0"/>
        <v>150</v>
      </c>
    </row>
    <row r="25" spans="1:4" x14ac:dyDescent="0.25">
      <c r="A25" s="29" t="s">
        <v>1424</v>
      </c>
      <c r="B25" s="90" t="s">
        <v>1544</v>
      </c>
      <c r="C25" s="90">
        <v>1</v>
      </c>
      <c r="D25">
        <f t="shared" si="0"/>
        <v>150</v>
      </c>
    </row>
    <row r="26" spans="1:4" x14ac:dyDescent="0.25">
      <c r="A26" s="29" t="s">
        <v>1434</v>
      </c>
      <c r="B26" s="90" t="s">
        <v>1810</v>
      </c>
      <c r="C26" s="90">
        <v>1</v>
      </c>
      <c r="D26">
        <f t="shared" si="0"/>
        <v>150</v>
      </c>
    </row>
    <row r="27" spans="1:4" x14ac:dyDescent="0.25">
      <c r="A27" s="29" t="e">
        <v>#N/A</v>
      </c>
      <c r="B27" s="90" t="s">
        <v>1804</v>
      </c>
      <c r="C27" s="90">
        <v>1</v>
      </c>
      <c r="D27">
        <f t="shared" si="0"/>
        <v>150</v>
      </c>
    </row>
    <row r="28" spans="1:4" x14ac:dyDescent="0.25">
      <c r="A28" s="29" t="s">
        <v>1427</v>
      </c>
      <c r="B28" s="90" t="s">
        <v>1529</v>
      </c>
      <c r="C28" s="90">
        <v>1</v>
      </c>
      <c r="D28">
        <f t="shared" si="0"/>
        <v>150</v>
      </c>
    </row>
    <row r="29" spans="1:4" x14ac:dyDescent="0.25">
      <c r="A29" s="29" t="s">
        <v>1393</v>
      </c>
      <c r="B29" s="90" t="s">
        <v>1600</v>
      </c>
      <c r="C29" s="90">
        <v>1</v>
      </c>
      <c r="D29">
        <f t="shared" si="0"/>
        <v>150</v>
      </c>
    </row>
    <row r="30" spans="1:4" x14ac:dyDescent="0.25">
      <c r="A30" s="29" t="s">
        <v>1425</v>
      </c>
      <c r="B30" s="90" t="s">
        <v>1615</v>
      </c>
      <c r="C30" s="90">
        <v>1</v>
      </c>
      <c r="D30">
        <f t="shared" si="0"/>
        <v>150</v>
      </c>
    </row>
    <row r="31" spans="1:4" x14ac:dyDescent="0.25">
      <c r="A31" s="29" t="s">
        <v>1409</v>
      </c>
      <c r="B31" s="90" t="s">
        <v>1584</v>
      </c>
      <c r="C31" s="90">
        <v>1</v>
      </c>
      <c r="D31">
        <f t="shared" si="0"/>
        <v>150</v>
      </c>
    </row>
    <row r="32" spans="1:4" x14ac:dyDescent="0.25">
      <c r="A32" s="29" t="s">
        <v>1415</v>
      </c>
      <c r="B32" s="90" t="s">
        <v>1803</v>
      </c>
      <c r="C32" s="90">
        <v>1</v>
      </c>
      <c r="D32">
        <f t="shared" si="0"/>
        <v>150</v>
      </c>
    </row>
    <row r="33" spans="1:4" x14ac:dyDescent="0.25">
      <c r="A33" s="29" t="s">
        <v>1388</v>
      </c>
      <c r="B33" s="90" t="s">
        <v>1722</v>
      </c>
      <c r="C33" s="90">
        <v>1</v>
      </c>
      <c r="D33">
        <f t="shared" si="0"/>
        <v>150</v>
      </c>
    </row>
    <row r="34" spans="1:4" x14ac:dyDescent="0.25">
      <c r="A34" s="29" t="s">
        <v>1405</v>
      </c>
      <c r="B34" s="90" t="s">
        <v>1863</v>
      </c>
      <c r="C34" s="90">
        <v>1</v>
      </c>
      <c r="D34">
        <f t="shared" si="0"/>
        <v>150</v>
      </c>
    </row>
    <row r="35" spans="1:4" x14ac:dyDescent="0.25">
      <c r="A35" s="29" t="s">
        <v>1404</v>
      </c>
      <c r="B35" s="90" t="s">
        <v>1811</v>
      </c>
      <c r="C35" s="90">
        <v>1</v>
      </c>
      <c r="D35">
        <f t="shared" si="0"/>
        <v>150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8F12-9D0F-43F7-97F5-8552653652BB}">
  <dimension ref="A1:H48"/>
  <sheetViews>
    <sheetView workbookViewId="0">
      <selection activeCell="H2" sqref="H2"/>
    </sheetView>
  </sheetViews>
  <sheetFormatPr defaultRowHeight="15" x14ac:dyDescent="0.25"/>
  <cols>
    <col min="1" max="1" width="22.42578125" bestFit="1" customWidth="1"/>
    <col min="5" max="5" width="9.140625" style="118"/>
    <col min="6" max="6" width="14" style="2" bestFit="1" customWidth="1"/>
    <col min="7" max="7" width="9.140625" style="118"/>
  </cols>
  <sheetData>
    <row r="1" spans="1:8" x14ac:dyDescent="0.25">
      <c r="A1" t="s">
        <v>1447</v>
      </c>
      <c r="B1" t="s">
        <v>1887</v>
      </c>
      <c r="C1" t="s">
        <v>1888</v>
      </c>
      <c r="D1" t="s">
        <v>1889</v>
      </c>
      <c r="E1" s="118" t="s">
        <v>2045</v>
      </c>
      <c r="F1" s="2" t="s">
        <v>2046</v>
      </c>
      <c r="G1" s="118" t="s">
        <v>2047</v>
      </c>
      <c r="H1" t="s">
        <v>1881</v>
      </c>
    </row>
    <row r="2" spans="1:8" x14ac:dyDescent="0.25">
      <c r="A2" t="s">
        <v>1398</v>
      </c>
      <c r="B2" s="118">
        <v>60</v>
      </c>
      <c r="C2">
        <f>_xlfn.XLOOKUP(A2,'June Incentive'!A:A,'June Incentive'!I:I)</f>
        <v>110</v>
      </c>
      <c r="D2">
        <f>_xlfn.XLOOKUP(A2,'May Incentive'!A:A,'May Incentive'!I:I,0)</f>
        <v>70.83</v>
      </c>
      <c r="E2" s="118">
        <f>(D2+C2+B2)/3</f>
        <v>80.276666666666657</v>
      </c>
      <c r="F2" s="2">
        <f>_xlfn.XLOOKUP(A2,Attendance!F:F,Attendance!H:H)</f>
        <v>45152</v>
      </c>
      <c r="G2" s="118">
        <f>IFERROR((DATE(2026,7,31)-F2)/30, "Not Found")</f>
        <v>36.06666666666667</v>
      </c>
      <c r="H2" t="str">
        <f>IF(G2="","",IF(G2&lt;6,"ELIGIBLE",IF(E2&gt;85,"ELIGIBLE","NOT ELIGIBLE")))</f>
        <v>NOT ELIGIBLE</v>
      </c>
    </row>
    <row r="3" spans="1:8" x14ac:dyDescent="0.25">
      <c r="A3" t="s">
        <v>1406</v>
      </c>
      <c r="B3" s="118">
        <v>77.5</v>
      </c>
      <c r="C3">
        <f>_xlfn.XLOOKUP(A3,'June Incentive'!A:A,'June Incentive'!I:I)</f>
        <v>110.83</v>
      </c>
      <c r="D3">
        <f>_xlfn.XLOOKUP(A3,'May Incentive'!A:A,'May Incentive'!I:I,0)</f>
        <v>82.5</v>
      </c>
      <c r="E3" s="118">
        <f t="shared" ref="E3:E48" si="0">(D3+C3+B3)/3</f>
        <v>90.276666666666657</v>
      </c>
      <c r="F3" s="2">
        <f>_xlfn.XLOOKUP(A3,Attendance!F:F,Attendance!H:H)</f>
        <v>45182</v>
      </c>
      <c r="G3" s="118">
        <f t="shared" ref="G3:G48" si="1">IFERROR((DATE(2026,7,31)-F3)/30, "Not Found")</f>
        <v>35.06666666666667</v>
      </c>
      <c r="H3" t="str">
        <f t="shared" ref="H3:H48" si="2">IF(G3="","",IF(G3&lt;6,"ELIGIBLE",IF(E3&gt;85,"ELIGIBLE","NOT ELIGIBLE")))</f>
        <v>ELIGIBLE</v>
      </c>
    </row>
    <row r="4" spans="1:8" x14ac:dyDescent="0.25">
      <c r="A4" t="s">
        <v>1408</v>
      </c>
      <c r="B4" s="118">
        <v>110.83333333333334</v>
      </c>
      <c r="C4">
        <f>_xlfn.XLOOKUP(A4,'June Incentive'!A:A,'June Incentive'!I:I)</f>
        <v>93.33</v>
      </c>
      <c r="D4">
        <f>_xlfn.XLOOKUP(A4,'May Incentive'!A:A,'May Incentive'!I:I,0)</f>
        <v>70.83</v>
      </c>
      <c r="E4" s="118">
        <f t="shared" si="0"/>
        <v>91.664444444444442</v>
      </c>
      <c r="F4" s="2">
        <f>_xlfn.XLOOKUP(A4,Attendance!F:F,Attendance!H:H)</f>
        <v>45512</v>
      </c>
      <c r="G4" s="118">
        <f t="shared" si="1"/>
        <v>24.066666666666666</v>
      </c>
      <c r="H4" t="str">
        <f t="shared" si="2"/>
        <v>ELIGIBLE</v>
      </c>
    </row>
    <row r="5" spans="1:8" x14ac:dyDescent="0.25">
      <c r="A5" t="s">
        <v>1412</v>
      </c>
      <c r="B5" s="118">
        <v>58.333333333333336</v>
      </c>
      <c r="C5">
        <f>_xlfn.XLOOKUP(A5,'June Incentive'!A:A,'June Incentive'!I:I)</f>
        <v>78.33</v>
      </c>
      <c r="D5">
        <f>_xlfn.XLOOKUP(A5,'May Incentive'!A:A,'May Incentive'!I:I,0)</f>
        <v>65.83</v>
      </c>
      <c r="E5" s="118">
        <f t="shared" si="0"/>
        <v>67.497777777777785</v>
      </c>
      <c r="F5" s="2">
        <f>_xlfn.XLOOKUP(A5,Attendance!F:F,Attendance!H:H)</f>
        <v>45800</v>
      </c>
      <c r="G5" s="118">
        <f t="shared" si="1"/>
        <v>14.466666666666667</v>
      </c>
      <c r="H5" t="str">
        <f t="shared" si="2"/>
        <v>NOT ELIGIBLE</v>
      </c>
    </row>
    <row r="6" spans="1:8" x14ac:dyDescent="0.25">
      <c r="A6" t="s">
        <v>1399</v>
      </c>
      <c r="B6" s="118">
        <v>73.333333333333329</v>
      </c>
      <c r="C6">
        <f>_xlfn.XLOOKUP(A6,'June Incentive'!A:A,'June Incentive'!I:I)</f>
        <v>73.33</v>
      </c>
      <c r="D6">
        <f>_xlfn.XLOOKUP(A6,'May Incentive'!A:A,'May Incentive'!I:I,0)</f>
        <v>62.5</v>
      </c>
      <c r="E6" s="118">
        <f t="shared" si="0"/>
        <v>69.721111111111099</v>
      </c>
      <c r="F6" s="2">
        <f>_xlfn.XLOOKUP(A6,Attendance!F:F,Attendance!H:H)</f>
        <v>45777</v>
      </c>
      <c r="G6" s="118">
        <f t="shared" si="1"/>
        <v>15.233333333333333</v>
      </c>
      <c r="H6" t="str">
        <f t="shared" si="2"/>
        <v>NOT ELIGIBLE</v>
      </c>
    </row>
    <row r="7" spans="1:8" x14ac:dyDescent="0.25">
      <c r="A7" t="s">
        <v>1402</v>
      </c>
      <c r="B7" s="118">
        <v>58.333333333333336</v>
      </c>
      <c r="C7">
        <f>_xlfn.XLOOKUP(A7,'June Incentive'!A:A,'June Incentive'!I:I)</f>
        <v>91.11</v>
      </c>
      <c r="D7">
        <f>_xlfn.XLOOKUP(A7,'May Incentive'!A:A,'May Incentive'!I:I,0)</f>
        <v>57.78</v>
      </c>
      <c r="E7" s="118">
        <f t="shared" si="0"/>
        <v>69.074444444444438</v>
      </c>
      <c r="F7" s="2">
        <f>_xlfn.XLOOKUP(A7,Attendance!F:F,Attendance!H:H)</f>
        <v>45590</v>
      </c>
      <c r="G7" s="118">
        <f t="shared" si="1"/>
        <v>21.466666666666665</v>
      </c>
      <c r="H7" t="str">
        <f t="shared" si="2"/>
        <v>NOT ELIGIBLE</v>
      </c>
    </row>
    <row r="8" spans="1:8" x14ac:dyDescent="0.25">
      <c r="A8" t="s">
        <v>1427</v>
      </c>
      <c r="B8" s="118">
        <v>46.666666666666664</v>
      </c>
      <c r="C8">
        <f>_xlfn.XLOOKUP(A8,'June Incentive'!A:A,'June Incentive'!I:I)</f>
        <v>46.67</v>
      </c>
      <c r="D8">
        <f>_xlfn.XLOOKUP(A8,'May Incentive'!A:A,'May Incentive'!I:I,0)</f>
        <v>0</v>
      </c>
      <c r="E8" s="118">
        <f t="shared" si="0"/>
        <v>31.112222222222226</v>
      </c>
      <c r="F8" s="2">
        <f>_xlfn.XLOOKUP(A8,Attendance!F:F,Attendance!H:H)</f>
        <v>46162</v>
      </c>
      <c r="G8" s="118">
        <f t="shared" si="1"/>
        <v>2.4</v>
      </c>
      <c r="H8" t="str">
        <f t="shared" si="2"/>
        <v>ELIGIBLE</v>
      </c>
    </row>
    <row r="9" spans="1:8" x14ac:dyDescent="0.25">
      <c r="A9" t="s">
        <v>1414</v>
      </c>
      <c r="B9" s="118">
        <v>106.66666666666667</v>
      </c>
      <c r="C9">
        <f>_xlfn.XLOOKUP(A9,'June Incentive'!A:A,'June Incentive'!I:I)</f>
        <v>40</v>
      </c>
      <c r="D9">
        <f>_xlfn.XLOOKUP(A9,'May Incentive'!A:A,'May Incentive'!I:I,0)</f>
        <v>0</v>
      </c>
      <c r="E9" s="118">
        <f t="shared" si="0"/>
        <v>48.888888888888893</v>
      </c>
      <c r="F9" s="2">
        <f>_xlfn.XLOOKUP(A9,Attendance!F:F,Attendance!H:H)</f>
        <v>46162</v>
      </c>
      <c r="G9" s="118">
        <f t="shared" si="1"/>
        <v>2.4</v>
      </c>
      <c r="H9" t="str">
        <f t="shared" si="2"/>
        <v>ELIGIBLE</v>
      </c>
    </row>
    <row r="10" spans="1:8" x14ac:dyDescent="0.25">
      <c r="A10" t="s">
        <v>1422</v>
      </c>
      <c r="B10" s="118">
        <v>60</v>
      </c>
      <c r="C10">
        <f>_xlfn.XLOOKUP(A10,'June Incentive'!A:A,'June Incentive'!I:I)</f>
        <v>20</v>
      </c>
      <c r="D10">
        <f>_xlfn.XLOOKUP(A10,'May Incentive'!A:A,'May Incentive'!I:I,0)</f>
        <v>0</v>
      </c>
      <c r="E10" s="118">
        <f t="shared" si="0"/>
        <v>26.666666666666668</v>
      </c>
      <c r="F10" s="2">
        <f>_xlfn.XLOOKUP(A10,Attendance!F:F,Attendance!H:H)</f>
        <v>46162</v>
      </c>
      <c r="G10" s="118">
        <f t="shared" si="1"/>
        <v>2.4</v>
      </c>
      <c r="H10" t="str">
        <f t="shared" si="2"/>
        <v>ELIGIBLE</v>
      </c>
    </row>
    <row r="11" spans="1:8" x14ac:dyDescent="0.25">
      <c r="A11" t="s">
        <v>1424</v>
      </c>
      <c r="B11" s="118">
        <v>80</v>
      </c>
      <c r="C11">
        <f>_xlfn.XLOOKUP(A11,'June Incentive'!A:A,'June Incentive'!I:I)</f>
        <v>6.67</v>
      </c>
      <c r="D11">
        <f>_xlfn.XLOOKUP(A11,'May Incentive'!A:A,'May Incentive'!I:I,0)</f>
        <v>0</v>
      </c>
      <c r="E11" s="118">
        <f t="shared" si="0"/>
        <v>28.89</v>
      </c>
      <c r="F11" s="2">
        <f>_xlfn.XLOOKUP(A11,Attendance!F:F,Attendance!H:H)</f>
        <v>46162</v>
      </c>
      <c r="G11" s="118">
        <f t="shared" si="1"/>
        <v>2.4</v>
      </c>
      <c r="H11" t="str">
        <f t="shared" si="2"/>
        <v>ELIGIBLE</v>
      </c>
    </row>
    <row r="12" spans="1:8" x14ac:dyDescent="0.25">
      <c r="A12" t="s">
        <v>1432</v>
      </c>
      <c r="B12" s="118">
        <v>60</v>
      </c>
      <c r="C12">
        <f>_xlfn.XLOOKUP(A12,'June Incentive'!A:A,'June Incentive'!I:I)</f>
        <v>6.67</v>
      </c>
      <c r="D12">
        <f>_xlfn.XLOOKUP(A12,'May Incentive'!A:A,'May Incentive'!I:I,0)</f>
        <v>0</v>
      </c>
      <c r="E12" s="118">
        <f t="shared" si="0"/>
        <v>22.223333333333333</v>
      </c>
      <c r="F12" s="2">
        <f>_xlfn.XLOOKUP(A12,Attendance!F:F,Attendance!H:H)</f>
        <v>46162</v>
      </c>
      <c r="G12" s="118">
        <f t="shared" si="1"/>
        <v>2.4</v>
      </c>
      <c r="H12" t="str">
        <f t="shared" si="2"/>
        <v>ELIGIBLE</v>
      </c>
    </row>
    <row r="13" spans="1:8" x14ac:dyDescent="0.25">
      <c r="A13" t="s">
        <v>1410</v>
      </c>
      <c r="B13" s="118">
        <v>53.333333333333336</v>
      </c>
      <c r="C13">
        <f>_xlfn.XLOOKUP(A13,'June Incentive'!A:A,'June Incentive'!I:I)</f>
        <v>13.33</v>
      </c>
      <c r="D13">
        <f>_xlfn.XLOOKUP(A13,'May Incentive'!A:A,'May Incentive'!I:I,0)</f>
        <v>0</v>
      </c>
      <c r="E13" s="118">
        <f t="shared" si="0"/>
        <v>22.221111111111114</v>
      </c>
      <c r="F13" s="2">
        <f>_xlfn.XLOOKUP(A13,Attendance!F:F,Attendance!H:H)</f>
        <v>46164</v>
      </c>
      <c r="G13" s="118">
        <f t="shared" si="1"/>
        <v>2.3333333333333335</v>
      </c>
      <c r="H13" t="str">
        <f t="shared" si="2"/>
        <v>ELIGIBLE</v>
      </c>
    </row>
    <row r="14" spans="1:8" x14ac:dyDescent="0.25">
      <c r="A14" t="s">
        <v>1428</v>
      </c>
      <c r="B14" s="118">
        <v>69.230769230769226</v>
      </c>
      <c r="C14">
        <f>_xlfn.XLOOKUP(A14,'June Incentive'!A:A,'June Incentive'!I:I)</f>
        <v>23.08</v>
      </c>
      <c r="D14">
        <f>_xlfn.XLOOKUP(A14,'May Incentive'!A:A,'May Incentive'!I:I,0)</f>
        <v>20</v>
      </c>
      <c r="E14" s="118">
        <f t="shared" si="0"/>
        <v>37.436923076923073</v>
      </c>
      <c r="F14" s="2">
        <f>_xlfn.XLOOKUP(A14,Attendance!F:F,Attendance!H:H)</f>
        <v>46104</v>
      </c>
      <c r="G14" s="118">
        <f t="shared" si="1"/>
        <v>4.333333333333333</v>
      </c>
      <c r="H14" t="str">
        <f t="shared" si="2"/>
        <v>ELIGIBLE</v>
      </c>
    </row>
    <row r="15" spans="1:8" x14ac:dyDescent="0.25">
      <c r="A15" t="s">
        <v>1435</v>
      </c>
      <c r="B15" s="118">
        <v>23.076923076923077</v>
      </c>
      <c r="C15">
        <f>_xlfn.XLOOKUP(A15,'June Incentive'!A:A,'June Incentive'!I:I)</f>
        <v>15.38</v>
      </c>
      <c r="D15">
        <f>_xlfn.XLOOKUP(A15,'May Incentive'!A:A,'May Incentive'!I:I,0)</f>
        <v>10</v>
      </c>
      <c r="E15" s="118">
        <f t="shared" si="0"/>
        <v>16.152307692307691</v>
      </c>
      <c r="F15" s="2">
        <f>_xlfn.XLOOKUP(A15,Attendance!F:F,Attendance!H:H)</f>
        <v>46104</v>
      </c>
      <c r="G15" s="118">
        <f t="shared" si="1"/>
        <v>4.333333333333333</v>
      </c>
      <c r="H15" t="str">
        <f t="shared" si="2"/>
        <v>ELIGIBLE</v>
      </c>
    </row>
    <row r="16" spans="1:8" x14ac:dyDescent="0.25">
      <c r="A16" t="s">
        <v>1419</v>
      </c>
      <c r="B16" s="118">
        <v>11.538461538461538</v>
      </c>
      <c r="C16">
        <f>_xlfn.XLOOKUP(A16,'June Incentive'!A:A,'June Incentive'!I:I)</f>
        <v>23.08</v>
      </c>
      <c r="D16">
        <f>_xlfn.XLOOKUP(A16,'May Incentive'!A:A,'May Incentive'!I:I,0)</f>
        <v>15</v>
      </c>
      <c r="E16" s="118">
        <f t="shared" si="0"/>
        <v>16.539487179487178</v>
      </c>
      <c r="F16" s="2">
        <f>_xlfn.XLOOKUP(A16,Attendance!F:F,Attendance!H:H)</f>
        <v>46104</v>
      </c>
      <c r="G16" s="118">
        <f t="shared" si="1"/>
        <v>4.333333333333333</v>
      </c>
      <c r="H16" t="str">
        <f t="shared" si="2"/>
        <v>ELIGIBLE</v>
      </c>
    </row>
    <row r="17" spans="1:8" x14ac:dyDescent="0.25">
      <c r="A17" t="s">
        <v>1404</v>
      </c>
      <c r="B17" s="118">
        <v>50</v>
      </c>
      <c r="C17">
        <f>_xlfn.XLOOKUP(A17,'June Incentive'!A:A,'June Incentive'!I:I)</f>
        <v>46.67</v>
      </c>
      <c r="D17">
        <f>_xlfn.XLOOKUP(A17,'May Incentive'!A:A,'May Incentive'!I:I,0)</f>
        <v>5</v>
      </c>
      <c r="E17" s="118">
        <f t="shared" si="0"/>
        <v>33.89</v>
      </c>
      <c r="F17" s="2">
        <f>_xlfn.XLOOKUP(A17,Attendance!F:F,Attendance!H:H)</f>
        <v>46113</v>
      </c>
      <c r="G17" s="118">
        <f t="shared" si="1"/>
        <v>4.0333333333333332</v>
      </c>
      <c r="H17" t="str">
        <f t="shared" si="2"/>
        <v>ELIGIBLE</v>
      </c>
    </row>
    <row r="18" spans="1:8" x14ac:dyDescent="0.25">
      <c r="A18" t="s">
        <v>1413</v>
      </c>
      <c r="B18" s="118">
        <v>75</v>
      </c>
      <c r="C18">
        <f>_xlfn.XLOOKUP(A18,'June Incentive'!A:A,'June Incentive'!I:I)</f>
        <v>57.69</v>
      </c>
      <c r="D18">
        <f>_xlfn.XLOOKUP(A18,'May Incentive'!A:A,'May Incentive'!I:I,0)</f>
        <v>76.92</v>
      </c>
      <c r="E18" s="118">
        <f t="shared" si="0"/>
        <v>69.87</v>
      </c>
      <c r="F18" s="2">
        <f>_xlfn.XLOOKUP(A18,Attendance!F:F,Attendance!H:H)</f>
        <v>45880</v>
      </c>
      <c r="G18" s="118">
        <f t="shared" si="1"/>
        <v>11.8</v>
      </c>
      <c r="H18" t="str">
        <f t="shared" si="2"/>
        <v>NOT ELIGIBLE</v>
      </c>
    </row>
    <row r="19" spans="1:8" x14ac:dyDescent="0.25">
      <c r="A19" t="s">
        <v>1409</v>
      </c>
      <c r="B19" s="118">
        <v>89.285714285714292</v>
      </c>
      <c r="C19">
        <f>_xlfn.XLOOKUP(A19,'June Incentive'!A:A,'June Incentive'!I:I)</f>
        <v>65.38</v>
      </c>
      <c r="D19">
        <f>_xlfn.XLOOKUP(A19,'May Incentive'!A:A,'May Incentive'!I:I,0)</f>
        <v>57.69</v>
      </c>
      <c r="E19" s="118">
        <f t="shared" si="0"/>
        <v>70.785238095238086</v>
      </c>
      <c r="F19" s="2">
        <f>_xlfn.XLOOKUP(A19,Attendance!F:F,Attendance!H:H)</f>
        <v>45908</v>
      </c>
      <c r="G19" s="118">
        <f t="shared" si="1"/>
        <v>10.866666666666667</v>
      </c>
      <c r="H19" t="str">
        <f t="shared" si="2"/>
        <v>NOT ELIGIBLE</v>
      </c>
    </row>
    <row r="20" spans="1:8" x14ac:dyDescent="0.25">
      <c r="A20" t="s">
        <v>1405</v>
      </c>
      <c r="B20" s="118">
        <v>110.71428571428572</v>
      </c>
      <c r="C20">
        <f>_xlfn.XLOOKUP(A20,'June Incentive'!A:A,'June Incentive'!I:I)</f>
        <v>153.85</v>
      </c>
      <c r="D20">
        <f>_xlfn.XLOOKUP(A20,'May Incentive'!A:A,'May Incentive'!I:I,0)</f>
        <v>96.15</v>
      </c>
      <c r="E20" s="118">
        <f t="shared" si="0"/>
        <v>120.23809523809524</v>
      </c>
      <c r="F20" s="2">
        <f>_xlfn.XLOOKUP(A20,Attendance!F:F,Attendance!H:H)</f>
        <v>45908</v>
      </c>
      <c r="G20" s="118">
        <f t="shared" si="1"/>
        <v>10.866666666666667</v>
      </c>
      <c r="H20" t="str">
        <f t="shared" si="2"/>
        <v>ELIGIBLE</v>
      </c>
    </row>
    <row r="21" spans="1:8" x14ac:dyDescent="0.25">
      <c r="A21" t="s">
        <v>1391</v>
      </c>
      <c r="B21" s="118">
        <v>110.71428571428572</v>
      </c>
      <c r="C21">
        <f>_xlfn.XLOOKUP(A21,'June Incentive'!A:A,'June Incentive'!I:I)</f>
        <v>111.54</v>
      </c>
      <c r="D21">
        <f>_xlfn.XLOOKUP(A21,'May Incentive'!A:A,'May Incentive'!I:I,0)</f>
        <v>111.54</v>
      </c>
      <c r="E21" s="118">
        <f t="shared" si="0"/>
        <v>111.2647619047619</v>
      </c>
      <c r="F21" s="2">
        <f>_xlfn.XLOOKUP(A21,Attendance!F:F,Attendance!H:H)</f>
        <v>45908</v>
      </c>
      <c r="G21" s="118">
        <f t="shared" si="1"/>
        <v>10.866666666666667</v>
      </c>
      <c r="H21" t="str">
        <f t="shared" si="2"/>
        <v>ELIGIBLE</v>
      </c>
    </row>
    <row r="22" spans="1:8" x14ac:dyDescent="0.25">
      <c r="A22" t="s">
        <v>1393</v>
      </c>
      <c r="B22" s="118">
        <v>60.714285714285708</v>
      </c>
      <c r="C22">
        <f>_xlfn.XLOOKUP(A22,'June Incentive'!A:A,'June Incentive'!I:I)</f>
        <v>103.57</v>
      </c>
      <c r="D22">
        <f>_xlfn.XLOOKUP(A22,'May Incentive'!A:A,'May Incentive'!I:I,0)</f>
        <v>130.77000000000001</v>
      </c>
      <c r="E22" s="118">
        <f t="shared" si="0"/>
        <v>98.351428571428571</v>
      </c>
      <c r="F22" s="2">
        <f>_xlfn.XLOOKUP(A22,Attendance!F:F,Attendance!H:H)</f>
        <v>45563</v>
      </c>
      <c r="G22" s="118">
        <f t="shared" si="1"/>
        <v>22.366666666666667</v>
      </c>
      <c r="H22" t="str">
        <f t="shared" si="2"/>
        <v>ELIGIBLE</v>
      </c>
    </row>
    <row r="23" spans="1:8" x14ac:dyDescent="0.25">
      <c r="A23" t="s">
        <v>1421</v>
      </c>
      <c r="B23" s="118">
        <v>50</v>
      </c>
      <c r="C23">
        <f>_xlfn.XLOOKUP(A23,'June Incentive'!A:A,'June Incentive'!I:I)</f>
        <v>73.08</v>
      </c>
      <c r="D23">
        <f>_xlfn.XLOOKUP(A23,'May Incentive'!A:A,'May Incentive'!I:I,0)</f>
        <v>80</v>
      </c>
      <c r="E23" s="118">
        <f t="shared" si="0"/>
        <v>67.693333333333328</v>
      </c>
      <c r="F23" s="2">
        <f>_xlfn.XLOOKUP(A23,Attendance!F:F,Attendance!H:H)</f>
        <v>46064</v>
      </c>
      <c r="G23" s="118">
        <f t="shared" si="1"/>
        <v>5.666666666666667</v>
      </c>
      <c r="H23" t="str">
        <f t="shared" si="2"/>
        <v>ELIGIBLE</v>
      </c>
    </row>
    <row r="24" spans="1:8" x14ac:dyDescent="0.25">
      <c r="A24" t="s">
        <v>1418</v>
      </c>
      <c r="B24" s="118">
        <v>96.15384615384616</v>
      </c>
      <c r="C24">
        <f>_xlfn.XLOOKUP(A24,'June Incentive'!A:A,'June Incentive'!I:I)</f>
        <v>34.619999999999997</v>
      </c>
      <c r="D24">
        <f>_xlfn.XLOOKUP(A24,'May Incentive'!A:A,'May Incentive'!I:I,0)</f>
        <v>80</v>
      </c>
      <c r="E24" s="118">
        <f t="shared" si="0"/>
        <v>70.257948717948722</v>
      </c>
      <c r="F24" s="2">
        <f>_xlfn.XLOOKUP(A24,Attendance!F:F,Attendance!H:H)</f>
        <v>46064</v>
      </c>
      <c r="G24" s="118">
        <f t="shared" si="1"/>
        <v>5.666666666666667</v>
      </c>
      <c r="H24" t="str">
        <f t="shared" si="2"/>
        <v>ELIGIBLE</v>
      </c>
    </row>
    <row r="25" spans="1:8" x14ac:dyDescent="0.25">
      <c r="A25" t="s">
        <v>1425</v>
      </c>
      <c r="B25" s="118">
        <v>57.692307692307686</v>
      </c>
      <c r="C25">
        <f>_xlfn.XLOOKUP(A25,'June Incentive'!A:A,'June Incentive'!I:I)</f>
        <v>42.31</v>
      </c>
      <c r="D25">
        <f>_xlfn.XLOOKUP(A25,'May Incentive'!A:A,'May Incentive'!I:I,0)</f>
        <v>35</v>
      </c>
      <c r="E25" s="118">
        <f t="shared" si="0"/>
        <v>45.00076923076923</v>
      </c>
      <c r="F25" s="2">
        <f>_xlfn.XLOOKUP(A25,Attendance!F:F,Attendance!H:H)</f>
        <v>46064</v>
      </c>
      <c r="G25" s="118">
        <f t="shared" si="1"/>
        <v>5.666666666666667</v>
      </c>
      <c r="H25" t="str">
        <f t="shared" si="2"/>
        <v>ELIGIBLE</v>
      </c>
    </row>
    <row r="26" spans="1:8" x14ac:dyDescent="0.25">
      <c r="A26" t="s">
        <v>1394</v>
      </c>
      <c r="B26" s="118">
        <v>42.307692307692307</v>
      </c>
      <c r="C26">
        <f>_xlfn.XLOOKUP(A26,'June Incentive'!A:A,'June Incentive'!I:I)</f>
        <v>53.85</v>
      </c>
      <c r="D26">
        <f>_xlfn.XLOOKUP(A26,'May Incentive'!A:A,'May Incentive'!I:I,0)</f>
        <v>55</v>
      </c>
      <c r="E26" s="118">
        <f t="shared" si="0"/>
        <v>50.385897435897427</v>
      </c>
      <c r="F26" s="2">
        <f>_xlfn.XLOOKUP(A26,Attendance!F:F,Attendance!H:H)</f>
        <v>46064</v>
      </c>
      <c r="G26" s="118">
        <f t="shared" si="1"/>
        <v>5.666666666666667</v>
      </c>
      <c r="H26" t="str">
        <f t="shared" si="2"/>
        <v>ELIGIBLE</v>
      </c>
    </row>
    <row r="27" spans="1:8" x14ac:dyDescent="0.25">
      <c r="A27" t="s">
        <v>1395</v>
      </c>
      <c r="B27" s="118">
        <v>53.846153846153847</v>
      </c>
      <c r="C27">
        <f>_xlfn.XLOOKUP(A27,'June Incentive'!A:A,'June Incentive'!I:I)</f>
        <v>26.92</v>
      </c>
      <c r="D27">
        <f>_xlfn.XLOOKUP(A27,'May Incentive'!A:A,'May Incentive'!I:I,0)</f>
        <v>30</v>
      </c>
      <c r="E27" s="118">
        <f t="shared" si="0"/>
        <v>36.922051282051285</v>
      </c>
      <c r="F27" s="2">
        <f>_xlfn.XLOOKUP(A27,Attendance!F:F,Attendance!H:H)</f>
        <v>46064</v>
      </c>
      <c r="G27" s="118">
        <f t="shared" si="1"/>
        <v>5.666666666666667</v>
      </c>
      <c r="H27" t="str">
        <f t="shared" si="2"/>
        <v>ELIGIBLE</v>
      </c>
    </row>
    <row r="28" spans="1:8" x14ac:dyDescent="0.25">
      <c r="A28" t="s">
        <v>1426</v>
      </c>
      <c r="B28" s="118">
        <v>30.76923076923077</v>
      </c>
      <c r="C28">
        <f>_xlfn.XLOOKUP(A28,'June Incentive'!A:A,'June Incentive'!I:I)</f>
        <v>38.46</v>
      </c>
      <c r="D28">
        <f>_xlfn.XLOOKUP(A28,'May Incentive'!A:A,'May Incentive'!I:I,0)</f>
        <v>5</v>
      </c>
      <c r="E28" s="118">
        <f t="shared" si="0"/>
        <v>24.743076923076924</v>
      </c>
      <c r="F28" s="2">
        <f>_xlfn.XLOOKUP(A28,Attendance!F:F,Attendance!H:H)</f>
        <v>46104</v>
      </c>
      <c r="G28" s="118">
        <f t="shared" si="1"/>
        <v>4.333333333333333</v>
      </c>
      <c r="H28" t="str">
        <f t="shared" si="2"/>
        <v>ELIGIBLE</v>
      </c>
    </row>
    <row r="29" spans="1:8" x14ac:dyDescent="0.25">
      <c r="A29" t="s">
        <v>1434</v>
      </c>
      <c r="B29" s="118">
        <v>38.461538461538467</v>
      </c>
      <c r="C29">
        <f>_xlfn.XLOOKUP(A29,'June Incentive'!A:A,'June Incentive'!I:I)</f>
        <v>15.38</v>
      </c>
      <c r="D29">
        <f>_xlfn.XLOOKUP(A29,'May Incentive'!A:A,'May Incentive'!I:I,0)</f>
        <v>10</v>
      </c>
      <c r="E29" s="118">
        <f t="shared" si="0"/>
        <v>21.280512820512822</v>
      </c>
      <c r="F29" s="2">
        <f>_xlfn.XLOOKUP(A29,Attendance!F:F,Attendance!H:H)</f>
        <v>46104</v>
      </c>
      <c r="G29" s="118">
        <f t="shared" si="1"/>
        <v>4.333333333333333</v>
      </c>
      <c r="H29" t="str">
        <f t="shared" si="2"/>
        <v>ELIGIBLE</v>
      </c>
    </row>
    <row r="30" spans="1:8" x14ac:dyDescent="0.25">
      <c r="A30" t="s">
        <v>1401</v>
      </c>
      <c r="B30" s="118">
        <v>76.923076923076934</v>
      </c>
      <c r="C30">
        <f>_xlfn.XLOOKUP(A30,'June Incentive'!A:A,'June Incentive'!I:I)</f>
        <v>42.31</v>
      </c>
      <c r="D30">
        <f>_xlfn.XLOOKUP(A30,'May Incentive'!A:A,'May Incentive'!I:I,0)</f>
        <v>10</v>
      </c>
      <c r="E30" s="118">
        <f t="shared" si="0"/>
        <v>43.07769230769231</v>
      </c>
      <c r="F30" s="2">
        <f>_xlfn.XLOOKUP(A30,Attendance!F:F,Attendance!H:H)</f>
        <v>46104</v>
      </c>
      <c r="G30" s="118">
        <f t="shared" si="1"/>
        <v>4.333333333333333</v>
      </c>
      <c r="H30" t="str">
        <f t="shared" si="2"/>
        <v>ELIGIBLE</v>
      </c>
    </row>
    <row r="31" spans="1:8" x14ac:dyDescent="0.25">
      <c r="A31" t="s">
        <v>1437</v>
      </c>
      <c r="B31" s="118">
        <v>11.538461538461538</v>
      </c>
      <c r="C31" t="e">
        <f>_xlfn.XLOOKUP(A31,'June Incentive'!A:A,'June Incentive'!I:I)</f>
        <v>#N/A</v>
      </c>
      <c r="D31">
        <f>_xlfn.XLOOKUP(A31,'May Incentive'!A:A,'May Incentive'!I:I,0)</f>
        <v>0</v>
      </c>
      <c r="E31" s="118" t="e">
        <f t="shared" si="0"/>
        <v>#N/A</v>
      </c>
      <c r="F31" s="2">
        <f>_xlfn.XLOOKUP(A31,Attendance!F:F,Attendance!H:H)</f>
        <v>46203</v>
      </c>
      <c r="G31" s="118">
        <f t="shared" si="1"/>
        <v>1.0333333333333334</v>
      </c>
      <c r="H31" t="str">
        <f t="shared" si="2"/>
        <v>ELIGIBLE</v>
      </c>
    </row>
    <row r="32" spans="1:8" x14ac:dyDescent="0.25">
      <c r="A32" t="s">
        <v>1411</v>
      </c>
      <c r="B32" s="118">
        <v>11.538461538461538</v>
      </c>
      <c r="C32" t="e">
        <f>_xlfn.XLOOKUP(A32,'June Incentive'!A:A,'June Incentive'!I:I)</f>
        <v>#N/A</v>
      </c>
      <c r="D32">
        <f>_xlfn.XLOOKUP(A32,'May Incentive'!A:A,'May Incentive'!I:I,0)</f>
        <v>0</v>
      </c>
      <c r="E32" s="118" t="e">
        <f t="shared" si="0"/>
        <v>#N/A</v>
      </c>
      <c r="F32" s="2">
        <f>_xlfn.XLOOKUP(A32,Attendance!F:F,Attendance!H:H)</f>
        <v>46203</v>
      </c>
      <c r="G32" s="118">
        <f t="shared" si="1"/>
        <v>1.0333333333333334</v>
      </c>
      <c r="H32" t="str">
        <f t="shared" si="2"/>
        <v>ELIGIBLE</v>
      </c>
    </row>
    <row r="33" spans="1:8" x14ac:dyDescent="0.25">
      <c r="A33" t="s">
        <v>1416</v>
      </c>
      <c r="B33" s="118">
        <v>11.538461538461538</v>
      </c>
      <c r="C33" t="e">
        <f>_xlfn.XLOOKUP(A33,'June Incentive'!A:A,'June Incentive'!I:I)</f>
        <v>#N/A</v>
      </c>
      <c r="D33">
        <f>_xlfn.XLOOKUP(A33,'May Incentive'!A:A,'May Incentive'!I:I,0)</f>
        <v>0</v>
      </c>
      <c r="E33" s="118" t="e">
        <f t="shared" si="0"/>
        <v>#N/A</v>
      </c>
      <c r="F33" s="2">
        <f>_xlfn.XLOOKUP(A33,Attendance!F:F,Attendance!H:H)</f>
        <v>46205</v>
      </c>
      <c r="G33" s="118">
        <f t="shared" si="1"/>
        <v>0.96666666666666667</v>
      </c>
      <c r="H33" t="str">
        <f t="shared" si="2"/>
        <v>ELIGIBLE</v>
      </c>
    </row>
    <row r="34" spans="1:8" x14ac:dyDescent="0.25">
      <c r="A34" t="s">
        <v>1403</v>
      </c>
      <c r="B34" s="118">
        <v>66.666666666666657</v>
      </c>
      <c r="C34">
        <f>_xlfn.XLOOKUP(A34,'June Incentive'!A:A,'June Incentive'!I:I)</f>
        <v>77.78</v>
      </c>
      <c r="D34">
        <f>_xlfn.XLOOKUP(A34,'May Incentive'!A:A,'May Incentive'!I:I,0)</f>
        <v>42.22</v>
      </c>
      <c r="E34" s="118">
        <f t="shared" si="0"/>
        <v>62.222222222222221</v>
      </c>
      <c r="F34" s="2">
        <f>_xlfn.XLOOKUP(A34,Attendance!F:F,Attendance!H:H)</f>
        <v>45509</v>
      </c>
      <c r="G34" s="118">
        <f t="shared" si="1"/>
        <v>24.166666666666668</v>
      </c>
      <c r="H34" t="str">
        <f t="shared" si="2"/>
        <v>NOT ELIGIBLE</v>
      </c>
    </row>
    <row r="35" spans="1:8" x14ac:dyDescent="0.25">
      <c r="A35" t="s">
        <v>1389</v>
      </c>
      <c r="B35" s="118">
        <v>75.555555555555557</v>
      </c>
      <c r="C35">
        <f>_xlfn.XLOOKUP(A35,'June Incentive'!A:A,'June Incentive'!I:I)</f>
        <v>60</v>
      </c>
      <c r="D35">
        <f>_xlfn.XLOOKUP(A35,'May Incentive'!A:A,'May Incentive'!I:I,0)</f>
        <v>55.56</v>
      </c>
      <c r="E35" s="118">
        <f t="shared" si="0"/>
        <v>63.705185185185179</v>
      </c>
      <c r="F35" s="2">
        <f>_xlfn.XLOOKUP(A35,Attendance!F:F,Attendance!H:H)</f>
        <v>45693</v>
      </c>
      <c r="G35" s="118">
        <f t="shared" si="1"/>
        <v>18.033333333333335</v>
      </c>
      <c r="H35" t="str">
        <f t="shared" si="2"/>
        <v>NOT ELIGIBLE</v>
      </c>
    </row>
    <row r="36" spans="1:8" x14ac:dyDescent="0.25">
      <c r="A36" t="s">
        <v>1433</v>
      </c>
      <c r="B36" s="118">
        <v>75.555555555555557</v>
      </c>
      <c r="C36">
        <f>_xlfn.XLOOKUP(A36,'June Incentive'!A:A,'June Incentive'!I:I)</f>
        <v>64.290000000000006</v>
      </c>
      <c r="D36">
        <f>_xlfn.XLOOKUP(A36,'May Incentive'!A:A,'May Incentive'!I:I,0)</f>
        <v>33.33</v>
      </c>
      <c r="E36" s="118">
        <f t="shared" si="0"/>
        <v>57.725185185185182</v>
      </c>
      <c r="F36" s="2">
        <f>_xlfn.XLOOKUP(A36,Attendance!F:F,Attendance!H:H)</f>
        <v>45791</v>
      </c>
      <c r="G36" s="118">
        <f t="shared" si="1"/>
        <v>14.766666666666667</v>
      </c>
      <c r="H36" t="str">
        <f t="shared" si="2"/>
        <v>NOT ELIGIBLE</v>
      </c>
    </row>
    <row r="37" spans="1:8" x14ac:dyDescent="0.25">
      <c r="A37" t="s">
        <v>1400</v>
      </c>
      <c r="B37" s="118">
        <v>128.88888888888889</v>
      </c>
      <c r="C37">
        <f>_xlfn.XLOOKUP(A37,'June Incentive'!A:A,'June Incentive'!I:I)</f>
        <v>108.89</v>
      </c>
      <c r="D37">
        <f>_xlfn.XLOOKUP(A37,'May Incentive'!A:A,'May Incentive'!I:I,0)</f>
        <v>60</v>
      </c>
      <c r="E37" s="118">
        <f t="shared" si="0"/>
        <v>99.259629629629629</v>
      </c>
      <c r="F37" s="2">
        <f>_xlfn.XLOOKUP(A37,Attendance!F:F,Attendance!H:H)</f>
        <v>46056</v>
      </c>
      <c r="G37" s="118">
        <f t="shared" si="1"/>
        <v>5.9333333333333336</v>
      </c>
      <c r="H37" t="str">
        <f t="shared" si="2"/>
        <v>ELIGIBLE</v>
      </c>
    </row>
    <row r="38" spans="1:8" x14ac:dyDescent="0.25">
      <c r="A38" t="s">
        <v>1397</v>
      </c>
      <c r="B38" s="118">
        <v>77.777777777777786</v>
      </c>
      <c r="C38">
        <f>_xlfn.XLOOKUP(A38,'June Incentive'!A:A,'June Incentive'!I:I)</f>
        <v>88.89</v>
      </c>
      <c r="D38">
        <f>_xlfn.XLOOKUP(A38,'May Incentive'!A:A,'May Incentive'!I:I,0)</f>
        <v>66.67</v>
      </c>
      <c r="E38" s="118">
        <f t="shared" si="0"/>
        <v>77.779259259259263</v>
      </c>
      <c r="F38" s="2">
        <f>_xlfn.XLOOKUP(A38,Attendance!F:F,Attendance!H:H)</f>
        <v>45770</v>
      </c>
      <c r="G38" s="118">
        <f t="shared" si="1"/>
        <v>15.466666666666667</v>
      </c>
      <c r="H38" t="str">
        <f t="shared" si="2"/>
        <v>NOT ELIGIBLE</v>
      </c>
    </row>
    <row r="39" spans="1:8" x14ac:dyDescent="0.25">
      <c r="A39" t="s">
        <v>1415</v>
      </c>
      <c r="B39" s="118">
        <v>80</v>
      </c>
      <c r="C39">
        <f>_xlfn.XLOOKUP(A39,'June Incentive'!A:A,'June Incentive'!I:I)</f>
        <v>135.71</v>
      </c>
      <c r="D39">
        <f>_xlfn.XLOOKUP(A39,'May Incentive'!A:A,'May Incentive'!I:I,0)</f>
        <v>46.67</v>
      </c>
      <c r="E39" s="118">
        <f t="shared" si="0"/>
        <v>87.46</v>
      </c>
      <c r="F39" s="2">
        <f>_xlfn.XLOOKUP(A39,Attendance!F:F,Attendance!H:H)</f>
        <v>45791</v>
      </c>
      <c r="G39" s="118">
        <f t="shared" si="1"/>
        <v>14.766666666666667</v>
      </c>
      <c r="H39" t="str">
        <f t="shared" si="2"/>
        <v>ELIGIBLE</v>
      </c>
    </row>
    <row r="40" spans="1:8" x14ac:dyDescent="0.25">
      <c r="A40" t="s">
        <v>1407</v>
      </c>
      <c r="B40" s="118">
        <v>113.33333333333333</v>
      </c>
      <c r="C40">
        <f>_xlfn.XLOOKUP(A40,'June Incentive'!A:A,'June Incentive'!I:I)</f>
        <v>135.56</v>
      </c>
      <c r="D40">
        <f>_xlfn.XLOOKUP(A40,'May Incentive'!A:A,'May Incentive'!I:I,0)</f>
        <v>86.67</v>
      </c>
      <c r="E40" s="118">
        <f t="shared" si="0"/>
        <v>111.85444444444444</v>
      </c>
      <c r="F40" s="2">
        <f>_xlfn.XLOOKUP(A40,Attendance!F:F,Attendance!H:H)</f>
        <v>45609</v>
      </c>
      <c r="G40" s="118">
        <f t="shared" si="1"/>
        <v>20.833333333333332</v>
      </c>
      <c r="H40" t="str">
        <f t="shared" si="2"/>
        <v>ELIGIBLE</v>
      </c>
    </row>
    <row r="41" spans="1:8" x14ac:dyDescent="0.25">
      <c r="A41" t="s">
        <v>1417</v>
      </c>
      <c r="B41" s="118">
        <v>71.111111111111114</v>
      </c>
      <c r="C41">
        <f>_xlfn.XLOOKUP(A41,'June Incentive'!A:A,'June Incentive'!I:I)</f>
        <v>55.56</v>
      </c>
      <c r="D41">
        <f>_xlfn.XLOOKUP(A41,'May Incentive'!A:A,'May Incentive'!I:I,0)</f>
        <v>31.11</v>
      </c>
      <c r="E41" s="118">
        <f t="shared" si="0"/>
        <v>52.593703703703703</v>
      </c>
      <c r="F41" s="2">
        <f>_xlfn.XLOOKUP(A41,Attendance!F:F,Attendance!H:H)</f>
        <v>45791</v>
      </c>
      <c r="G41" s="118">
        <f t="shared" si="1"/>
        <v>14.766666666666667</v>
      </c>
      <c r="H41" t="str">
        <f t="shared" si="2"/>
        <v>NOT ELIGIBLE</v>
      </c>
    </row>
    <row r="42" spans="1:8" x14ac:dyDescent="0.25">
      <c r="A42" t="s">
        <v>1390</v>
      </c>
      <c r="B42" s="118">
        <v>46.666666666666664</v>
      </c>
      <c r="C42">
        <f>_xlfn.XLOOKUP(A42,'June Incentive'!A:A,'June Incentive'!I:I)</f>
        <v>55.56</v>
      </c>
      <c r="D42">
        <f>_xlfn.XLOOKUP(A42,'May Incentive'!A:A,'May Incentive'!I:I,0)</f>
        <v>26.67</v>
      </c>
      <c r="E42" s="118">
        <f t="shared" si="0"/>
        <v>42.965555555555561</v>
      </c>
      <c r="F42" s="2">
        <f>_xlfn.XLOOKUP(A42,Attendance!F:F,Attendance!H:H)</f>
        <v>45867</v>
      </c>
      <c r="G42" s="118">
        <f t="shared" si="1"/>
        <v>12.233333333333333</v>
      </c>
      <c r="H42" t="str">
        <f t="shared" si="2"/>
        <v>NOT ELIGIBLE</v>
      </c>
    </row>
    <row r="43" spans="1:8" x14ac:dyDescent="0.25">
      <c r="A43" t="s">
        <v>1392</v>
      </c>
      <c r="B43" s="118">
        <v>64.444444444444443</v>
      </c>
      <c r="C43">
        <f>_xlfn.XLOOKUP(A43,'June Incentive'!A:A,'June Incentive'!I:I)</f>
        <v>73.33</v>
      </c>
      <c r="D43">
        <f>_xlfn.XLOOKUP(A43,'May Incentive'!A:A,'May Incentive'!I:I,0)</f>
        <v>51.11</v>
      </c>
      <c r="E43" s="118">
        <f t="shared" si="0"/>
        <v>62.961481481481485</v>
      </c>
      <c r="F43" s="2">
        <f>_xlfn.XLOOKUP(A43,Attendance!F:F,Attendance!H:H)</f>
        <v>45909</v>
      </c>
      <c r="G43" s="118">
        <f t="shared" si="1"/>
        <v>10.833333333333334</v>
      </c>
      <c r="H43" t="str">
        <f t="shared" si="2"/>
        <v>NOT ELIGIBLE</v>
      </c>
    </row>
    <row r="44" spans="1:8" x14ac:dyDescent="0.25">
      <c r="A44" t="s">
        <v>1396</v>
      </c>
      <c r="B44" s="118">
        <v>88.888888888888886</v>
      </c>
      <c r="C44">
        <f>_xlfn.XLOOKUP(A44,'June Incentive'!A:A,'June Incentive'!I:I)</f>
        <v>78.569999999999993</v>
      </c>
      <c r="D44">
        <f>_xlfn.XLOOKUP(A44,'May Incentive'!A:A,'May Incentive'!I:I,0)</f>
        <v>44.44</v>
      </c>
      <c r="E44" s="118">
        <f t="shared" si="0"/>
        <v>70.632962962962964</v>
      </c>
      <c r="F44" s="2">
        <f>_xlfn.XLOOKUP(A44,Attendance!F:F,Attendance!H:H)</f>
        <v>45810</v>
      </c>
      <c r="G44" s="118">
        <f t="shared" si="1"/>
        <v>14.133333333333333</v>
      </c>
      <c r="H44" t="str">
        <f t="shared" si="2"/>
        <v>NOT ELIGIBLE</v>
      </c>
    </row>
    <row r="45" spans="1:8" x14ac:dyDescent="0.25">
      <c r="A45" t="s">
        <v>1436</v>
      </c>
      <c r="B45" s="118">
        <v>44.444444444444443</v>
      </c>
      <c r="C45">
        <f>_xlfn.XLOOKUP(A45,'June Incentive'!A:A,'June Incentive'!I:I)</f>
        <v>89.29</v>
      </c>
      <c r="D45">
        <f>_xlfn.XLOOKUP(A45,'May Incentive'!A:A,'May Incentive'!I:I,0)</f>
        <v>76.92</v>
      </c>
      <c r="E45" s="118">
        <f t="shared" si="0"/>
        <v>70.218148148148146</v>
      </c>
      <c r="F45" s="2">
        <f>_xlfn.XLOOKUP(A45,Attendance!F:F,Attendance!H:H)</f>
        <v>45695</v>
      </c>
      <c r="G45" s="118">
        <f t="shared" si="1"/>
        <v>17.966666666666665</v>
      </c>
      <c r="H45" t="str">
        <f t="shared" si="2"/>
        <v>NOT ELIGIBLE</v>
      </c>
    </row>
    <row r="46" spans="1:8" x14ac:dyDescent="0.25">
      <c r="A46" t="s">
        <v>1388</v>
      </c>
      <c r="B46" s="118">
        <v>37.777777777777779</v>
      </c>
      <c r="C46">
        <f>_xlfn.XLOOKUP(A46,'June Incentive'!A:A,'June Incentive'!I:I)</f>
        <v>69.23</v>
      </c>
      <c r="D46">
        <f>_xlfn.XLOOKUP(A46,'May Incentive'!A:A,'May Incentive'!I:I,0)</f>
        <v>55</v>
      </c>
      <c r="E46" s="118">
        <f t="shared" si="0"/>
        <v>54.002592592592599</v>
      </c>
      <c r="F46" s="2">
        <f>_xlfn.XLOOKUP(A46,Attendance!F:F,Attendance!H:H)</f>
        <v>46064</v>
      </c>
      <c r="G46" s="118">
        <f t="shared" si="1"/>
        <v>5.666666666666667</v>
      </c>
      <c r="H46" t="str">
        <f t="shared" si="2"/>
        <v>ELIGIBLE</v>
      </c>
    </row>
    <row r="47" spans="1:8" x14ac:dyDescent="0.25">
      <c r="A47" t="s">
        <v>1430</v>
      </c>
      <c r="B47" s="118">
        <v>26.666666666666668</v>
      </c>
      <c r="C47">
        <f>_xlfn.XLOOKUP(A47,'June Incentive'!A:A,'June Incentive'!I:I)</f>
        <v>33.33</v>
      </c>
      <c r="D47">
        <f>_xlfn.XLOOKUP(A47,'May Incentive'!A:A,'May Incentive'!I:I,0)</f>
        <v>15.56</v>
      </c>
      <c r="E47" s="118">
        <f t="shared" si="0"/>
        <v>25.185555555555556</v>
      </c>
      <c r="F47" s="2">
        <f>_xlfn.XLOOKUP(A47,Attendance!F:F,Attendance!H:H)</f>
        <v>45867</v>
      </c>
      <c r="G47" s="118">
        <f t="shared" si="1"/>
        <v>12.233333333333333</v>
      </c>
      <c r="H47" t="str">
        <f t="shared" si="2"/>
        <v>NOT ELIGIBLE</v>
      </c>
    </row>
    <row r="48" spans="1:8" x14ac:dyDescent="0.25">
      <c r="A48" t="s">
        <v>1431</v>
      </c>
      <c r="B48" s="118">
        <v>42.222222222222221</v>
      </c>
      <c r="C48">
        <f>_xlfn.XLOOKUP(A48,'June Incentive'!A:A,'June Incentive'!I:I)</f>
        <v>44.44</v>
      </c>
      <c r="D48">
        <f>_xlfn.XLOOKUP(A48,'May Incentive'!A:A,'May Incentive'!I:I,0)</f>
        <v>31.11</v>
      </c>
      <c r="E48" s="118">
        <f t="shared" si="0"/>
        <v>39.257407407407406</v>
      </c>
      <c r="F48" s="2">
        <f>_xlfn.XLOOKUP(A48,Attendance!F:F,Attendance!H:H)</f>
        <v>45867</v>
      </c>
      <c r="G48" s="118">
        <f t="shared" si="1"/>
        <v>12.233333333333333</v>
      </c>
      <c r="H48" t="str">
        <f t="shared" si="2"/>
        <v>NOT ELIGIBLE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33A27-AA9F-478E-A8C0-5B935E5D0D4E}">
  <dimension ref="A1:AM53"/>
  <sheetViews>
    <sheetView workbookViewId="0">
      <selection sqref="A1:AM53"/>
    </sheetView>
  </sheetViews>
  <sheetFormatPr defaultRowHeight="15" x14ac:dyDescent="0.25"/>
  <sheetData>
    <row r="1" spans="1:39" x14ac:dyDescent="0.25">
      <c r="A1" t="s">
        <v>1892</v>
      </c>
      <c r="B1" t="s">
        <v>1893</v>
      </c>
      <c r="C1" t="s">
        <v>1452</v>
      </c>
      <c r="D1" t="s">
        <v>1451</v>
      </c>
      <c r="E1" t="s">
        <v>1894</v>
      </c>
      <c r="F1" t="s">
        <v>1895</v>
      </c>
      <c r="G1" t="s">
        <v>1896</v>
      </c>
      <c r="H1" t="s">
        <v>1736</v>
      </c>
      <c r="I1" t="s">
        <v>1897</v>
      </c>
      <c r="J1" t="s">
        <v>1898</v>
      </c>
      <c r="K1" t="s">
        <v>1899</v>
      </c>
      <c r="L1" t="s">
        <v>1900</v>
      </c>
      <c r="M1" t="s">
        <v>1901</v>
      </c>
      <c r="N1" t="s">
        <v>1902</v>
      </c>
      <c r="O1" t="s">
        <v>1903</v>
      </c>
      <c r="P1" t="s">
        <v>1904</v>
      </c>
      <c r="Q1" t="s">
        <v>1780</v>
      </c>
      <c r="R1" t="s">
        <v>1905</v>
      </c>
      <c r="S1" t="s">
        <v>1906</v>
      </c>
      <c r="T1" t="s">
        <v>1907</v>
      </c>
      <c r="U1" t="s">
        <v>1908</v>
      </c>
      <c r="V1" t="s">
        <v>1909</v>
      </c>
      <c r="W1" t="s">
        <v>1910</v>
      </c>
      <c r="X1" t="s">
        <v>1911</v>
      </c>
      <c r="Y1" t="s">
        <v>1912</v>
      </c>
      <c r="Z1" t="s">
        <v>1913</v>
      </c>
      <c r="AA1" t="s">
        <v>1914</v>
      </c>
      <c r="AB1" t="s">
        <v>1915</v>
      </c>
      <c r="AC1" t="s">
        <v>1916</v>
      </c>
      <c r="AD1" t="s">
        <v>1917</v>
      </c>
      <c r="AE1" t="s">
        <v>1918</v>
      </c>
      <c r="AF1" t="s">
        <v>1919</v>
      </c>
      <c r="AG1" t="s">
        <v>1920</v>
      </c>
      <c r="AH1" t="s">
        <v>1882</v>
      </c>
      <c r="AI1" t="s">
        <v>1921</v>
      </c>
      <c r="AJ1" t="s">
        <v>1874</v>
      </c>
      <c r="AK1" t="s">
        <v>1886</v>
      </c>
      <c r="AL1" t="s">
        <v>1922</v>
      </c>
      <c r="AM1" t="s">
        <v>1866</v>
      </c>
    </row>
    <row r="2" spans="1:39" x14ac:dyDescent="0.25">
      <c r="A2" t="s">
        <v>1408</v>
      </c>
      <c r="B2" t="s">
        <v>1502</v>
      </c>
      <c r="C2" t="s">
        <v>1485</v>
      </c>
      <c r="D2">
        <v>1</v>
      </c>
      <c r="E2">
        <v>120</v>
      </c>
      <c r="F2">
        <v>96</v>
      </c>
      <c r="G2">
        <v>20</v>
      </c>
      <c r="H2">
        <v>112</v>
      </c>
      <c r="I2">
        <v>93.33</v>
      </c>
      <c r="J2">
        <v>40</v>
      </c>
      <c r="K2" t="s">
        <v>1923</v>
      </c>
      <c r="L2">
        <v>560035</v>
      </c>
      <c r="M2">
        <v>539634</v>
      </c>
      <c r="N2">
        <v>18</v>
      </c>
      <c r="O2">
        <v>16</v>
      </c>
      <c r="P2">
        <v>193</v>
      </c>
      <c r="Q2">
        <v>16.07</v>
      </c>
      <c r="R2">
        <v>8400.5300000000007</v>
      </c>
      <c r="S2">
        <v>600</v>
      </c>
      <c r="T2">
        <v>18320.53</v>
      </c>
      <c r="U2" s="117">
        <v>0.86</v>
      </c>
      <c r="V2">
        <v>35</v>
      </c>
      <c r="W2">
        <v>40</v>
      </c>
      <c r="X2">
        <v>15</v>
      </c>
      <c r="Y2" s="117">
        <v>0.92</v>
      </c>
      <c r="Z2">
        <v>20</v>
      </c>
      <c r="AA2">
        <v>40</v>
      </c>
      <c r="AB2">
        <v>209.12</v>
      </c>
      <c r="AC2">
        <v>163.32</v>
      </c>
      <c r="AD2">
        <v>40</v>
      </c>
      <c r="AE2">
        <v>0</v>
      </c>
      <c r="AF2">
        <v>190</v>
      </c>
      <c r="AG2">
        <v>34809.006999999998</v>
      </c>
      <c r="AH2" t="s">
        <v>1924</v>
      </c>
      <c r="AI2" t="s">
        <v>1924</v>
      </c>
      <c r="AJ2" t="s">
        <v>1924</v>
      </c>
      <c r="AK2" t="s">
        <v>1924</v>
      </c>
      <c r="AL2">
        <v>19</v>
      </c>
      <c r="AM2">
        <v>32909</v>
      </c>
    </row>
    <row r="3" spans="1:39" x14ac:dyDescent="0.25">
      <c r="A3" t="s">
        <v>1424</v>
      </c>
      <c r="B3" t="s">
        <v>1543</v>
      </c>
      <c r="C3" t="s">
        <v>1485</v>
      </c>
      <c r="D3" t="s">
        <v>1925</v>
      </c>
      <c r="E3">
        <v>15</v>
      </c>
      <c r="F3">
        <v>12</v>
      </c>
      <c r="G3">
        <v>3</v>
      </c>
      <c r="H3">
        <v>1</v>
      </c>
      <c r="I3">
        <v>6.67</v>
      </c>
      <c r="J3">
        <v>0</v>
      </c>
      <c r="K3" t="s">
        <v>1926</v>
      </c>
      <c r="L3">
        <v>0</v>
      </c>
      <c r="M3">
        <v>0</v>
      </c>
      <c r="N3">
        <v>0</v>
      </c>
      <c r="O3">
        <v>0</v>
      </c>
      <c r="P3">
        <v>1</v>
      </c>
      <c r="Q3">
        <v>0</v>
      </c>
      <c r="R3">
        <v>0</v>
      </c>
      <c r="S3">
        <v>0</v>
      </c>
      <c r="T3">
        <v>2840</v>
      </c>
      <c r="U3" s="117">
        <v>0.47</v>
      </c>
      <c r="V3">
        <v>0</v>
      </c>
      <c r="W3">
        <v>0</v>
      </c>
      <c r="X3">
        <v>20</v>
      </c>
      <c r="Z3">
        <v>15</v>
      </c>
      <c r="AA3">
        <v>0</v>
      </c>
      <c r="AB3">
        <v>243.17</v>
      </c>
      <c r="AC3">
        <v>200.46</v>
      </c>
      <c r="AD3">
        <v>30</v>
      </c>
      <c r="AE3">
        <v>20</v>
      </c>
      <c r="AF3">
        <v>85</v>
      </c>
      <c r="AG3">
        <v>2414</v>
      </c>
      <c r="AH3" t="s">
        <v>1927</v>
      </c>
      <c r="AI3" t="s">
        <v>1927</v>
      </c>
      <c r="AJ3" t="s">
        <v>1927</v>
      </c>
      <c r="AK3" t="s">
        <v>1927</v>
      </c>
      <c r="AL3">
        <v>0</v>
      </c>
      <c r="AM3">
        <v>2414</v>
      </c>
    </row>
    <row r="4" spans="1:39" x14ac:dyDescent="0.25">
      <c r="A4" t="s">
        <v>1406</v>
      </c>
      <c r="B4" t="s">
        <v>1494</v>
      </c>
      <c r="C4" t="s">
        <v>1485</v>
      </c>
      <c r="D4">
        <v>1</v>
      </c>
      <c r="E4">
        <v>120</v>
      </c>
      <c r="F4">
        <v>96</v>
      </c>
      <c r="G4">
        <v>20</v>
      </c>
      <c r="H4">
        <v>133</v>
      </c>
      <c r="I4">
        <v>110.83</v>
      </c>
      <c r="J4">
        <v>40</v>
      </c>
      <c r="K4" t="s">
        <v>1928</v>
      </c>
      <c r="L4">
        <v>302085</v>
      </c>
      <c r="M4">
        <v>302085</v>
      </c>
      <c r="N4">
        <v>10</v>
      </c>
      <c r="O4">
        <v>10</v>
      </c>
      <c r="P4">
        <v>225</v>
      </c>
      <c r="Q4">
        <v>7.52</v>
      </c>
      <c r="R4">
        <v>4531.28</v>
      </c>
      <c r="S4">
        <v>1800</v>
      </c>
      <c r="T4">
        <v>17571.28</v>
      </c>
      <c r="U4" s="117">
        <v>0.99</v>
      </c>
      <c r="V4">
        <v>40</v>
      </c>
      <c r="W4">
        <v>40</v>
      </c>
      <c r="X4">
        <v>15</v>
      </c>
      <c r="Y4" s="117">
        <v>0.97</v>
      </c>
      <c r="Z4">
        <v>20</v>
      </c>
      <c r="AA4">
        <v>0</v>
      </c>
      <c r="AB4">
        <v>226.92</v>
      </c>
      <c r="AC4">
        <v>191.33</v>
      </c>
      <c r="AD4">
        <v>40</v>
      </c>
      <c r="AE4">
        <v>0</v>
      </c>
      <c r="AF4">
        <v>155</v>
      </c>
      <c r="AG4">
        <v>27235.484</v>
      </c>
      <c r="AH4" t="s">
        <v>1924</v>
      </c>
      <c r="AI4" t="s">
        <v>1924</v>
      </c>
      <c r="AJ4" t="s">
        <v>1924</v>
      </c>
      <c r="AK4" t="s">
        <v>1924</v>
      </c>
      <c r="AL4">
        <v>3</v>
      </c>
      <c r="AM4">
        <v>26935</v>
      </c>
    </row>
    <row r="5" spans="1:39" x14ac:dyDescent="0.25">
      <c r="A5" t="s">
        <v>1432</v>
      </c>
      <c r="B5" t="s">
        <v>1547</v>
      </c>
      <c r="C5" t="s">
        <v>1485</v>
      </c>
      <c r="D5" t="s">
        <v>1925</v>
      </c>
      <c r="E5">
        <v>15</v>
      </c>
      <c r="F5">
        <v>12</v>
      </c>
      <c r="G5">
        <v>3</v>
      </c>
      <c r="H5">
        <v>1</v>
      </c>
      <c r="I5">
        <v>6.67</v>
      </c>
      <c r="J5">
        <v>1</v>
      </c>
      <c r="K5" t="s">
        <v>1929</v>
      </c>
      <c r="L5">
        <v>0</v>
      </c>
      <c r="M5">
        <v>0</v>
      </c>
      <c r="N5">
        <v>0</v>
      </c>
      <c r="O5">
        <v>0</v>
      </c>
      <c r="P5">
        <v>3</v>
      </c>
      <c r="Q5">
        <v>0</v>
      </c>
      <c r="R5">
        <v>0</v>
      </c>
      <c r="S5">
        <v>0</v>
      </c>
      <c r="T5">
        <v>2960</v>
      </c>
      <c r="U5" s="117">
        <v>0.42</v>
      </c>
      <c r="V5">
        <v>0</v>
      </c>
      <c r="W5">
        <v>15</v>
      </c>
      <c r="X5">
        <v>20</v>
      </c>
      <c r="Z5">
        <v>15</v>
      </c>
      <c r="AA5">
        <v>0</v>
      </c>
      <c r="AB5">
        <v>241.78</v>
      </c>
      <c r="AC5">
        <v>203.74</v>
      </c>
      <c r="AD5">
        <v>30</v>
      </c>
      <c r="AE5">
        <v>20</v>
      </c>
      <c r="AF5">
        <v>100</v>
      </c>
      <c r="AG5">
        <v>2960</v>
      </c>
      <c r="AH5" t="s">
        <v>1927</v>
      </c>
      <c r="AI5" t="s">
        <v>1927</v>
      </c>
      <c r="AJ5" t="s">
        <v>1927</v>
      </c>
      <c r="AK5" t="s">
        <v>1927</v>
      </c>
      <c r="AL5">
        <v>0</v>
      </c>
      <c r="AM5">
        <v>2960</v>
      </c>
    </row>
    <row r="6" spans="1:39" x14ac:dyDescent="0.25">
      <c r="A6" t="s">
        <v>1410</v>
      </c>
      <c r="B6" t="s">
        <v>1552</v>
      </c>
      <c r="C6" t="s">
        <v>1485</v>
      </c>
      <c r="D6" t="s">
        <v>1925</v>
      </c>
      <c r="E6">
        <v>15</v>
      </c>
      <c r="F6">
        <v>12</v>
      </c>
      <c r="G6">
        <v>3</v>
      </c>
      <c r="H6">
        <v>2</v>
      </c>
      <c r="I6">
        <v>13.33</v>
      </c>
      <c r="J6">
        <v>0</v>
      </c>
      <c r="K6" t="s">
        <v>1930</v>
      </c>
      <c r="L6">
        <v>0</v>
      </c>
      <c r="M6">
        <v>0</v>
      </c>
      <c r="N6">
        <v>0</v>
      </c>
      <c r="O6">
        <v>0</v>
      </c>
      <c r="P6">
        <v>6</v>
      </c>
      <c r="Q6">
        <v>0</v>
      </c>
      <c r="R6">
        <v>0</v>
      </c>
      <c r="S6">
        <v>0</v>
      </c>
      <c r="T6">
        <v>3140</v>
      </c>
      <c r="U6" s="117">
        <v>0.69</v>
      </c>
      <c r="V6">
        <v>0</v>
      </c>
      <c r="W6">
        <v>0</v>
      </c>
      <c r="X6">
        <v>20</v>
      </c>
      <c r="Z6">
        <v>15</v>
      </c>
      <c r="AA6">
        <v>0</v>
      </c>
      <c r="AB6">
        <v>257.68</v>
      </c>
      <c r="AC6">
        <v>166.84</v>
      </c>
      <c r="AD6">
        <v>20</v>
      </c>
      <c r="AE6">
        <v>30</v>
      </c>
      <c r="AF6">
        <v>85</v>
      </c>
      <c r="AG6">
        <v>2669</v>
      </c>
      <c r="AH6" t="s">
        <v>1927</v>
      </c>
      <c r="AI6" t="s">
        <v>1927</v>
      </c>
      <c r="AJ6" t="s">
        <v>1927</v>
      </c>
      <c r="AK6" t="s">
        <v>1927</v>
      </c>
      <c r="AL6">
        <v>0</v>
      </c>
      <c r="AM6">
        <v>2669</v>
      </c>
    </row>
    <row r="7" spans="1:39" x14ac:dyDescent="0.25">
      <c r="A7" t="s">
        <v>1414</v>
      </c>
      <c r="B7" t="s">
        <v>1534</v>
      </c>
      <c r="C7" t="s">
        <v>1485</v>
      </c>
      <c r="D7" t="s">
        <v>1925</v>
      </c>
      <c r="E7">
        <v>15</v>
      </c>
      <c r="F7">
        <v>12</v>
      </c>
      <c r="G7">
        <v>3</v>
      </c>
      <c r="H7">
        <v>6</v>
      </c>
      <c r="I7">
        <v>40</v>
      </c>
      <c r="J7">
        <v>1</v>
      </c>
      <c r="K7" t="s">
        <v>1931</v>
      </c>
      <c r="L7">
        <v>0</v>
      </c>
      <c r="M7">
        <v>0</v>
      </c>
      <c r="N7">
        <v>0</v>
      </c>
      <c r="O7">
        <v>0</v>
      </c>
      <c r="P7">
        <v>12</v>
      </c>
      <c r="Q7">
        <v>0</v>
      </c>
      <c r="R7">
        <v>0</v>
      </c>
      <c r="S7">
        <v>0</v>
      </c>
      <c r="T7">
        <v>3500</v>
      </c>
      <c r="U7" s="117">
        <v>0.43</v>
      </c>
      <c r="V7">
        <v>0</v>
      </c>
      <c r="W7">
        <v>15</v>
      </c>
      <c r="X7">
        <v>20</v>
      </c>
      <c r="Z7">
        <v>15</v>
      </c>
      <c r="AA7">
        <v>0</v>
      </c>
      <c r="AB7">
        <v>279</v>
      </c>
      <c r="AC7">
        <v>209.88</v>
      </c>
      <c r="AD7">
        <v>30</v>
      </c>
      <c r="AE7">
        <v>30</v>
      </c>
      <c r="AF7">
        <v>110</v>
      </c>
      <c r="AG7">
        <v>3850</v>
      </c>
      <c r="AH7" t="s">
        <v>1927</v>
      </c>
      <c r="AI7" t="s">
        <v>1927</v>
      </c>
      <c r="AJ7" t="s">
        <v>1927</v>
      </c>
      <c r="AK7" t="s">
        <v>1927</v>
      </c>
      <c r="AL7">
        <v>1</v>
      </c>
      <c r="AM7">
        <v>3800</v>
      </c>
    </row>
    <row r="8" spans="1:39" x14ac:dyDescent="0.25">
      <c r="A8" t="s">
        <v>1412</v>
      </c>
      <c r="B8" t="s">
        <v>1509</v>
      </c>
      <c r="C8" t="s">
        <v>1485</v>
      </c>
      <c r="D8">
        <v>1</v>
      </c>
      <c r="E8">
        <v>120</v>
      </c>
      <c r="F8">
        <v>96</v>
      </c>
      <c r="G8">
        <v>20</v>
      </c>
      <c r="H8">
        <v>94</v>
      </c>
      <c r="I8">
        <v>78.33</v>
      </c>
      <c r="J8">
        <v>21</v>
      </c>
      <c r="K8" t="s">
        <v>1932</v>
      </c>
      <c r="L8">
        <v>480000</v>
      </c>
      <c r="M8">
        <v>406000</v>
      </c>
      <c r="N8">
        <v>16</v>
      </c>
      <c r="O8">
        <v>10</v>
      </c>
      <c r="P8">
        <v>136</v>
      </c>
      <c r="Q8">
        <v>17.02</v>
      </c>
      <c r="R8">
        <v>7200</v>
      </c>
      <c r="S8">
        <v>600</v>
      </c>
      <c r="T8">
        <v>13700</v>
      </c>
      <c r="U8" s="117">
        <v>0.92</v>
      </c>
      <c r="V8">
        <v>0</v>
      </c>
      <c r="W8">
        <v>20</v>
      </c>
      <c r="X8">
        <v>15</v>
      </c>
      <c r="Y8" s="117">
        <v>0.92</v>
      </c>
      <c r="Z8">
        <v>20</v>
      </c>
      <c r="AA8">
        <v>40</v>
      </c>
      <c r="AB8">
        <v>196.8</v>
      </c>
      <c r="AC8">
        <v>161.32</v>
      </c>
      <c r="AD8">
        <v>40</v>
      </c>
      <c r="AE8">
        <v>0</v>
      </c>
      <c r="AF8">
        <v>135</v>
      </c>
      <c r="AG8">
        <v>18495</v>
      </c>
      <c r="AH8" t="s">
        <v>1924</v>
      </c>
      <c r="AI8" t="s">
        <v>1927</v>
      </c>
      <c r="AJ8" t="s">
        <v>1924</v>
      </c>
      <c r="AK8" t="s">
        <v>1927</v>
      </c>
      <c r="AL8">
        <v>12</v>
      </c>
      <c r="AM8">
        <v>17895</v>
      </c>
    </row>
    <row r="9" spans="1:39" x14ac:dyDescent="0.25">
      <c r="A9" t="s">
        <v>1815</v>
      </c>
      <c r="B9" t="s">
        <v>1933</v>
      </c>
      <c r="C9" t="s">
        <v>1485</v>
      </c>
      <c r="D9" t="s">
        <v>1934</v>
      </c>
      <c r="E9">
        <v>15</v>
      </c>
      <c r="F9">
        <v>12</v>
      </c>
      <c r="G9">
        <v>3</v>
      </c>
      <c r="V9">
        <v>0</v>
      </c>
      <c r="W9">
        <v>0</v>
      </c>
      <c r="X9">
        <v>0</v>
      </c>
      <c r="Z9">
        <v>15</v>
      </c>
      <c r="AA9">
        <v>0</v>
      </c>
      <c r="AB9">
        <v>315.04000000000002</v>
      </c>
      <c r="AC9">
        <v>107.71</v>
      </c>
      <c r="AD9">
        <v>0</v>
      </c>
      <c r="AE9">
        <v>0</v>
      </c>
      <c r="AF9">
        <v>15</v>
      </c>
      <c r="AH9" t="s">
        <v>1927</v>
      </c>
      <c r="AI9" t="s">
        <v>1927</v>
      </c>
      <c r="AJ9" t="s">
        <v>1927</v>
      </c>
      <c r="AK9" t="s">
        <v>1927</v>
      </c>
      <c r="AL9">
        <v>0</v>
      </c>
      <c r="AM9">
        <v>0</v>
      </c>
    </row>
    <row r="10" spans="1:39" x14ac:dyDescent="0.25">
      <c r="A10" t="s">
        <v>1398</v>
      </c>
      <c r="B10" t="s">
        <v>1479</v>
      </c>
      <c r="C10" t="s">
        <v>1485</v>
      </c>
      <c r="D10">
        <v>1</v>
      </c>
      <c r="E10">
        <v>120</v>
      </c>
      <c r="F10">
        <v>96</v>
      </c>
      <c r="G10">
        <v>20</v>
      </c>
      <c r="H10">
        <v>132</v>
      </c>
      <c r="I10">
        <v>110</v>
      </c>
      <c r="J10">
        <v>49</v>
      </c>
      <c r="K10" t="s">
        <v>1935</v>
      </c>
      <c r="L10">
        <v>444980</v>
      </c>
      <c r="M10">
        <v>333369</v>
      </c>
      <c r="N10">
        <v>18</v>
      </c>
      <c r="O10">
        <v>10</v>
      </c>
      <c r="P10">
        <v>236</v>
      </c>
      <c r="Q10">
        <v>13.64</v>
      </c>
      <c r="R10">
        <v>6674.7</v>
      </c>
      <c r="S10">
        <v>1500</v>
      </c>
      <c r="T10">
        <v>20074.7</v>
      </c>
      <c r="U10" s="117">
        <v>0.91</v>
      </c>
      <c r="V10">
        <v>40</v>
      </c>
      <c r="W10">
        <v>40</v>
      </c>
      <c r="X10">
        <v>15</v>
      </c>
      <c r="Y10" s="117">
        <v>0.89</v>
      </c>
      <c r="Z10">
        <v>20</v>
      </c>
      <c r="AA10">
        <v>25</v>
      </c>
      <c r="AB10">
        <v>171</v>
      </c>
      <c r="AC10">
        <v>127.04</v>
      </c>
      <c r="AD10">
        <v>30</v>
      </c>
      <c r="AE10">
        <v>0</v>
      </c>
      <c r="AF10">
        <v>170</v>
      </c>
      <c r="AG10">
        <v>34126.99</v>
      </c>
      <c r="AH10" t="s">
        <v>1924</v>
      </c>
      <c r="AI10" t="s">
        <v>1924</v>
      </c>
      <c r="AJ10" t="s">
        <v>1924</v>
      </c>
      <c r="AK10" t="s">
        <v>1924</v>
      </c>
      <c r="AL10">
        <v>14</v>
      </c>
      <c r="AM10">
        <v>32727</v>
      </c>
    </row>
    <row r="11" spans="1:39" x14ac:dyDescent="0.25">
      <c r="A11" t="s">
        <v>1399</v>
      </c>
      <c r="B11" t="s">
        <v>1516</v>
      </c>
      <c r="C11" t="s">
        <v>1485</v>
      </c>
      <c r="D11">
        <v>1</v>
      </c>
      <c r="E11">
        <v>120</v>
      </c>
      <c r="F11">
        <v>96</v>
      </c>
      <c r="G11">
        <v>20</v>
      </c>
      <c r="H11">
        <v>88</v>
      </c>
      <c r="I11">
        <v>73.33</v>
      </c>
      <c r="J11">
        <v>29</v>
      </c>
      <c r="K11" t="s">
        <v>1936</v>
      </c>
      <c r="L11">
        <v>601900</v>
      </c>
      <c r="M11">
        <v>521900</v>
      </c>
      <c r="N11">
        <v>20</v>
      </c>
      <c r="O11">
        <v>14</v>
      </c>
      <c r="P11">
        <v>151</v>
      </c>
      <c r="Q11">
        <v>22.73</v>
      </c>
      <c r="R11">
        <v>9028.5</v>
      </c>
      <c r="S11">
        <v>700</v>
      </c>
      <c r="T11">
        <v>16528.5</v>
      </c>
      <c r="U11" s="117">
        <v>0.99</v>
      </c>
      <c r="V11">
        <v>0</v>
      </c>
      <c r="W11">
        <v>20</v>
      </c>
      <c r="X11">
        <v>15</v>
      </c>
      <c r="Y11" s="117">
        <v>0.83</v>
      </c>
      <c r="Z11">
        <v>20</v>
      </c>
      <c r="AA11">
        <v>45</v>
      </c>
      <c r="AB11">
        <v>269.88</v>
      </c>
      <c r="AC11">
        <v>224.56</v>
      </c>
      <c r="AD11">
        <v>40</v>
      </c>
      <c r="AE11">
        <v>0</v>
      </c>
      <c r="AF11">
        <v>140</v>
      </c>
      <c r="AG11">
        <v>23139.9</v>
      </c>
      <c r="AH11" t="s">
        <v>1924</v>
      </c>
      <c r="AI11" t="s">
        <v>1927</v>
      </c>
      <c r="AJ11" t="s">
        <v>1924</v>
      </c>
      <c r="AK11" t="s">
        <v>1927</v>
      </c>
      <c r="AL11">
        <v>2</v>
      </c>
      <c r="AM11">
        <v>23039.9</v>
      </c>
    </row>
    <row r="12" spans="1:39" x14ac:dyDescent="0.25">
      <c r="A12" t="s">
        <v>1422</v>
      </c>
      <c r="B12" t="s">
        <v>1539</v>
      </c>
      <c r="C12" t="s">
        <v>1485</v>
      </c>
      <c r="D12" t="s">
        <v>1925</v>
      </c>
      <c r="E12">
        <v>15</v>
      </c>
      <c r="F12">
        <v>12</v>
      </c>
      <c r="G12">
        <v>3</v>
      </c>
      <c r="H12">
        <v>3</v>
      </c>
      <c r="I12">
        <v>20</v>
      </c>
      <c r="J12">
        <v>0</v>
      </c>
      <c r="K12" t="s">
        <v>1937</v>
      </c>
      <c r="L12">
        <v>0</v>
      </c>
      <c r="M12">
        <v>0</v>
      </c>
      <c r="N12">
        <v>0</v>
      </c>
      <c r="O12">
        <v>0</v>
      </c>
      <c r="P12">
        <v>5</v>
      </c>
      <c r="Q12">
        <v>0</v>
      </c>
      <c r="R12">
        <v>0</v>
      </c>
      <c r="S12">
        <v>0</v>
      </c>
      <c r="T12">
        <v>3080</v>
      </c>
      <c r="U12" s="117">
        <v>0.42</v>
      </c>
      <c r="V12">
        <v>0</v>
      </c>
      <c r="W12">
        <v>0</v>
      </c>
      <c r="X12">
        <v>20</v>
      </c>
      <c r="Z12">
        <v>15</v>
      </c>
      <c r="AA12">
        <v>0</v>
      </c>
      <c r="AB12">
        <v>267.24</v>
      </c>
      <c r="AC12">
        <v>168.4</v>
      </c>
      <c r="AD12">
        <v>20</v>
      </c>
      <c r="AE12">
        <v>30</v>
      </c>
      <c r="AF12">
        <v>85</v>
      </c>
      <c r="AG12">
        <v>2618</v>
      </c>
      <c r="AH12" t="s">
        <v>1927</v>
      </c>
      <c r="AI12" t="s">
        <v>1927</v>
      </c>
      <c r="AJ12" t="s">
        <v>1927</v>
      </c>
      <c r="AK12" t="s">
        <v>1927</v>
      </c>
      <c r="AL12">
        <v>1</v>
      </c>
      <c r="AM12">
        <v>2568</v>
      </c>
    </row>
    <row r="13" spans="1:39" x14ac:dyDescent="0.25">
      <c r="A13" t="s">
        <v>1427</v>
      </c>
      <c r="B13" t="s">
        <v>1528</v>
      </c>
      <c r="C13" t="s">
        <v>1485</v>
      </c>
      <c r="D13" t="s">
        <v>1925</v>
      </c>
      <c r="E13">
        <v>15</v>
      </c>
      <c r="F13">
        <v>12</v>
      </c>
      <c r="G13">
        <v>3</v>
      </c>
      <c r="H13">
        <v>7</v>
      </c>
      <c r="I13">
        <v>46.67</v>
      </c>
      <c r="J13">
        <v>1</v>
      </c>
      <c r="K13" t="s">
        <v>1938</v>
      </c>
      <c r="L13">
        <v>0</v>
      </c>
      <c r="M13">
        <v>0</v>
      </c>
      <c r="N13">
        <v>0</v>
      </c>
      <c r="O13">
        <v>0</v>
      </c>
      <c r="P13">
        <v>9</v>
      </c>
      <c r="Q13">
        <v>0</v>
      </c>
      <c r="R13">
        <v>0</v>
      </c>
      <c r="S13">
        <v>0</v>
      </c>
      <c r="T13">
        <v>3320</v>
      </c>
      <c r="U13" s="117">
        <v>0.35</v>
      </c>
      <c r="V13">
        <v>0</v>
      </c>
      <c r="W13">
        <v>15</v>
      </c>
      <c r="X13">
        <v>20</v>
      </c>
      <c r="Z13">
        <v>15</v>
      </c>
      <c r="AA13">
        <v>0</v>
      </c>
      <c r="AB13">
        <v>235.88</v>
      </c>
      <c r="AC13">
        <v>198.04</v>
      </c>
      <c r="AD13">
        <v>30</v>
      </c>
      <c r="AE13">
        <v>20</v>
      </c>
      <c r="AF13">
        <v>100</v>
      </c>
      <c r="AG13">
        <v>3320</v>
      </c>
      <c r="AH13" t="s">
        <v>1927</v>
      </c>
      <c r="AI13" t="s">
        <v>1927</v>
      </c>
      <c r="AJ13" t="s">
        <v>1927</v>
      </c>
      <c r="AK13" t="s">
        <v>1927</v>
      </c>
      <c r="AL13">
        <v>2</v>
      </c>
      <c r="AM13">
        <v>3220</v>
      </c>
    </row>
    <row r="14" spans="1:39" x14ac:dyDescent="0.25">
      <c r="A14" t="s">
        <v>1423</v>
      </c>
      <c r="B14" t="s">
        <v>1939</v>
      </c>
      <c r="C14" t="s">
        <v>1485</v>
      </c>
      <c r="D14">
        <v>1</v>
      </c>
      <c r="E14">
        <v>120</v>
      </c>
      <c r="F14">
        <v>96</v>
      </c>
      <c r="G14">
        <v>20</v>
      </c>
      <c r="H14">
        <v>98</v>
      </c>
      <c r="I14">
        <v>81.67</v>
      </c>
      <c r="J14">
        <v>18</v>
      </c>
      <c r="K14" t="s">
        <v>1940</v>
      </c>
      <c r="L14">
        <v>736709</v>
      </c>
      <c r="M14">
        <v>671609</v>
      </c>
      <c r="N14">
        <v>19</v>
      </c>
      <c r="O14">
        <v>14</v>
      </c>
      <c r="P14">
        <v>134</v>
      </c>
      <c r="Q14">
        <v>19.39</v>
      </c>
      <c r="R14">
        <v>11050.64</v>
      </c>
      <c r="S14">
        <v>1200</v>
      </c>
      <c r="T14">
        <v>18030.64</v>
      </c>
      <c r="U14" s="117">
        <v>0.78</v>
      </c>
      <c r="V14">
        <v>20</v>
      </c>
      <c r="W14">
        <v>0</v>
      </c>
      <c r="X14">
        <v>15</v>
      </c>
      <c r="Y14" s="117">
        <v>0.93</v>
      </c>
      <c r="Z14">
        <v>20</v>
      </c>
      <c r="AA14">
        <v>40</v>
      </c>
      <c r="AB14">
        <v>224.33</v>
      </c>
      <c r="AC14">
        <v>190.13</v>
      </c>
      <c r="AD14">
        <v>40</v>
      </c>
      <c r="AE14">
        <v>0</v>
      </c>
      <c r="AF14">
        <v>135</v>
      </c>
      <c r="AG14">
        <v>24341.364000000001</v>
      </c>
      <c r="AH14" t="s">
        <v>1924</v>
      </c>
      <c r="AI14" t="s">
        <v>1924</v>
      </c>
      <c r="AJ14" t="s">
        <v>1927</v>
      </c>
      <c r="AK14" t="s">
        <v>1927</v>
      </c>
      <c r="AL14">
        <v>11</v>
      </c>
      <c r="AM14">
        <v>23791.364000000001</v>
      </c>
    </row>
    <row r="15" spans="1:39" x14ac:dyDescent="0.25">
      <c r="A15" t="s">
        <v>1397</v>
      </c>
      <c r="B15" t="s">
        <v>1673</v>
      </c>
      <c r="C15" t="s">
        <v>1656</v>
      </c>
      <c r="D15" t="s">
        <v>1655</v>
      </c>
      <c r="E15">
        <v>45</v>
      </c>
      <c r="F15">
        <v>36</v>
      </c>
      <c r="G15">
        <v>12</v>
      </c>
      <c r="H15">
        <v>40</v>
      </c>
      <c r="I15">
        <v>88.89</v>
      </c>
      <c r="J15">
        <v>10</v>
      </c>
      <c r="K15" t="s">
        <v>1941</v>
      </c>
      <c r="L15">
        <v>0</v>
      </c>
      <c r="M15">
        <v>0</v>
      </c>
      <c r="N15">
        <v>0</v>
      </c>
      <c r="O15">
        <v>0</v>
      </c>
      <c r="P15">
        <v>73</v>
      </c>
      <c r="Q15">
        <v>0</v>
      </c>
      <c r="R15">
        <v>0</v>
      </c>
      <c r="S15">
        <v>400</v>
      </c>
      <c r="T15">
        <v>6120</v>
      </c>
      <c r="U15" s="117">
        <v>0.92</v>
      </c>
      <c r="V15">
        <v>35</v>
      </c>
      <c r="W15">
        <v>20</v>
      </c>
      <c r="X15">
        <v>15</v>
      </c>
      <c r="Y15" s="117">
        <v>0.89</v>
      </c>
      <c r="Z15">
        <v>20</v>
      </c>
      <c r="AA15">
        <v>0</v>
      </c>
      <c r="AB15">
        <v>200.96</v>
      </c>
      <c r="AC15">
        <v>165.79</v>
      </c>
      <c r="AD15">
        <v>45</v>
      </c>
      <c r="AE15">
        <v>0</v>
      </c>
      <c r="AF15">
        <v>135</v>
      </c>
      <c r="AG15">
        <v>8262</v>
      </c>
      <c r="AH15" t="s">
        <v>1924</v>
      </c>
      <c r="AI15" t="s">
        <v>1924</v>
      </c>
      <c r="AJ15" t="s">
        <v>1927</v>
      </c>
      <c r="AK15" t="s">
        <v>1927</v>
      </c>
      <c r="AL15">
        <v>4</v>
      </c>
      <c r="AM15">
        <v>8062</v>
      </c>
    </row>
    <row r="16" spans="1:39" x14ac:dyDescent="0.25">
      <c r="A16" t="s">
        <v>1433</v>
      </c>
      <c r="B16" t="s">
        <v>1664</v>
      </c>
      <c r="C16" t="s">
        <v>1656</v>
      </c>
      <c r="D16" t="s">
        <v>1655</v>
      </c>
      <c r="E16">
        <v>28</v>
      </c>
      <c r="F16">
        <v>22</v>
      </c>
      <c r="G16">
        <v>4</v>
      </c>
      <c r="H16">
        <v>18</v>
      </c>
      <c r="I16">
        <v>64.290000000000006</v>
      </c>
      <c r="J16">
        <v>2</v>
      </c>
      <c r="K16" t="s">
        <v>1942</v>
      </c>
      <c r="L16">
        <v>70000</v>
      </c>
      <c r="M16">
        <v>70000</v>
      </c>
      <c r="N16">
        <v>2</v>
      </c>
      <c r="O16">
        <v>2</v>
      </c>
      <c r="P16">
        <v>30</v>
      </c>
      <c r="Q16">
        <v>11.11</v>
      </c>
      <c r="R16">
        <v>1050</v>
      </c>
      <c r="S16">
        <v>0</v>
      </c>
      <c r="T16">
        <v>5030</v>
      </c>
      <c r="U16" s="117">
        <v>0.98</v>
      </c>
      <c r="V16">
        <v>0</v>
      </c>
      <c r="W16">
        <v>0</v>
      </c>
      <c r="X16">
        <v>15</v>
      </c>
      <c r="Y16" s="117">
        <v>0.91</v>
      </c>
      <c r="Z16">
        <v>20</v>
      </c>
      <c r="AA16">
        <v>40</v>
      </c>
      <c r="AB16">
        <v>273.38</v>
      </c>
      <c r="AC16">
        <v>182.54</v>
      </c>
      <c r="AD16">
        <v>45</v>
      </c>
      <c r="AE16">
        <v>0</v>
      </c>
      <c r="AF16">
        <v>120</v>
      </c>
      <c r="AG16">
        <v>6036</v>
      </c>
      <c r="AH16" t="s">
        <v>1924</v>
      </c>
      <c r="AI16" t="s">
        <v>1927</v>
      </c>
      <c r="AJ16" t="s">
        <v>1927</v>
      </c>
      <c r="AK16" t="s">
        <v>1927</v>
      </c>
      <c r="AL16">
        <v>15</v>
      </c>
      <c r="AM16">
        <v>5286</v>
      </c>
    </row>
    <row r="17" spans="1:39" x14ac:dyDescent="0.25">
      <c r="A17" t="s">
        <v>1400</v>
      </c>
      <c r="B17" t="s">
        <v>1669</v>
      </c>
      <c r="C17" t="s">
        <v>1656</v>
      </c>
      <c r="D17" t="s">
        <v>1655</v>
      </c>
      <c r="E17">
        <v>45</v>
      </c>
      <c r="F17">
        <v>36</v>
      </c>
      <c r="G17">
        <v>12</v>
      </c>
      <c r="H17">
        <v>49</v>
      </c>
      <c r="I17">
        <v>108.89</v>
      </c>
      <c r="J17">
        <v>22</v>
      </c>
      <c r="K17" t="s">
        <v>1943</v>
      </c>
      <c r="L17">
        <v>76000</v>
      </c>
      <c r="M17">
        <v>50000</v>
      </c>
      <c r="N17">
        <v>3</v>
      </c>
      <c r="O17">
        <v>1</v>
      </c>
      <c r="P17">
        <v>114</v>
      </c>
      <c r="Q17">
        <v>6.12</v>
      </c>
      <c r="R17">
        <v>1140</v>
      </c>
      <c r="S17">
        <v>1900</v>
      </c>
      <c r="T17">
        <v>11220</v>
      </c>
      <c r="U17" s="117">
        <v>0.99</v>
      </c>
      <c r="V17">
        <v>40</v>
      </c>
      <c r="W17">
        <v>40</v>
      </c>
      <c r="X17">
        <v>15</v>
      </c>
      <c r="Z17">
        <v>15</v>
      </c>
      <c r="AA17">
        <v>25</v>
      </c>
      <c r="AB17">
        <v>168.14</v>
      </c>
      <c r="AC17">
        <v>121.5</v>
      </c>
      <c r="AD17">
        <v>15</v>
      </c>
      <c r="AE17">
        <v>0</v>
      </c>
      <c r="AF17">
        <v>150</v>
      </c>
      <c r="AG17">
        <v>16830</v>
      </c>
      <c r="AH17" t="s">
        <v>1924</v>
      </c>
      <c r="AI17" t="s">
        <v>1924</v>
      </c>
      <c r="AJ17" t="s">
        <v>1924</v>
      </c>
      <c r="AK17" t="s">
        <v>1924</v>
      </c>
      <c r="AL17">
        <v>0</v>
      </c>
      <c r="AM17">
        <v>16830</v>
      </c>
    </row>
    <row r="18" spans="1:39" x14ac:dyDescent="0.25">
      <c r="A18" t="s">
        <v>1403</v>
      </c>
      <c r="B18" t="s">
        <v>1652</v>
      </c>
      <c r="C18" t="s">
        <v>1656</v>
      </c>
      <c r="D18" t="s">
        <v>1655</v>
      </c>
      <c r="E18">
        <v>45</v>
      </c>
      <c r="F18">
        <v>36</v>
      </c>
      <c r="G18">
        <v>12</v>
      </c>
      <c r="H18">
        <v>35</v>
      </c>
      <c r="I18">
        <v>77.78</v>
      </c>
      <c r="J18">
        <v>16</v>
      </c>
      <c r="K18" t="s">
        <v>1944</v>
      </c>
      <c r="L18">
        <v>94783</v>
      </c>
      <c r="M18">
        <v>81482</v>
      </c>
      <c r="N18">
        <v>4</v>
      </c>
      <c r="O18">
        <v>3</v>
      </c>
      <c r="P18">
        <v>76</v>
      </c>
      <c r="Q18">
        <v>11.43</v>
      </c>
      <c r="R18">
        <v>1421.75</v>
      </c>
      <c r="S18">
        <v>0</v>
      </c>
      <c r="T18">
        <v>7321.75</v>
      </c>
      <c r="U18" s="117">
        <v>0.7</v>
      </c>
      <c r="V18">
        <v>0</v>
      </c>
      <c r="W18">
        <v>40</v>
      </c>
      <c r="X18">
        <v>15</v>
      </c>
      <c r="Y18" s="117">
        <v>0.92</v>
      </c>
      <c r="Z18">
        <v>20</v>
      </c>
      <c r="AA18">
        <v>40</v>
      </c>
      <c r="AB18">
        <v>234.52</v>
      </c>
      <c r="AC18">
        <v>169.36</v>
      </c>
      <c r="AD18">
        <v>45</v>
      </c>
      <c r="AE18">
        <v>0</v>
      </c>
      <c r="AF18">
        <v>160</v>
      </c>
      <c r="AG18">
        <v>11714.8</v>
      </c>
      <c r="AH18" t="s">
        <v>1924</v>
      </c>
      <c r="AI18" t="s">
        <v>1927</v>
      </c>
      <c r="AJ18" t="s">
        <v>1924</v>
      </c>
      <c r="AK18" t="s">
        <v>1927</v>
      </c>
      <c r="AL18">
        <v>13</v>
      </c>
      <c r="AM18">
        <v>11064.8</v>
      </c>
    </row>
    <row r="19" spans="1:39" x14ac:dyDescent="0.25">
      <c r="A19" t="s">
        <v>1392</v>
      </c>
      <c r="B19" t="s">
        <v>1701</v>
      </c>
      <c r="C19" t="s">
        <v>1656</v>
      </c>
      <c r="D19" t="s">
        <v>1655</v>
      </c>
      <c r="E19">
        <v>45</v>
      </c>
      <c r="F19">
        <v>36</v>
      </c>
      <c r="G19">
        <v>12</v>
      </c>
      <c r="H19">
        <v>33</v>
      </c>
      <c r="I19">
        <v>73.33</v>
      </c>
      <c r="J19">
        <v>7</v>
      </c>
      <c r="K19" t="s">
        <v>1945</v>
      </c>
      <c r="L19">
        <v>30000</v>
      </c>
      <c r="M19">
        <v>30000</v>
      </c>
      <c r="N19">
        <v>1</v>
      </c>
      <c r="O19">
        <v>1</v>
      </c>
      <c r="P19">
        <v>67</v>
      </c>
      <c r="Q19">
        <v>3.03</v>
      </c>
      <c r="R19">
        <v>450</v>
      </c>
      <c r="S19">
        <v>0</v>
      </c>
      <c r="T19">
        <v>5810</v>
      </c>
      <c r="U19" s="117">
        <v>0.9</v>
      </c>
      <c r="V19">
        <v>0</v>
      </c>
      <c r="W19">
        <v>0</v>
      </c>
      <c r="X19">
        <v>15</v>
      </c>
      <c r="Y19" s="117">
        <v>0.89</v>
      </c>
      <c r="Z19">
        <v>20</v>
      </c>
      <c r="AA19">
        <v>0</v>
      </c>
      <c r="AB19">
        <v>238.23</v>
      </c>
      <c r="AC19">
        <v>175.19</v>
      </c>
      <c r="AD19">
        <v>45</v>
      </c>
      <c r="AE19">
        <v>0</v>
      </c>
      <c r="AF19">
        <v>80</v>
      </c>
      <c r="AG19">
        <v>4648</v>
      </c>
      <c r="AH19" t="s">
        <v>1927</v>
      </c>
      <c r="AI19" t="s">
        <v>1927</v>
      </c>
      <c r="AJ19" t="s">
        <v>1927</v>
      </c>
      <c r="AK19" t="s">
        <v>1927</v>
      </c>
      <c r="AL19">
        <v>1</v>
      </c>
      <c r="AM19">
        <v>4598</v>
      </c>
    </row>
    <row r="20" spans="1:39" x14ac:dyDescent="0.25">
      <c r="A20" t="s">
        <v>1439</v>
      </c>
      <c r="B20" t="s">
        <v>1946</v>
      </c>
      <c r="C20" t="s">
        <v>1656</v>
      </c>
      <c r="D20" t="s">
        <v>1655</v>
      </c>
      <c r="E20">
        <v>45</v>
      </c>
      <c r="F20">
        <v>36</v>
      </c>
      <c r="G20">
        <v>12</v>
      </c>
      <c r="H20">
        <v>3</v>
      </c>
      <c r="I20">
        <v>6.67</v>
      </c>
      <c r="J20">
        <v>1</v>
      </c>
      <c r="K20" t="s">
        <v>1947</v>
      </c>
      <c r="L20">
        <v>0</v>
      </c>
      <c r="M20">
        <v>0</v>
      </c>
      <c r="N20">
        <v>0</v>
      </c>
      <c r="O20">
        <v>0</v>
      </c>
      <c r="P20">
        <v>5</v>
      </c>
      <c r="Q20">
        <v>0</v>
      </c>
      <c r="R20">
        <v>0</v>
      </c>
      <c r="S20">
        <v>0</v>
      </c>
      <c r="T20">
        <v>1640</v>
      </c>
      <c r="U20" s="117">
        <v>0.62</v>
      </c>
      <c r="V20">
        <v>0</v>
      </c>
      <c r="W20">
        <v>0</v>
      </c>
      <c r="X20">
        <v>15</v>
      </c>
      <c r="Z20">
        <v>15</v>
      </c>
      <c r="AA20">
        <v>0</v>
      </c>
      <c r="AB20">
        <v>192.67</v>
      </c>
      <c r="AC20">
        <v>149.66999999999999</v>
      </c>
      <c r="AD20">
        <v>30</v>
      </c>
      <c r="AE20">
        <v>0</v>
      </c>
      <c r="AF20">
        <v>60</v>
      </c>
      <c r="AG20">
        <v>984</v>
      </c>
      <c r="AH20" t="s">
        <v>1927</v>
      </c>
      <c r="AI20" t="s">
        <v>1927</v>
      </c>
      <c r="AJ20" t="s">
        <v>1927</v>
      </c>
      <c r="AK20" t="s">
        <v>1927</v>
      </c>
      <c r="AL20">
        <v>0</v>
      </c>
      <c r="AM20">
        <v>984</v>
      </c>
    </row>
    <row r="21" spans="1:39" x14ac:dyDescent="0.25">
      <c r="A21" t="s">
        <v>1417</v>
      </c>
      <c r="B21" t="s">
        <v>1691</v>
      </c>
      <c r="C21" t="s">
        <v>1656</v>
      </c>
      <c r="D21" t="s">
        <v>1655</v>
      </c>
      <c r="E21">
        <v>45</v>
      </c>
      <c r="F21">
        <v>36</v>
      </c>
      <c r="G21">
        <v>12</v>
      </c>
      <c r="H21">
        <v>25</v>
      </c>
      <c r="I21">
        <v>55.56</v>
      </c>
      <c r="J21">
        <v>3</v>
      </c>
      <c r="K21" t="s">
        <v>1948</v>
      </c>
      <c r="L21">
        <v>180126</v>
      </c>
      <c r="M21">
        <v>165126</v>
      </c>
      <c r="N21">
        <v>3</v>
      </c>
      <c r="O21">
        <v>2</v>
      </c>
      <c r="P21">
        <v>39</v>
      </c>
      <c r="Q21">
        <v>12</v>
      </c>
      <c r="R21">
        <v>2701.89</v>
      </c>
      <c r="S21">
        <v>0</v>
      </c>
      <c r="T21">
        <v>6381.89</v>
      </c>
      <c r="U21" s="117">
        <v>0.85</v>
      </c>
      <c r="V21">
        <v>0</v>
      </c>
      <c r="W21">
        <v>0</v>
      </c>
      <c r="X21">
        <v>15</v>
      </c>
      <c r="Y21" s="117">
        <v>0.9</v>
      </c>
      <c r="Z21">
        <v>20</v>
      </c>
      <c r="AA21">
        <v>40</v>
      </c>
      <c r="AB21">
        <v>187.58</v>
      </c>
      <c r="AC21">
        <v>142.13</v>
      </c>
      <c r="AD21">
        <v>30</v>
      </c>
      <c r="AE21">
        <v>0</v>
      </c>
      <c r="AF21">
        <v>105</v>
      </c>
      <c r="AG21">
        <v>6700.9844999999996</v>
      </c>
      <c r="AH21" t="s">
        <v>1927</v>
      </c>
      <c r="AI21" t="s">
        <v>1927</v>
      </c>
      <c r="AJ21" t="s">
        <v>1927</v>
      </c>
      <c r="AK21" t="s">
        <v>1927</v>
      </c>
      <c r="AL21">
        <v>8</v>
      </c>
      <c r="AM21">
        <v>6300.9844999999996</v>
      </c>
    </row>
    <row r="22" spans="1:39" x14ac:dyDescent="0.25">
      <c r="A22" t="s">
        <v>1402</v>
      </c>
      <c r="B22" t="s">
        <v>1523</v>
      </c>
      <c r="C22" t="s">
        <v>1656</v>
      </c>
      <c r="D22" t="s">
        <v>1655</v>
      </c>
      <c r="E22">
        <v>45</v>
      </c>
      <c r="F22">
        <v>36</v>
      </c>
      <c r="G22">
        <v>12</v>
      </c>
      <c r="H22">
        <v>41</v>
      </c>
      <c r="I22">
        <v>91.11</v>
      </c>
      <c r="J22">
        <v>13</v>
      </c>
      <c r="K22" t="s">
        <v>1949</v>
      </c>
      <c r="L22">
        <v>13600</v>
      </c>
      <c r="M22">
        <v>0</v>
      </c>
      <c r="N22">
        <v>1</v>
      </c>
      <c r="O22">
        <v>0</v>
      </c>
      <c r="P22">
        <v>75</v>
      </c>
      <c r="Q22">
        <v>2.44</v>
      </c>
      <c r="R22">
        <v>204</v>
      </c>
      <c r="S22">
        <v>1100</v>
      </c>
      <c r="T22">
        <v>7144</v>
      </c>
      <c r="U22" s="117">
        <v>0.99</v>
      </c>
      <c r="V22">
        <v>35</v>
      </c>
      <c r="W22">
        <v>30</v>
      </c>
      <c r="X22">
        <v>15</v>
      </c>
      <c r="Y22" s="117">
        <v>0.95</v>
      </c>
      <c r="Z22">
        <v>20</v>
      </c>
      <c r="AA22">
        <v>0</v>
      </c>
      <c r="AB22">
        <v>267.20999999999998</v>
      </c>
      <c r="AC22">
        <v>204.5</v>
      </c>
      <c r="AD22">
        <v>45</v>
      </c>
      <c r="AE22">
        <v>0</v>
      </c>
      <c r="AF22">
        <v>145</v>
      </c>
      <c r="AG22">
        <v>10358.799999999999</v>
      </c>
      <c r="AH22" t="s">
        <v>1924</v>
      </c>
      <c r="AI22" t="s">
        <v>1924</v>
      </c>
      <c r="AJ22" t="s">
        <v>1924</v>
      </c>
      <c r="AK22" t="s">
        <v>1924</v>
      </c>
      <c r="AL22">
        <v>1</v>
      </c>
      <c r="AM22">
        <v>10259</v>
      </c>
    </row>
    <row r="23" spans="1:39" x14ac:dyDescent="0.25">
      <c r="A23" t="s">
        <v>1396</v>
      </c>
      <c r="B23" t="s">
        <v>1708</v>
      </c>
      <c r="C23" t="s">
        <v>1656</v>
      </c>
      <c r="D23" t="s">
        <v>1655</v>
      </c>
      <c r="E23">
        <v>28</v>
      </c>
      <c r="F23">
        <v>22</v>
      </c>
      <c r="G23">
        <v>4</v>
      </c>
      <c r="H23">
        <v>22</v>
      </c>
      <c r="I23">
        <v>78.569999999999993</v>
      </c>
      <c r="J23">
        <v>4</v>
      </c>
      <c r="K23" t="s">
        <v>1950</v>
      </c>
      <c r="L23">
        <v>95000</v>
      </c>
      <c r="M23">
        <v>80000</v>
      </c>
      <c r="N23">
        <v>2</v>
      </c>
      <c r="O23">
        <v>1</v>
      </c>
      <c r="P23">
        <v>34</v>
      </c>
      <c r="Q23">
        <v>9.09</v>
      </c>
      <c r="R23">
        <v>1425</v>
      </c>
      <c r="S23">
        <v>0</v>
      </c>
      <c r="T23">
        <v>5645</v>
      </c>
      <c r="U23" s="117">
        <v>0.9</v>
      </c>
      <c r="V23">
        <v>0</v>
      </c>
      <c r="W23">
        <v>0</v>
      </c>
      <c r="X23">
        <v>15</v>
      </c>
      <c r="Y23" s="117">
        <v>0.94</v>
      </c>
      <c r="Z23">
        <v>20</v>
      </c>
      <c r="AA23">
        <v>25</v>
      </c>
      <c r="AB23">
        <v>266.35000000000002</v>
      </c>
      <c r="AC23">
        <v>240.38</v>
      </c>
      <c r="AD23">
        <v>45</v>
      </c>
      <c r="AE23">
        <v>0</v>
      </c>
      <c r="AF23">
        <v>105</v>
      </c>
      <c r="AG23">
        <v>5927.25</v>
      </c>
      <c r="AH23" t="s">
        <v>1927</v>
      </c>
      <c r="AI23" t="s">
        <v>1924</v>
      </c>
      <c r="AJ23" t="s">
        <v>1924</v>
      </c>
      <c r="AK23" t="s">
        <v>1927</v>
      </c>
      <c r="AL23">
        <v>1</v>
      </c>
      <c r="AM23">
        <v>5877.25</v>
      </c>
    </row>
    <row r="24" spans="1:39" x14ac:dyDescent="0.25">
      <c r="A24" t="s">
        <v>1392</v>
      </c>
      <c r="B24" t="s">
        <v>1701</v>
      </c>
      <c r="C24" t="s">
        <v>1656</v>
      </c>
      <c r="D24" t="s">
        <v>1655</v>
      </c>
      <c r="E24">
        <v>45</v>
      </c>
      <c r="F24">
        <v>36</v>
      </c>
      <c r="G24">
        <v>12</v>
      </c>
      <c r="H24">
        <v>33</v>
      </c>
      <c r="I24">
        <v>73.33</v>
      </c>
      <c r="J24">
        <v>7</v>
      </c>
      <c r="K24" t="s">
        <v>1945</v>
      </c>
      <c r="L24">
        <v>30000</v>
      </c>
      <c r="M24">
        <v>30000</v>
      </c>
      <c r="N24">
        <v>1</v>
      </c>
      <c r="O24">
        <v>1</v>
      </c>
      <c r="P24">
        <v>67</v>
      </c>
      <c r="Q24">
        <v>3.03</v>
      </c>
      <c r="R24">
        <v>450</v>
      </c>
      <c r="S24">
        <v>0</v>
      </c>
      <c r="T24">
        <v>5810</v>
      </c>
      <c r="U24" s="117">
        <v>0.9</v>
      </c>
      <c r="V24">
        <v>0</v>
      </c>
      <c r="W24">
        <v>0</v>
      </c>
      <c r="X24">
        <v>15</v>
      </c>
      <c r="Y24" s="117">
        <v>0</v>
      </c>
      <c r="Z24">
        <v>0</v>
      </c>
      <c r="AA24">
        <v>0</v>
      </c>
      <c r="AB24">
        <v>238.23</v>
      </c>
      <c r="AC24">
        <v>175.19</v>
      </c>
      <c r="AD24">
        <v>45</v>
      </c>
      <c r="AE24">
        <v>0</v>
      </c>
      <c r="AF24">
        <v>60</v>
      </c>
      <c r="AG24">
        <v>3486</v>
      </c>
      <c r="AH24" t="s">
        <v>1927</v>
      </c>
      <c r="AI24" t="s">
        <v>1927</v>
      </c>
      <c r="AJ24" t="s">
        <v>1927</v>
      </c>
      <c r="AK24" t="s">
        <v>1927</v>
      </c>
      <c r="AL24">
        <v>1</v>
      </c>
      <c r="AM24">
        <v>3436</v>
      </c>
    </row>
    <row r="25" spans="1:39" x14ac:dyDescent="0.25">
      <c r="A25" t="s">
        <v>1415</v>
      </c>
      <c r="B25" t="s">
        <v>1679</v>
      </c>
      <c r="C25" t="s">
        <v>1656</v>
      </c>
      <c r="D25" t="s">
        <v>1655</v>
      </c>
      <c r="E25">
        <v>28</v>
      </c>
      <c r="F25">
        <v>22</v>
      </c>
      <c r="G25">
        <v>4</v>
      </c>
      <c r="H25">
        <v>38</v>
      </c>
      <c r="I25">
        <v>135.71</v>
      </c>
      <c r="J25">
        <v>3</v>
      </c>
      <c r="K25" t="s">
        <v>1951</v>
      </c>
      <c r="L25">
        <v>114300</v>
      </c>
      <c r="M25">
        <v>92000</v>
      </c>
      <c r="N25">
        <v>6</v>
      </c>
      <c r="O25">
        <v>4</v>
      </c>
      <c r="P25">
        <v>47</v>
      </c>
      <c r="Q25">
        <v>15.79</v>
      </c>
      <c r="R25">
        <v>1714.5</v>
      </c>
      <c r="S25">
        <v>400</v>
      </c>
      <c r="T25">
        <v>7114.5</v>
      </c>
      <c r="U25" s="117">
        <v>0.98</v>
      </c>
      <c r="V25">
        <v>40</v>
      </c>
      <c r="W25">
        <v>0</v>
      </c>
      <c r="X25">
        <v>15</v>
      </c>
      <c r="Y25" s="117">
        <v>0.96</v>
      </c>
      <c r="Z25">
        <v>20</v>
      </c>
      <c r="AA25">
        <v>45</v>
      </c>
      <c r="AB25">
        <v>247.19</v>
      </c>
      <c r="AC25">
        <v>185.3</v>
      </c>
      <c r="AD25">
        <v>45</v>
      </c>
      <c r="AE25">
        <v>0</v>
      </c>
      <c r="AF25">
        <v>165</v>
      </c>
      <c r="AG25">
        <v>11738.924999999999</v>
      </c>
      <c r="AH25" t="s">
        <v>1924</v>
      </c>
      <c r="AI25" t="s">
        <v>1924</v>
      </c>
      <c r="AJ25" t="s">
        <v>1927</v>
      </c>
      <c r="AK25" t="s">
        <v>1927</v>
      </c>
      <c r="AL25">
        <v>5</v>
      </c>
      <c r="AM25">
        <v>11488.924999999999</v>
      </c>
    </row>
    <row r="26" spans="1:39" x14ac:dyDescent="0.25">
      <c r="A26" t="s">
        <v>1420</v>
      </c>
      <c r="B26" t="s">
        <v>1952</v>
      </c>
      <c r="C26" t="s">
        <v>1656</v>
      </c>
      <c r="D26" t="s">
        <v>1655</v>
      </c>
      <c r="E26">
        <v>45</v>
      </c>
      <c r="F26">
        <v>36</v>
      </c>
      <c r="G26">
        <v>12</v>
      </c>
      <c r="H26">
        <v>27</v>
      </c>
      <c r="I26">
        <v>60</v>
      </c>
      <c r="J26">
        <v>10</v>
      </c>
      <c r="K26" t="s">
        <v>1953</v>
      </c>
      <c r="L26">
        <v>131000</v>
      </c>
      <c r="M26">
        <v>131000</v>
      </c>
      <c r="N26">
        <v>4</v>
      </c>
      <c r="O26">
        <v>4</v>
      </c>
      <c r="P26">
        <v>56</v>
      </c>
      <c r="Q26">
        <v>14.81</v>
      </c>
      <c r="R26">
        <v>1965</v>
      </c>
      <c r="S26">
        <v>0</v>
      </c>
      <c r="T26">
        <v>6665</v>
      </c>
      <c r="U26" s="117">
        <v>0.83</v>
      </c>
      <c r="V26">
        <v>0</v>
      </c>
      <c r="W26">
        <v>20</v>
      </c>
      <c r="X26">
        <v>15</v>
      </c>
      <c r="Y26" s="117">
        <v>0.86</v>
      </c>
      <c r="Z26">
        <v>20</v>
      </c>
      <c r="AA26">
        <v>45</v>
      </c>
      <c r="AB26">
        <v>136.84</v>
      </c>
      <c r="AC26">
        <v>108.6</v>
      </c>
      <c r="AD26">
        <v>15</v>
      </c>
      <c r="AE26">
        <v>0</v>
      </c>
      <c r="AF26">
        <v>115</v>
      </c>
      <c r="AG26">
        <v>7664.75</v>
      </c>
      <c r="AH26" t="s">
        <v>1924</v>
      </c>
      <c r="AI26" t="s">
        <v>1927</v>
      </c>
      <c r="AJ26" t="s">
        <v>1927</v>
      </c>
      <c r="AK26" t="s">
        <v>1927</v>
      </c>
      <c r="AL26">
        <v>3</v>
      </c>
      <c r="AM26">
        <v>7514.75</v>
      </c>
    </row>
    <row r="27" spans="1:39" x14ac:dyDescent="0.25">
      <c r="A27" t="s">
        <v>1430</v>
      </c>
      <c r="B27" t="s">
        <v>1724</v>
      </c>
      <c r="C27" t="s">
        <v>1656</v>
      </c>
      <c r="D27" t="s">
        <v>1655</v>
      </c>
      <c r="E27">
        <v>45</v>
      </c>
      <c r="F27">
        <v>36</v>
      </c>
      <c r="G27">
        <v>12</v>
      </c>
      <c r="H27">
        <v>15</v>
      </c>
      <c r="I27">
        <v>33.33</v>
      </c>
      <c r="J27">
        <v>1</v>
      </c>
      <c r="K27" t="s">
        <v>1954</v>
      </c>
      <c r="L27">
        <v>25000</v>
      </c>
      <c r="M27">
        <v>25000</v>
      </c>
      <c r="N27">
        <v>1</v>
      </c>
      <c r="O27">
        <v>1</v>
      </c>
      <c r="P27">
        <v>26</v>
      </c>
      <c r="Q27">
        <v>6.67</v>
      </c>
      <c r="R27">
        <v>375</v>
      </c>
      <c r="S27">
        <v>0</v>
      </c>
      <c r="T27">
        <v>3275</v>
      </c>
      <c r="U27" s="117">
        <v>0.9</v>
      </c>
      <c r="V27">
        <v>0</v>
      </c>
      <c r="W27">
        <v>0</v>
      </c>
      <c r="X27">
        <v>15</v>
      </c>
      <c r="Y27" s="117">
        <v>1</v>
      </c>
      <c r="Z27">
        <v>20</v>
      </c>
      <c r="AA27">
        <v>25</v>
      </c>
      <c r="AB27">
        <v>241.63</v>
      </c>
      <c r="AC27">
        <v>191.63</v>
      </c>
      <c r="AD27">
        <v>45</v>
      </c>
      <c r="AE27">
        <v>0</v>
      </c>
      <c r="AF27">
        <v>105</v>
      </c>
      <c r="AG27">
        <v>3438.75</v>
      </c>
      <c r="AH27" t="s">
        <v>1927</v>
      </c>
      <c r="AI27" t="s">
        <v>1927</v>
      </c>
      <c r="AJ27" t="s">
        <v>1927</v>
      </c>
      <c r="AK27" t="s">
        <v>1927</v>
      </c>
      <c r="AL27">
        <v>2</v>
      </c>
      <c r="AM27">
        <v>3338.75</v>
      </c>
    </row>
    <row r="28" spans="1:39" x14ac:dyDescent="0.25">
      <c r="A28" t="s">
        <v>1407</v>
      </c>
      <c r="B28" t="s">
        <v>1685</v>
      </c>
      <c r="C28" t="s">
        <v>1656</v>
      </c>
      <c r="D28" t="s">
        <v>1655</v>
      </c>
      <c r="E28">
        <v>45</v>
      </c>
      <c r="F28">
        <v>36</v>
      </c>
      <c r="G28">
        <v>12</v>
      </c>
      <c r="H28">
        <v>61</v>
      </c>
      <c r="I28">
        <v>135.56</v>
      </c>
      <c r="J28">
        <v>20</v>
      </c>
      <c r="K28" t="s">
        <v>1955</v>
      </c>
      <c r="L28">
        <v>50162</v>
      </c>
      <c r="M28">
        <v>25000</v>
      </c>
      <c r="N28">
        <v>3</v>
      </c>
      <c r="O28">
        <v>1</v>
      </c>
      <c r="P28">
        <v>123</v>
      </c>
      <c r="Q28">
        <v>4.92</v>
      </c>
      <c r="R28">
        <v>752.43</v>
      </c>
      <c r="S28">
        <v>3100</v>
      </c>
      <c r="T28">
        <v>12572.43</v>
      </c>
      <c r="U28" s="117">
        <v>0.91</v>
      </c>
      <c r="V28">
        <v>40</v>
      </c>
      <c r="W28">
        <v>40</v>
      </c>
      <c r="X28">
        <v>15</v>
      </c>
      <c r="Z28">
        <v>15</v>
      </c>
      <c r="AA28">
        <v>25</v>
      </c>
      <c r="AB28">
        <v>230.33</v>
      </c>
      <c r="AC28">
        <v>178.63</v>
      </c>
      <c r="AD28">
        <v>45</v>
      </c>
      <c r="AE28">
        <v>0</v>
      </c>
      <c r="AF28">
        <v>180</v>
      </c>
      <c r="AG28">
        <v>22630.374</v>
      </c>
      <c r="AH28" t="s">
        <v>1924</v>
      </c>
      <c r="AI28" t="s">
        <v>1924</v>
      </c>
      <c r="AJ28" t="s">
        <v>1924</v>
      </c>
      <c r="AK28" t="s">
        <v>1924</v>
      </c>
      <c r="AL28">
        <v>0</v>
      </c>
      <c r="AM28">
        <v>22630</v>
      </c>
    </row>
    <row r="29" spans="1:39" x14ac:dyDescent="0.25">
      <c r="A29" t="s">
        <v>1431</v>
      </c>
      <c r="B29" t="s">
        <v>1729</v>
      </c>
      <c r="C29" t="s">
        <v>1656</v>
      </c>
      <c r="D29" t="s">
        <v>1655</v>
      </c>
      <c r="E29">
        <v>45</v>
      </c>
      <c r="F29">
        <v>36</v>
      </c>
      <c r="G29">
        <v>12</v>
      </c>
      <c r="H29">
        <v>20</v>
      </c>
      <c r="I29">
        <v>44.44</v>
      </c>
      <c r="J29">
        <v>4</v>
      </c>
      <c r="K29" t="s">
        <v>1956</v>
      </c>
      <c r="L29">
        <v>90400</v>
      </c>
      <c r="M29">
        <v>90400</v>
      </c>
      <c r="N29">
        <v>3</v>
      </c>
      <c r="O29">
        <v>3</v>
      </c>
      <c r="P29">
        <v>34</v>
      </c>
      <c r="Q29">
        <v>15</v>
      </c>
      <c r="R29">
        <v>1356</v>
      </c>
      <c r="S29">
        <v>400</v>
      </c>
      <c r="T29">
        <v>5136</v>
      </c>
      <c r="U29" s="117">
        <v>0.98</v>
      </c>
      <c r="V29">
        <v>0</v>
      </c>
      <c r="W29">
        <v>0</v>
      </c>
      <c r="X29">
        <v>15</v>
      </c>
      <c r="Y29" s="117">
        <v>0.91</v>
      </c>
      <c r="Z29">
        <v>20</v>
      </c>
      <c r="AA29">
        <v>45</v>
      </c>
      <c r="AB29">
        <v>286.25</v>
      </c>
      <c r="AC29">
        <v>236.2</v>
      </c>
      <c r="AD29">
        <v>45</v>
      </c>
      <c r="AE29">
        <v>0</v>
      </c>
      <c r="AF29">
        <v>125</v>
      </c>
      <c r="AG29">
        <v>6420</v>
      </c>
      <c r="AH29" t="s">
        <v>1924</v>
      </c>
      <c r="AI29" t="s">
        <v>1927</v>
      </c>
      <c r="AJ29" t="s">
        <v>1927</v>
      </c>
      <c r="AK29" t="s">
        <v>1927</v>
      </c>
      <c r="AL29">
        <v>5</v>
      </c>
      <c r="AM29">
        <v>6170</v>
      </c>
    </row>
    <row r="30" spans="1:39" x14ac:dyDescent="0.25">
      <c r="A30" t="s">
        <v>1430</v>
      </c>
      <c r="B30" t="s">
        <v>1724</v>
      </c>
      <c r="C30" t="s">
        <v>1656</v>
      </c>
      <c r="D30" t="s">
        <v>1655</v>
      </c>
      <c r="E30">
        <v>45</v>
      </c>
      <c r="F30">
        <v>36</v>
      </c>
      <c r="G30">
        <v>12</v>
      </c>
      <c r="H30">
        <v>15</v>
      </c>
      <c r="I30">
        <v>33.33</v>
      </c>
      <c r="J30">
        <v>1</v>
      </c>
      <c r="K30" t="s">
        <v>1954</v>
      </c>
      <c r="L30">
        <v>25000</v>
      </c>
      <c r="M30">
        <v>25000</v>
      </c>
      <c r="N30">
        <v>1</v>
      </c>
      <c r="O30">
        <v>1</v>
      </c>
      <c r="P30">
        <v>26</v>
      </c>
      <c r="Q30">
        <v>6.67</v>
      </c>
      <c r="R30">
        <v>375</v>
      </c>
      <c r="S30">
        <v>0</v>
      </c>
      <c r="T30">
        <v>3275</v>
      </c>
      <c r="U30" s="117">
        <v>0.9</v>
      </c>
      <c r="V30">
        <v>0</v>
      </c>
      <c r="W30">
        <v>0</v>
      </c>
      <c r="X30">
        <v>15</v>
      </c>
      <c r="Y30" s="117">
        <v>0.87</v>
      </c>
      <c r="Z30">
        <v>20</v>
      </c>
      <c r="AA30">
        <v>25</v>
      </c>
      <c r="AB30">
        <v>241.63</v>
      </c>
      <c r="AC30">
        <v>191.63</v>
      </c>
      <c r="AD30">
        <v>45</v>
      </c>
      <c r="AE30">
        <v>0</v>
      </c>
      <c r="AF30">
        <v>105</v>
      </c>
      <c r="AG30">
        <v>3438.75</v>
      </c>
      <c r="AH30" t="s">
        <v>1927</v>
      </c>
      <c r="AI30" t="s">
        <v>1927</v>
      </c>
      <c r="AJ30" t="s">
        <v>1927</v>
      </c>
      <c r="AK30" t="s">
        <v>1927</v>
      </c>
      <c r="AL30">
        <v>2</v>
      </c>
      <c r="AM30">
        <v>3338.75</v>
      </c>
    </row>
    <row r="31" spans="1:39" x14ac:dyDescent="0.25">
      <c r="A31" t="s">
        <v>1390</v>
      </c>
      <c r="B31" t="s">
        <v>1696</v>
      </c>
      <c r="C31" t="s">
        <v>1656</v>
      </c>
      <c r="D31" t="s">
        <v>1655</v>
      </c>
      <c r="E31">
        <v>45</v>
      </c>
      <c r="F31">
        <v>36</v>
      </c>
      <c r="G31">
        <v>12</v>
      </c>
      <c r="H31">
        <v>25</v>
      </c>
      <c r="I31">
        <v>55.56</v>
      </c>
      <c r="J31">
        <v>4</v>
      </c>
      <c r="K31" t="s">
        <v>1957</v>
      </c>
      <c r="L31">
        <v>30118</v>
      </c>
      <c r="M31">
        <v>20000</v>
      </c>
      <c r="N31">
        <v>2</v>
      </c>
      <c r="O31">
        <v>1</v>
      </c>
      <c r="P31">
        <v>46</v>
      </c>
      <c r="Q31">
        <v>8</v>
      </c>
      <c r="R31">
        <v>451.77</v>
      </c>
      <c r="S31">
        <v>400</v>
      </c>
      <c r="T31">
        <v>4951.7700000000004</v>
      </c>
      <c r="U31" s="117">
        <v>0.85</v>
      </c>
      <c r="V31">
        <v>0</v>
      </c>
      <c r="W31">
        <v>0</v>
      </c>
      <c r="X31">
        <v>15</v>
      </c>
      <c r="Y31" s="117">
        <v>0.98</v>
      </c>
      <c r="Z31">
        <v>20</v>
      </c>
      <c r="AA31">
        <v>25</v>
      </c>
      <c r="AB31">
        <v>150.08000000000001</v>
      </c>
      <c r="AC31">
        <v>103</v>
      </c>
      <c r="AD31">
        <v>15</v>
      </c>
      <c r="AE31">
        <v>0</v>
      </c>
      <c r="AF31">
        <v>75</v>
      </c>
      <c r="AG31">
        <v>3713.8274999999999</v>
      </c>
      <c r="AH31" t="s">
        <v>1927</v>
      </c>
      <c r="AI31" t="s">
        <v>1927</v>
      </c>
      <c r="AJ31" t="s">
        <v>1927</v>
      </c>
      <c r="AK31" t="s">
        <v>1927</v>
      </c>
      <c r="AL31">
        <v>17</v>
      </c>
      <c r="AM31">
        <v>2863.8274999999999</v>
      </c>
    </row>
    <row r="32" spans="1:39" x14ac:dyDescent="0.25">
      <c r="A32" t="s">
        <v>1389</v>
      </c>
      <c r="B32" t="s">
        <v>1658</v>
      </c>
      <c r="C32" t="s">
        <v>1656</v>
      </c>
      <c r="D32" t="s">
        <v>1655</v>
      </c>
      <c r="E32">
        <v>45</v>
      </c>
      <c r="F32">
        <v>36</v>
      </c>
      <c r="G32">
        <v>12</v>
      </c>
      <c r="H32">
        <v>27</v>
      </c>
      <c r="I32">
        <v>60</v>
      </c>
      <c r="J32">
        <v>9</v>
      </c>
      <c r="K32" t="s">
        <v>1958</v>
      </c>
      <c r="L32">
        <v>45800</v>
      </c>
      <c r="M32">
        <v>33300</v>
      </c>
      <c r="N32">
        <v>3</v>
      </c>
      <c r="O32">
        <v>2</v>
      </c>
      <c r="P32">
        <v>52</v>
      </c>
      <c r="Q32">
        <v>11.11</v>
      </c>
      <c r="R32">
        <v>687</v>
      </c>
      <c r="S32">
        <v>400</v>
      </c>
      <c r="T32">
        <v>5547</v>
      </c>
      <c r="U32" s="117">
        <v>0.92</v>
      </c>
      <c r="V32">
        <v>0</v>
      </c>
      <c r="W32">
        <v>20</v>
      </c>
      <c r="X32">
        <v>15</v>
      </c>
      <c r="Z32">
        <v>15</v>
      </c>
      <c r="AA32">
        <v>40</v>
      </c>
      <c r="AB32">
        <v>232.64</v>
      </c>
      <c r="AC32">
        <v>161.76</v>
      </c>
      <c r="AD32">
        <v>45</v>
      </c>
      <c r="AE32">
        <v>0</v>
      </c>
      <c r="AF32">
        <v>135</v>
      </c>
      <c r="AG32">
        <v>7488.45</v>
      </c>
      <c r="AH32" t="s">
        <v>1924</v>
      </c>
      <c r="AI32" t="s">
        <v>1927</v>
      </c>
      <c r="AJ32" t="s">
        <v>1927</v>
      </c>
      <c r="AK32" t="s">
        <v>1927</v>
      </c>
      <c r="AL32">
        <v>0</v>
      </c>
      <c r="AM32">
        <v>7488.45</v>
      </c>
    </row>
    <row r="33" spans="1:39" x14ac:dyDescent="0.25">
      <c r="A33" t="s">
        <v>1436</v>
      </c>
      <c r="B33" t="s">
        <v>1715</v>
      </c>
      <c r="C33" t="s">
        <v>1580</v>
      </c>
      <c r="D33" t="s">
        <v>1579</v>
      </c>
      <c r="E33">
        <v>28</v>
      </c>
      <c r="F33">
        <v>22</v>
      </c>
      <c r="G33">
        <v>5</v>
      </c>
      <c r="H33">
        <v>25</v>
      </c>
      <c r="I33">
        <v>89.29</v>
      </c>
      <c r="J33">
        <v>7</v>
      </c>
      <c r="K33" t="s">
        <v>1959</v>
      </c>
      <c r="L33">
        <v>20000</v>
      </c>
      <c r="M33">
        <v>20000</v>
      </c>
      <c r="N33">
        <v>1</v>
      </c>
      <c r="O33">
        <v>1</v>
      </c>
      <c r="P33">
        <v>48</v>
      </c>
      <c r="Q33">
        <v>4</v>
      </c>
      <c r="R33">
        <v>300</v>
      </c>
      <c r="S33">
        <v>1500</v>
      </c>
      <c r="T33">
        <v>6860</v>
      </c>
      <c r="U33" s="117">
        <v>0.91</v>
      </c>
      <c r="V33">
        <v>40</v>
      </c>
      <c r="W33">
        <v>25</v>
      </c>
      <c r="X33">
        <v>20</v>
      </c>
      <c r="Y33" s="117">
        <v>1</v>
      </c>
      <c r="Z33">
        <v>20</v>
      </c>
      <c r="AA33">
        <v>20</v>
      </c>
      <c r="AB33">
        <v>234.76</v>
      </c>
      <c r="AC33">
        <v>152.80000000000001</v>
      </c>
      <c r="AD33">
        <v>10</v>
      </c>
      <c r="AE33">
        <v>20</v>
      </c>
      <c r="AF33">
        <v>155</v>
      </c>
      <c r="AG33">
        <v>10633</v>
      </c>
      <c r="AH33" t="s">
        <v>1924</v>
      </c>
      <c r="AI33" t="s">
        <v>1924</v>
      </c>
      <c r="AJ33" t="s">
        <v>1924</v>
      </c>
      <c r="AK33" t="s">
        <v>1924</v>
      </c>
      <c r="AL33">
        <v>0</v>
      </c>
      <c r="AM33">
        <v>10633</v>
      </c>
    </row>
    <row r="34" spans="1:39" x14ac:dyDescent="0.25">
      <c r="A34" t="s">
        <v>1391</v>
      </c>
      <c r="B34" t="s">
        <v>1595</v>
      </c>
      <c r="C34" t="s">
        <v>1580</v>
      </c>
      <c r="D34" t="s">
        <v>1579</v>
      </c>
      <c r="E34">
        <v>26</v>
      </c>
      <c r="F34">
        <v>21</v>
      </c>
      <c r="G34">
        <v>5</v>
      </c>
      <c r="H34">
        <v>29</v>
      </c>
      <c r="I34">
        <v>111.54</v>
      </c>
      <c r="J34">
        <v>15</v>
      </c>
      <c r="K34" t="s">
        <v>1960</v>
      </c>
      <c r="L34">
        <v>78000</v>
      </c>
      <c r="M34">
        <v>78000</v>
      </c>
      <c r="N34">
        <v>2</v>
      </c>
      <c r="O34">
        <v>2</v>
      </c>
      <c r="P34">
        <v>66</v>
      </c>
      <c r="Q34">
        <v>6.9</v>
      </c>
      <c r="R34">
        <v>1170</v>
      </c>
      <c r="S34">
        <v>2200</v>
      </c>
      <c r="T34">
        <v>9570</v>
      </c>
      <c r="U34" s="117">
        <v>0.75</v>
      </c>
      <c r="V34">
        <v>45</v>
      </c>
      <c r="W34">
        <v>25</v>
      </c>
      <c r="X34">
        <v>20</v>
      </c>
      <c r="Y34" s="117">
        <v>0.8</v>
      </c>
      <c r="Z34">
        <v>20</v>
      </c>
      <c r="AA34">
        <v>25</v>
      </c>
      <c r="AB34">
        <v>270.48</v>
      </c>
      <c r="AC34">
        <v>236.35</v>
      </c>
      <c r="AD34">
        <v>30</v>
      </c>
      <c r="AE34">
        <v>30</v>
      </c>
      <c r="AF34">
        <v>195</v>
      </c>
      <c r="AG34">
        <v>18661.5</v>
      </c>
      <c r="AH34" t="s">
        <v>1924</v>
      </c>
      <c r="AI34" t="s">
        <v>1924</v>
      </c>
      <c r="AJ34" t="s">
        <v>1924</v>
      </c>
      <c r="AK34" t="s">
        <v>1924</v>
      </c>
      <c r="AL34">
        <v>0</v>
      </c>
      <c r="AM34">
        <v>18662</v>
      </c>
    </row>
    <row r="35" spans="1:39" x14ac:dyDescent="0.25">
      <c r="A35" t="s">
        <v>1404</v>
      </c>
      <c r="B35" t="s">
        <v>1570</v>
      </c>
      <c r="C35" t="s">
        <v>1580</v>
      </c>
      <c r="D35" t="s">
        <v>1627</v>
      </c>
      <c r="E35">
        <v>15</v>
      </c>
      <c r="F35">
        <v>12</v>
      </c>
      <c r="G35">
        <v>3</v>
      </c>
      <c r="H35">
        <v>7</v>
      </c>
      <c r="I35">
        <v>46.67</v>
      </c>
      <c r="J35">
        <v>0</v>
      </c>
      <c r="K35" t="s">
        <v>1961</v>
      </c>
      <c r="L35">
        <v>0</v>
      </c>
      <c r="M35">
        <v>0</v>
      </c>
      <c r="N35">
        <v>0</v>
      </c>
      <c r="O35">
        <v>0</v>
      </c>
      <c r="P35">
        <v>11</v>
      </c>
      <c r="Q35">
        <v>0</v>
      </c>
      <c r="R35">
        <v>0</v>
      </c>
      <c r="S35">
        <v>0</v>
      </c>
      <c r="T35">
        <v>3440</v>
      </c>
      <c r="U35" s="117">
        <v>0.95</v>
      </c>
      <c r="V35">
        <v>0</v>
      </c>
      <c r="W35">
        <v>0</v>
      </c>
      <c r="X35">
        <v>20</v>
      </c>
      <c r="Z35">
        <v>15</v>
      </c>
      <c r="AA35">
        <v>0</v>
      </c>
      <c r="AB35">
        <v>187.46</v>
      </c>
      <c r="AC35">
        <v>166.5</v>
      </c>
      <c r="AD35">
        <v>20</v>
      </c>
      <c r="AE35">
        <v>0</v>
      </c>
      <c r="AF35">
        <v>55</v>
      </c>
      <c r="AG35">
        <v>1892</v>
      </c>
      <c r="AH35" t="s">
        <v>1927</v>
      </c>
      <c r="AI35" t="s">
        <v>1927</v>
      </c>
      <c r="AJ35" t="s">
        <v>1927</v>
      </c>
      <c r="AK35" t="s">
        <v>1927</v>
      </c>
      <c r="AL35">
        <v>0</v>
      </c>
      <c r="AM35">
        <v>1892</v>
      </c>
    </row>
    <row r="36" spans="1:39" x14ac:dyDescent="0.25">
      <c r="A36" t="s">
        <v>1409</v>
      </c>
      <c r="B36" t="s">
        <v>1583</v>
      </c>
      <c r="C36" t="s">
        <v>1580</v>
      </c>
      <c r="D36" t="s">
        <v>1579</v>
      </c>
      <c r="E36">
        <v>26</v>
      </c>
      <c r="F36">
        <v>21</v>
      </c>
      <c r="G36">
        <v>5</v>
      </c>
      <c r="H36">
        <v>17</v>
      </c>
      <c r="I36">
        <v>65.38</v>
      </c>
      <c r="J36">
        <v>3</v>
      </c>
      <c r="K36" t="s">
        <v>1962</v>
      </c>
      <c r="L36">
        <v>22000</v>
      </c>
      <c r="M36">
        <v>22000</v>
      </c>
      <c r="N36">
        <v>1</v>
      </c>
      <c r="O36">
        <v>1</v>
      </c>
      <c r="P36">
        <v>27</v>
      </c>
      <c r="Q36">
        <v>5.88</v>
      </c>
      <c r="R36">
        <v>330</v>
      </c>
      <c r="S36">
        <v>0</v>
      </c>
      <c r="T36">
        <v>4190</v>
      </c>
      <c r="U36" s="117">
        <v>0.7</v>
      </c>
      <c r="V36">
        <v>0</v>
      </c>
      <c r="W36">
        <v>20</v>
      </c>
      <c r="X36">
        <v>20</v>
      </c>
      <c r="Y36" s="117">
        <v>1</v>
      </c>
      <c r="Z36">
        <v>20</v>
      </c>
      <c r="AA36">
        <v>25</v>
      </c>
      <c r="AB36">
        <v>253.2</v>
      </c>
      <c r="AC36">
        <v>220.24</v>
      </c>
      <c r="AD36">
        <v>30</v>
      </c>
      <c r="AE36">
        <v>30</v>
      </c>
      <c r="AF36">
        <v>145</v>
      </c>
      <c r="AG36">
        <v>6075.5</v>
      </c>
      <c r="AH36" t="s">
        <v>1924</v>
      </c>
      <c r="AI36" t="s">
        <v>1927</v>
      </c>
      <c r="AJ36" t="s">
        <v>1927</v>
      </c>
      <c r="AK36" t="s">
        <v>1927</v>
      </c>
      <c r="AL36">
        <v>0</v>
      </c>
      <c r="AM36">
        <v>6075.5</v>
      </c>
    </row>
    <row r="37" spans="1:39" x14ac:dyDescent="0.25">
      <c r="A37" t="s">
        <v>1425</v>
      </c>
      <c r="B37" t="s">
        <v>1614</v>
      </c>
      <c r="C37" t="s">
        <v>1580</v>
      </c>
      <c r="D37" t="s">
        <v>1608</v>
      </c>
      <c r="E37">
        <v>26</v>
      </c>
      <c r="F37">
        <v>21</v>
      </c>
      <c r="G37">
        <v>3</v>
      </c>
      <c r="H37">
        <v>11</v>
      </c>
      <c r="I37">
        <v>42.31</v>
      </c>
      <c r="J37">
        <v>2</v>
      </c>
      <c r="K37" t="s">
        <v>1963</v>
      </c>
      <c r="L37">
        <v>0</v>
      </c>
      <c r="M37">
        <v>0</v>
      </c>
      <c r="N37">
        <v>0</v>
      </c>
      <c r="O37">
        <v>0</v>
      </c>
      <c r="P37">
        <v>20</v>
      </c>
      <c r="Q37">
        <v>0</v>
      </c>
      <c r="R37">
        <v>0</v>
      </c>
      <c r="S37">
        <v>0</v>
      </c>
      <c r="T37">
        <v>3440</v>
      </c>
      <c r="U37" s="117">
        <v>0.96</v>
      </c>
      <c r="V37">
        <v>0</v>
      </c>
      <c r="W37">
        <v>15</v>
      </c>
      <c r="X37">
        <v>20</v>
      </c>
      <c r="Z37">
        <v>15</v>
      </c>
      <c r="AA37">
        <v>0</v>
      </c>
      <c r="AB37">
        <v>298.81</v>
      </c>
      <c r="AC37">
        <v>267.48</v>
      </c>
      <c r="AD37">
        <v>30</v>
      </c>
      <c r="AE37">
        <v>35</v>
      </c>
      <c r="AF37">
        <v>115</v>
      </c>
      <c r="AG37">
        <v>3956</v>
      </c>
      <c r="AH37" t="s">
        <v>1924</v>
      </c>
      <c r="AI37" t="s">
        <v>1927</v>
      </c>
      <c r="AJ37" t="s">
        <v>1927</v>
      </c>
      <c r="AK37" t="s">
        <v>1927</v>
      </c>
      <c r="AL37">
        <v>1</v>
      </c>
      <c r="AM37">
        <v>3906</v>
      </c>
    </row>
    <row r="38" spans="1:39" x14ac:dyDescent="0.25">
      <c r="A38" t="s">
        <v>1413</v>
      </c>
      <c r="B38" t="s">
        <v>1575</v>
      </c>
      <c r="C38" t="s">
        <v>1580</v>
      </c>
      <c r="D38" t="s">
        <v>1579</v>
      </c>
      <c r="E38">
        <v>26</v>
      </c>
      <c r="F38">
        <v>21</v>
      </c>
      <c r="G38">
        <v>5</v>
      </c>
      <c r="H38">
        <v>15</v>
      </c>
      <c r="I38">
        <v>57.69</v>
      </c>
      <c r="J38">
        <v>3</v>
      </c>
      <c r="K38" t="s">
        <v>1964</v>
      </c>
      <c r="L38">
        <v>151000</v>
      </c>
      <c r="M38">
        <v>151000</v>
      </c>
      <c r="N38">
        <v>2</v>
      </c>
      <c r="O38">
        <v>2</v>
      </c>
      <c r="P38">
        <v>27</v>
      </c>
      <c r="Q38">
        <v>13.33</v>
      </c>
      <c r="R38">
        <v>2265</v>
      </c>
      <c r="S38">
        <v>500</v>
      </c>
      <c r="T38">
        <v>6625</v>
      </c>
      <c r="U38" s="117">
        <v>0.78</v>
      </c>
      <c r="V38">
        <v>0</v>
      </c>
      <c r="W38">
        <v>20</v>
      </c>
      <c r="X38">
        <v>20</v>
      </c>
      <c r="Y38" s="117">
        <v>1</v>
      </c>
      <c r="Z38">
        <v>20</v>
      </c>
      <c r="AA38">
        <v>25</v>
      </c>
      <c r="AB38">
        <v>223.55</v>
      </c>
      <c r="AC38">
        <v>199.68</v>
      </c>
      <c r="AD38">
        <v>30</v>
      </c>
      <c r="AE38">
        <v>0</v>
      </c>
      <c r="AF38">
        <v>115</v>
      </c>
      <c r="AG38">
        <v>7618.75</v>
      </c>
      <c r="AH38" t="s">
        <v>1924</v>
      </c>
      <c r="AI38" t="s">
        <v>1927</v>
      </c>
      <c r="AJ38" t="s">
        <v>1927</v>
      </c>
      <c r="AK38" t="s">
        <v>1927</v>
      </c>
      <c r="AL38">
        <v>0</v>
      </c>
      <c r="AM38">
        <v>7618.75</v>
      </c>
    </row>
    <row r="39" spans="1:39" x14ac:dyDescent="0.25">
      <c r="A39" t="s">
        <v>1401</v>
      </c>
      <c r="B39" t="s">
        <v>1632</v>
      </c>
      <c r="C39" t="s">
        <v>1580</v>
      </c>
      <c r="D39" t="s">
        <v>1627</v>
      </c>
      <c r="E39">
        <v>26</v>
      </c>
      <c r="F39">
        <v>21</v>
      </c>
      <c r="G39">
        <v>3</v>
      </c>
      <c r="H39">
        <v>11</v>
      </c>
      <c r="I39">
        <v>42.31</v>
      </c>
      <c r="J39">
        <v>1</v>
      </c>
      <c r="K39" t="s">
        <v>1965</v>
      </c>
      <c r="L39">
        <v>0</v>
      </c>
      <c r="M39">
        <v>0</v>
      </c>
      <c r="N39">
        <v>0</v>
      </c>
      <c r="O39">
        <v>0</v>
      </c>
      <c r="P39">
        <v>16</v>
      </c>
      <c r="Q39">
        <v>0</v>
      </c>
      <c r="R39">
        <v>0</v>
      </c>
      <c r="S39">
        <v>500</v>
      </c>
      <c r="T39">
        <v>3700</v>
      </c>
      <c r="U39" s="117">
        <v>0.9</v>
      </c>
      <c r="V39">
        <v>0</v>
      </c>
      <c r="W39">
        <v>15</v>
      </c>
      <c r="X39">
        <v>20</v>
      </c>
      <c r="Z39">
        <v>15</v>
      </c>
      <c r="AA39">
        <v>0</v>
      </c>
      <c r="AB39">
        <v>214.25</v>
      </c>
      <c r="AC39">
        <v>189.25</v>
      </c>
      <c r="AD39">
        <v>30</v>
      </c>
      <c r="AE39">
        <v>0</v>
      </c>
      <c r="AF39">
        <v>80</v>
      </c>
      <c r="AG39">
        <v>2960</v>
      </c>
      <c r="AH39" t="s">
        <v>1927</v>
      </c>
      <c r="AI39" t="s">
        <v>1927</v>
      </c>
      <c r="AJ39" t="s">
        <v>1927</v>
      </c>
      <c r="AK39" t="s">
        <v>1927</v>
      </c>
      <c r="AL39">
        <v>0</v>
      </c>
      <c r="AM39">
        <v>2960</v>
      </c>
    </row>
    <row r="40" spans="1:39" x14ac:dyDescent="0.25">
      <c r="A40" t="s">
        <v>1393</v>
      </c>
      <c r="B40" t="s">
        <v>1599</v>
      </c>
      <c r="C40" t="s">
        <v>1580</v>
      </c>
      <c r="D40" t="s">
        <v>1579</v>
      </c>
      <c r="E40">
        <v>28</v>
      </c>
      <c r="F40">
        <v>22</v>
      </c>
      <c r="G40">
        <v>5</v>
      </c>
      <c r="H40">
        <v>29</v>
      </c>
      <c r="I40">
        <v>103.57</v>
      </c>
      <c r="J40">
        <v>6</v>
      </c>
      <c r="K40" t="s">
        <v>1966</v>
      </c>
      <c r="L40">
        <v>12000</v>
      </c>
      <c r="M40">
        <v>0</v>
      </c>
      <c r="N40">
        <v>1</v>
      </c>
      <c r="O40">
        <v>0</v>
      </c>
      <c r="P40">
        <v>52</v>
      </c>
      <c r="Q40">
        <v>3.45</v>
      </c>
      <c r="R40">
        <v>180</v>
      </c>
      <c r="S40">
        <v>2000</v>
      </c>
      <c r="T40">
        <v>7480</v>
      </c>
      <c r="U40" s="117">
        <v>0.98</v>
      </c>
      <c r="V40">
        <v>45</v>
      </c>
      <c r="W40">
        <v>25</v>
      </c>
      <c r="X40">
        <v>20</v>
      </c>
      <c r="Y40" s="117">
        <v>0.67</v>
      </c>
      <c r="Z40">
        <v>20</v>
      </c>
      <c r="AA40">
        <v>20</v>
      </c>
      <c r="AB40">
        <v>262.08</v>
      </c>
      <c r="AC40">
        <v>210.12</v>
      </c>
      <c r="AD40">
        <v>30</v>
      </c>
      <c r="AE40">
        <v>30</v>
      </c>
      <c r="AF40">
        <v>190</v>
      </c>
      <c r="AG40">
        <v>14212</v>
      </c>
      <c r="AH40" t="s">
        <v>1924</v>
      </c>
      <c r="AI40" t="s">
        <v>1924</v>
      </c>
      <c r="AJ40" t="s">
        <v>1924</v>
      </c>
      <c r="AK40" t="s">
        <v>1924</v>
      </c>
      <c r="AL40">
        <v>1</v>
      </c>
      <c r="AM40">
        <v>14112</v>
      </c>
    </row>
    <row r="41" spans="1:39" x14ac:dyDescent="0.25">
      <c r="A41" t="s">
        <v>1388</v>
      </c>
      <c r="B41" t="s">
        <v>1721</v>
      </c>
      <c r="C41" t="s">
        <v>1580</v>
      </c>
      <c r="D41" t="s">
        <v>1608</v>
      </c>
      <c r="E41">
        <v>26</v>
      </c>
      <c r="F41">
        <v>21</v>
      </c>
      <c r="G41">
        <v>3</v>
      </c>
      <c r="H41">
        <v>18</v>
      </c>
      <c r="I41">
        <v>69.23</v>
      </c>
      <c r="J41">
        <v>1</v>
      </c>
      <c r="K41" t="s">
        <v>1967</v>
      </c>
      <c r="L41">
        <v>18000</v>
      </c>
      <c r="M41">
        <v>18000</v>
      </c>
      <c r="N41">
        <v>1</v>
      </c>
      <c r="O41">
        <v>1</v>
      </c>
      <c r="P41">
        <v>38</v>
      </c>
      <c r="Q41">
        <v>5.56</v>
      </c>
      <c r="R41">
        <v>270</v>
      </c>
      <c r="S41">
        <v>1000</v>
      </c>
      <c r="T41">
        <v>5790</v>
      </c>
      <c r="U41" s="117">
        <v>0.91</v>
      </c>
      <c r="V41">
        <v>0</v>
      </c>
      <c r="W41">
        <v>15</v>
      </c>
      <c r="X41">
        <v>20</v>
      </c>
      <c r="Z41">
        <v>15</v>
      </c>
      <c r="AA41">
        <v>25</v>
      </c>
      <c r="AB41">
        <v>276.35000000000002</v>
      </c>
      <c r="AC41">
        <v>239.65</v>
      </c>
      <c r="AD41">
        <v>30</v>
      </c>
      <c r="AE41">
        <v>30</v>
      </c>
      <c r="AF41">
        <v>135</v>
      </c>
      <c r="AG41">
        <v>7816.5</v>
      </c>
      <c r="AH41" t="s">
        <v>1924</v>
      </c>
      <c r="AI41" t="s">
        <v>1927</v>
      </c>
      <c r="AJ41" t="s">
        <v>1927</v>
      </c>
      <c r="AK41" t="s">
        <v>1927</v>
      </c>
      <c r="AL41">
        <v>0</v>
      </c>
      <c r="AM41">
        <v>7816.5</v>
      </c>
    </row>
    <row r="42" spans="1:39" x14ac:dyDescent="0.25">
      <c r="A42" t="s">
        <v>1434</v>
      </c>
      <c r="B42" t="s">
        <v>1629</v>
      </c>
      <c r="C42" t="s">
        <v>1580</v>
      </c>
      <c r="D42" t="s">
        <v>1627</v>
      </c>
      <c r="E42">
        <v>26</v>
      </c>
      <c r="F42">
        <v>21</v>
      </c>
      <c r="G42">
        <v>3</v>
      </c>
      <c r="H42">
        <v>4</v>
      </c>
      <c r="I42">
        <v>15.38</v>
      </c>
      <c r="J42">
        <v>2</v>
      </c>
      <c r="K42" t="s">
        <v>1968</v>
      </c>
      <c r="L42">
        <v>0</v>
      </c>
      <c r="M42">
        <v>0</v>
      </c>
      <c r="N42">
        <v>0</v>
      </c>
      <c r="O42">
        <v>0</v>
      </c>
      <c r="P42">
        <v>8</v>
      </c>
      <c r="Q42">
        <v>0</v>
      </c>
      <c r="R42">
        <v>0</v>
      </c>
      <c r="S42">
        <v>0</v>
      </c>
      <c r="T42">
        <v>2720</v>
      </c>
      <c r="U42" s="117">
        <v>0.88</v>
      </c>
      <c r="V42">
        <v>0</v>
      </c>
      <c r="W42">
        <v>15</v>
      </c>
      <c r="X42">
        <v>20</v>
      </c>
      <c r="Z42">
        <v>15</v>
      </c>
      <c r="AA42">
        <v>0</v>
      </c>
      <c r="AB42">
        <v>231.65</v>
      </c>
      <c r="AC42">
        <v>209.62</v>
      </c>
      <c r="AD42">
        <v>30</v>
      </c>
      <c r="AE42">
        <v>20</v>
      </c>
      <c r="AF42">
        <v>100</v>
      </c>
      <c r="AG42">
        <v>2720</v>
      </c>
      <c r="AH42" t="s">
        <v>1927</v>
      </c>
      <c r="AI42" t="s">
        <v>1927</v>
      </c>
      <c r="AJ42" t="s">
        <v>1927</v>
      </c>
      <c r="AK42" t="s">
        <v>1927</v>
      </c>
      <c r="AL42">
        <v>1</v>
      </c>
      <c r="AM42">
        <v>2670</v>
      </c>
    </row>
    <row r="43" spans="1:39" x14ac:dyDescent="0.25">
      <c r="A43" t="s">
        <v>1426</v>
      </c>
      <c r="B43" t="s">
        <v>1624</v>
      </c>
      <c r="C43" t="s">
        <v>1580</v>
      </c>
      <c r="D43" t="s">
        <v>1627</v>
      </c>
      <c r="E43">
        <v>26</v>
      </c>
      <c r="F43">
        <v>21</v>
      </c>
      <c r="G43">
        <v>3</v>
      </c>
      <c r="H43">
        <v>10</v>
      </c>
      <c r="I43">
        <v>38.46</v>
      </c>
      <c r="J43">
        <v>0</v>
      </c>
      <c r="K43" t="s">
        <v>1969</v>
      </c>
      <c r="L43">
        <v>0</v>
      </c>
      <c r="M43">
        <v>0</v>
      </c>
      <c r="N43">
        <v>0</v>
      </c>
      <c r="O43">
        <v>0</v>
      </c>
      <c r="P43">
        <v>12</v>
      </c>
      <c r="Q43">
        <v>0</v>
      </c>
      <c r="R43">
        <v>0</v>
      </c>
      <c r="S43">
        <v>0</v>
      </c>
      <c r="T43">
        <v>2960</v>
      </c>
      <c r="U43" s="117">
        <v>0.84</v>
      </c>
      <c r="V43">
        <v>0</v>
      </c>
      <c r="W43">
        <v>0</v>
      </c>
      <c r="X43">
        <v>20</v>
      </c>
      <c r="Z43">
        <v>15</v>
      </c>
      <c r="AA43">
        <v>0</v>
      </c>
      <c r="AB43">
        <v>227.64</v>
      </c>
      <c r="AC43">
        <v>182.56</v>
      </c>
      <c r="AD43">
        <v>30</v>
      </c>
      <c r="AE43">
        <v>20</v>
      </c>
      <c r="AF43">
        <v>85</v>
      </c>
      <c r="AG43">
        <v>2516</v>
      </c>
      <c r="AH43" t="s">
        <v>1927</v>
      </c>
      <c r="AI43" t="s">
        <v>1927</v>
      </c>
      <c r="AJ43" t="s">
        <v>1927</v>
      </c>
      <c r="AK43" t="s">
        <v>1927</v>
      </c>
      <c r="AL43">
        <v>0</v>
      </c>
      <c r="AM43">
        <v>2516</v>
      </c>
    </row>
    <row r="44" spans="1:39" x14ac:dyDescent="0.25">
      <c r="A44" t="s">
        <v>1405</v>
      </c>
      <c r="B44" t="s">
        <v>1589</v>
      </c>
      <c r="C44" t="s">
        <v>1580</v>
      </c>
      <c r="D44" t="s">
        <v>1579</v>
      </c>
      <c r="E44">
        <v>29</v>
      </c>
      <c r="F44">
        <v>21</v>
      </c>
      <c r="G44">
        <v>5</v>
      </c>
      <c r="H44">
        <v>43</v>
      </c>
      <c r="I44">
        <v>153.85</v>
      </c>
      <c r="J44">
        <v>14</v>
      </c>
      <c r="K44" t="s">
        <v>1970</v>
      </c>
      <c r="L44">
        <v>81000</v>
      </c>
      <c r="M44">
        <v>60000</v>
      </c>
      <c r="N44">
        <v>4</v>
      </c>
      <c r="O44">
        <v>2</v>
      </c>
      <c r="P44">
        <v>79</v>
      </c>
      <c r="Q44">
        <v>2.5</v>
      </c>
      <c r="R44">
        <v>900</v>
      </c>
      <c r="S44">
        <v>3000</v>
      </c>
      <c r="T44">
        <v>10880</v>
      </c>
      <c r="U44" s="117">
        <v>0.96</v>
      </c>
      <c r="V44">
        <v>45</v>
      </c>
      <c r="W44">
        <v>25</v>
      </c>
      <c r="X44">
        <v>20</v>
      </c>
      <c r="Z44">
        <v>15</v>
      </c>
      <c r="AA44">
        <v>20</v>
      </c>
      <c r="AB44">
        <v>215.83</v>
      </c>
      <c r="AC44">
        <v>173.69</v>
      </c>
      <c r="AD44">
        <v>20</v>
      </c>
      <c r="AE44">
        <v>0</v>
      </c>
      <c r="AF44">
        <v>145</v>
      </c>
      <c r="AG44">
        <v>15776</v>
      </c>
      <c r="AH44" t="s">
        <v>1924</v>
      </c>
      <c r="AI44" t="s">
        <v>1924</v>
      </c>
      <c r="AJ44" t="s">
        <v>1924</v>
      </c>
      <c r="AK44" t="s">
        <v>1924</v>
      </c>
      <c r="AL44">
        <v>0</v>
      </c>
      <c r="AM44">
        <v>15776</v>
      </c>
    </row>
    <row r="45" spans="1:39" x14ac:dyDescent="0.25">
      <c r="A45" t="s">
        <v>1418</v>
      </c>
      <c r="B45" t="s">
        <v>1610</v>
      </c>
      <c r="C45" t="s">
        <v>1971</v>
      </c>
      <c r="D45" t="s">
        <v>1608</v>
      </c>
      <c r="E45">
        <v>26</v>
      </c>
      <c r="F45">
        <v>21</v>
      </c>
      <c r="G45">
        <v>3</v>
      </c>
      <c r="H45">
        <v>9</v>
      </c>
      <c r="I45">
        <v>34.619999999999997</v>
      </c>
      <c r="J45">
        <v>2</v>
      </c>
      <c r="K45" t="s">
        <v>1972</v>
      </c>
      <c r="L45">
        <v>0</v>
      </c>
      <c r="M45">
        <v>0</v>
      </c>
      <c r="N45">
        <v>0</v>
      </c>
      <c r="O45">
        <v>0</v>
      </c>
      <c r="P45">
        <v>21</v>
      </c>
      <c r="Q45">
        <v>0</v>
      </c>
      <c r="R45">
        <v>0</v>
      </c>
      <c r="S45">
        <v>0</v>
      </c>
      <c r="T45">
        <v>3500</v>
      </c>
      <c r="U45" s="117">
        <v>0.7</v>
      </c>
      <c r="V45">
        <v>0</v>
      </c>
      <c r="W45">
        <v>15</v>
      </c>
      <c r="X45">
        <v>20</v>
      </c>
      <c r="Z45">
        <v>15</v>
      </c>
      <c r="AA45">
        <v>0</v>
      </c>
      <c r="AB45">
        <v>219</v>
      </c>
      <c r="AC45">
        <v>183.12</v>
      </c>
      <c r="AD45">
        <v>30</v>
      </c>
      <c r="AE45">
        <v>0</v>
      </c>
      <c r="AF45">
        <v>80</v>
      </c>
      <c r="AG45">
        <v>2800</v>
      </c>
      <c r="AH45" t="s">
        <v>1927</v>
      </c>
      <c r="AI45" t="s">
        <v>1927</v>
      </c>
      <c r="AJ45" t="s">
        <v>1927</v>
      </c>
      <c r="AK45" t="s">
        <v>1927</v>
      </c>
      <c r="AL45">
        <v>1</v>
      </c>
      <c r="AM45">
        <v>2750</v>
      </c>
    </row>
    <row r="46" spans="1:39" x14ac:dyDescent="0.25">
      <c r="A46" t="s">
        <v>1428</v>
      </c>
      <c r="B46" t="s">
        <v>1557</v>
      </c>
      <c r="C46" t="s">
        <v>1971</v>
      </c>
      <c r="D46" t="s">
        <v>1627</v>
      </c>
      <c r="E46">
        <v>26</v>
      </c>
      <c r="F46">
        <v>21</v>
      </c>
      <c r="G46">
        <v>3</v>
      </c>
      <c r="H46">
        <v>6</v>
      </c>
      <c r="I46">
        <v>23.08</v>
      </c>
      <c r="J46">
        <v>0</v>
      </c>
      <c r="K46" t="s">
        <v>1973</v>
      </c>
      <c r="L46">
        <v>0</v>
      </c>
      <c r="M46">
        <v>0</v>
      </c>
      <c r="N46">
        <v>0</v>
      </c>
      <c r="O46">
        <v>0</v>
      </c>
      <c r="P46">
        <v>8</v>
      </c>
      <c r="Q46">
        <v>0</v>
      </c>
      <c r="R46">
        <v>0</v>
      </c>
      <c r="S46">
        <v>0</v>
      </c>
      <c r="T46">
        <v>2720</v>
      </c>
      <c r="U46" s="117">
        <v>0.9</v>
      </c>
      <c r="V46">
        <v>0</v>
      </c>
      <c r="W46">
        <v>0</v>
      </c>
      <c r="X46">
        <v>20</v>
      </c>
      <c r="Z46">
        <v>15</v>
      </c>
      <c r="AA46">
        <v>0</v>
      </c>
      <c r="AB46">
        <v>263.70999999999998</v>
      </c>
      <c r="AC46">
        <v>237.67</v>
      </c>
      <c r="AD46">
        <v>30</v>
      </c>
      <c r="AE46">
        <v>30</v>
      </c>
      <c r="AF46">
        <v>95</v>
      </c>
      <c r="AG46">
        <v>2584</v>
      </c>
      <c r="AH46" t="s">
        <v>1927</v>
      </c>
      <c r="AI46" t="s">
        <v>1927</v>
      </c>
      <c r="AJ46" t="s">
        <v>1927</v>
      </c>
      <c r="AK46" t="s">
        <v>1927</v>
      </c>
      <c r="AL46">
        <v>0</v>
      </c>
      <c r="AM46">
        <v>2584</v>
      </c>
    </row>
    <row r="47" spans="1:39" x14ac:dyDescent="0.25">
      <c r="A47" t="s">
        <v>1421</v>
      </c>
      <c r="B47" t="s">
        <v>1605</v>
      </c>
      <c r="C47" t="s">
        <v>1971</v>
      </c>
      <c r="D47" t="s">
        <v>1608</v>
      </c>
      <c r="E47">
        <v>26</v>
      </c>
      <c r="F47">
        <v>21</v>
      </c>
      <c r="G47">
        <v>3</v>
      </c>
      <c r="H47">
        <v>19</v>
      </c>
      <c r="I47">
        <v>73.08</v>
      </c>
      <c r="J47">
        <v>2</v>
      </c>
      <c r="K47" t="s">
        <v>1974</v>
      </c>
      <c r="L47">
        <v>0</v>
      </c>
      <c r="M47">
        <v>0</v>
      </c>
      <c r="N47">
        <v>0</v>
      </c>
      <c r="O47">
        <v>0</v>
      </c>
      <c r="P47">
        <v>35</v>
      </c>
      <c r="Q47">
        <v>0</v>
      </c>
      <c r="R47">
        <v>0</v>
      </c>
      <c r="S47">
        <v>500</v>
      </c>
      <c r="T47">
        <v>4840</v>
      </c>
      <c r="U47" s="117">
        <v>0.78</v>
      </c>
      <c r="V47">
        <v>0</v>
      </c>
      <c r="W47">
        <v>15</v>
      </c>
      <c r="X47">
        <v>20</v>
      </c>
      <c r="Z47">
        <v>15</v>
      </c>
      <c r="AA47">
        <v>0</v>
      </c>
      <c r="AB47">
        <v>294.44</v>
      </c>
      <c r="AC47">
        <v>197.52</v>
      </c>
      <c r="AD47">
        <v>30</v>
      </c>
      <c r="AE47">
        <v>35</v>
      </c>
      <c r="AF47">
        <v>115</v>
      </c>
      <c r="AG47">
        <v>5566</v>
      </c>
      <c r="AH47" t="s">
        <v>1924</v>
      </c>
      <c r="AI47" t="s">
        <v>1927</v>
      </c>
      <c r="AJ47" t="s">
        <v>1927</v>
      </c>
      <c r="AK47" t="s">
        <v>1927</v>
      </c>
      <c r="AL47">
        <v>0</v>
      </c>
      <c r="AM47">
        <v>5566</v>
      </c>
    </row>
    <row r="48" spans="1:39" x14ac:dyDescent="0.25">
      <c r="A48" t="s">
        <v>1975</v>
      </c>
      <c r="B48" t="s">
        <v>1976</v>
      </c>
      <c r="C48" t="s">
        <v>1971</v>
      </c>
      <c r="D48" t="s">
        <v>1627</v>
      </c>
      <c r="E48">
        <v>26</v>
      </c>
      <c r="F48">
        <v>21</v>
      </c>
      <c r="G48">
        <v>3</v>
      </c>
      <c r="H48">
        <v>1</v>
      </c>
      <c r="I48">
        <v>3.85</v>
      </c>
      <c r="J48">
        <v>0</v>
      </c>
      <c r="K48" t="s">
        <v>1926</v>
      </c>
      <c r="L48">
        <v>0</v>
      </c>
      <c r="M48">
        <v>0</v>
      </c>
      <c r="N48">
        <v>0</v>
      </c>
      <c r="O48">
        <v>0</v>
      </c>
      <c r="P48">
        <v>1</v>
      </c>
      <c r="Q48">
        <v>0</v>
      </c>
      <c r="R48">
        <v>0</v>
      </c>
      <c r="S48">
        <v>0</v>
      </c>
      <c r="T48">
        <v>2300</v>
      </c>
      <c r="U48" s="117">
        <v>0.73</v>
      </c>
      <c r="V48">
        <v>0</v>
      </c>
      <c r="W48">
        <v>0</v>
      </c>
      <c r="X48">
        <v>20</v>
      </c>
      <c r="Z48">
        <v>15</v>
      </c>
      <c r="AA48">
        <v>0</v>
      </c>
      <c r="AB48">
        <v>240.44</v>
      </c>
      <c r="AC48">
        <v>199.44</v>
      </c>
      <c r="AD48">
        <v>30</v>
      </c>
      <c r="AE48">
        <v>20</v>
      </c>
      <c r="AF48">
        <v>85</v>
      </c>
      <c r="AG48">
        <v>1955</v>
      </c>
      <c r="AH48" t="s">
        <v>1927</v>
      </c>
      <c r="AI48" t="s">
        <v>1927</v>
      </c>
      <c r="AJ48" t="s">
        <v>1927</v>
      </c>
      <c r="AK48" t="s">
        <v>1927</v>
      </c>
      <c r="AL48">
        <v>0</v>
      </c>
      <c r="AM48">
        <v>1955</v>
      </c>
    </row>
    <row r="49" spans="1:39" x14ac:dyDescent="0.25">
      <c r="A49" t="s">
        <v>1395</v>
      </c>
      <c r="B49" t="s">
        <v>1621</v>
      </c>
      <c r="C49" t="s">
        <v>1971</v>
      </c>
      <c r="D49" t="s">
        <v>1608</v>
      </c>
      <c r="E49">
        <v>26</v>
      </c>
      <c r="F49">
        <v>21</v>
      </c>
      <c r="G49">
        <v>3</v>
      </c>
      <c r="H49">
        <v>7</v>
      </c>
      <c r="I49">
        <v>26.92</v>
      </c>
      <c r="J49">
        <v>0</v>
      </c>
      <c r="K49" t="s">
        <v>1977</v>
      </c>
      <c r="L49">
        <v>0</v>
      </c>
      <c r="M49">
        <v>0</v>
      </c>
      <c r="N49">
        <v>0</v>
      </c>
      <c r="O49">
        <v>0</v>
      </c>
      <c r="P49">
        <v>9</v>
      </c>
      <c r="Q49">
        <v>0</v>
      </c>
      <c r="R49">
        <v>0</v>
      </c>
      <c r="S49">
        <v>0</v>
      </c>
      <c r="T49">
        <v>2780</v>
      </c>
      <c r="U49" s="117">
        <v>0.84</v>
      </c>
      <c r="V49">
        <v>0</v>
      </c>
      <c r="W49">
        <v>0</v>
      </c>
      <c r="X49">
        <v>20</v>
      </c>
      <c r="Z49">
        <v>15</v>
      </c>
      <c r="AA49">
        <v>0</v>
      </c>
      <c r="AB49">
        <v>332.61</v>
      </c>
      <c r="AC49">
        <v>270.22000000000003</v>
      </c>
      <c r="AD49">
        <v>30</v>
      </c>
      <c r="AE49">
        <v>35</v>
      </c>
      <c r="AF49">
        <v>100</v>
      </c>
      <c r="AG49">
        <v>2780</v>
      </c>
      <c r="AH49" t="s">
        <v>1927</v>
      </c>
      <c r="AI49" t="s">
        <v>1927</v>
      </c>
      <c r="AJ49" t="s">
        <v>1927</v>
      </c>
      <c r="AK49" t="s">
        <v>1927</v>
      </c>
      <c r="AL49">
        <v>1</v>
      </c>
      <c r="AM49">
        <v>2730</v>
      </c>
    </row>
    <row r="50" spans="1:39" x14ac:dyDescent="0.25">
      <c r="A50" t="s">
        <v>1394</v>
      </c>
      <c r="B50" t="s">
        <v>1618</v>
      </c>
      <c r="C50" t="s">
        <v>1971</v>
      </c>
      <c r="D50" t="s">
        <v>1608</v>
      </c>
      <c r="E50">
        <v>26</v>
      </c>
      <c r="F50">
        <v>21</v>
      </c>
      <c r="G50">
        <v>3</v>
      </c>
      <c r="H50">
        <v>14</v>
      </c>
      <c r="I50">
        <v>53.85</v>
      </c>
      <c r="J50">
        <v>5</v>
      </c>
      <c r="K50" t="s">
        <v>1978</v>
      </c>
      <c r="L50">
        <v>35000</v>
      </c>
      <c r="M50">
        <v>35000</v>
      </c>
      <c r="N50">
        <v>1</v>
      </c>
      <c r="O50">
        <v>1</v>
      </c>
      <c r="P50">
        <v>29</v>
      </c>
      <c r="Q50">
        <v>7.14</v>
      </c>
      <c r="R50">
        <v>525</v>
      </c>
      <c r="S50">
        <v>0</v>
      </c>
      <c r="T50">
        <v>4505</v>
      </c>
      <c r="U50" s="117">
        <v>0.88</v>
      </c>
      <c r="V50">
        <v>0</v>
      </c>
      <c r="W50">
        <v>25</v>
      </c>
      <c r="X50">
        <v>20</v>
      </c>
      <c r="Z50">
        <v>15</v>
      </c>
      <c r="AA50">
        <v>25</v>
      </c>
      <c r="AB50">
        <v>317.85000000000002</v>
      </c>
      <c r="AC50">
        <v>277.38</v>
      </c>
      <c r="AD50">
        <v>30</v>
      </c>
      <c r="AE50">
        <v>35</v>
      </c>
      <c r="AF50">
        <v>150</v>
      </c>
      <c r="AG50">
        <v>6757.5</v>
      </c>
      <c r="AH50" t="s">
        <v>1924</v>
      </c>
      <c r="AI50" t="s">
        <v>1927</v>
      </c>
      <c r="AJ50" t="s">
        <v>1924</v>
      </c>
      <c r="AK50" t="s">
        <v>1927</v>
      </c>
      <c r="AL50">
        <v>0</v>
      </c>
      <c r="AM50">
        <v>6757.5</v>
      </c>
    </row>
    <row r="51" spans="1:39" x14ac:dyDescent="0.25">
      <c r="A51" t="s">
        <v>1435</v>
      </c>
      <c r="B51" t="s">
        <v>1561</v>
      </c>
      <c r="C51" t="s">
        <v>1971</v>
      </c>
      <c r="D51" t="s">
        <v>1627</v>
      </c>
      <c r="E51">
        <v>26</v>
      </c>
      <c r="F51">
        <v>21</v>
      </c>
      <c r="G51">
        <v>3</v>
      </c>
      <c r="H51">
        <v>4</v>
      </c>
      <c r="I51">
        <v>15.38</v>
      </c>
      <c r="J51">
        <v>0</v>
      </c>
      <c r="K51" t="s">
        <v>1979</v>
      </c>
      <c r="L51">
        <v>0</v>
      </c>
      <c r="M51">
        <v>0</v>
      </c>
      <c r="N51">
        <v>0</v>
      </c>
      <c r="O51">
        <v>0</v>
      </c>
      <c r="P51">
        <v>8</v>
      </c>
      <c r="Q51">
        <v>0</v>
      </c>
      <c r="R51">
        <v>0</v>
      </c>
      <c r="S51">
        <v>0</v>
      </c>
      <c r="T51">
        <v>2720</v>
      </c>
      <c r="U51" s="117">
        <v>0.76</v>
      </c>
      <c r="V51">
        <v>0</v>
      </c>
      <c r="W51">
        <v>0</v>
      </c>
      <c r="X51">
        <v>20</v>
      </c>
      <c r="Z51">
        <v>15</v>
      </c>
      <c r="AA51">
        <v>0</v>
      </c>
      <c r="AB51">
        <v>251.92</v>
      </c>
      <c r="AC51">
        <v>224.42</v>
      </c>
      <c r="AD51">
        <v>30</v>
      </c>
      <c r="AE51">
        <v>30</v>
      </c>
      <c r="AF51">
        <v>95</v>
      </c>
      <c r="AG51">
        <v>2584</v>
      </c>
      <c r="AH51" t="s">
        <v>1927</v>
      </c>
      <c r="AI51" t="s">
        <v>1927</v>
      </c>
      <c r="AJ51" t="s">
        <v>1927</v>
      </c>
      <c r="AK51" t="s">
        <v>1927</v>
      </c>
      <c r="AL51">
        <v>0</v>
      </c>
      <c r="AM51">
        <v>2584</v>
      </c>
    </row>
    <row r="52" spans="1:39" x14ac:dyDescent="0.25">
      <c r="A52" t="s">
        <v>1419</v>
      </c>
      <c r="B52" t="s">
        <v>1565</v>
      </c>
      <c r="C52" t="s">
        <v>1971</v>
      </c>
      <c r="D52" t="s">
        <v>1627</v>
      </c>
      <c r="E52">
        <v>26</v>
      </c>
      <c r="F52">
        <v>21</v>
      </c>
      <c r="G52">
        <v>3</v>
      </c>
      <c r="H52">
        <v>6</v>
      </c>
      <c r="I52">
        <v>23.08</v>
      </c>
      <c r="J52">
        <v>1</v>
      </c>
      <c r="K52" t="s">
        <v>1980</v>
      </c>
      <c r="L52">
        <v>0</v>
      </c>
      <c r="M52">
        <v>0</v>
      </c>
      <c r="N52">
        <v>0</v>
      </c>
      <c r="O52">
        <v>0</v>
      </c>
      <c r="P52">
        <v>8</v>
      </c>
      <c r="Q52">
        <v>0</v>
      </c>
      <c r="R52">
        <v>0</v>
      </c>
      <c r="S52">
        <v>0</v>
      </c>
      <c r="T52">
        <v>2720</v>
      </c>
      <c r="U52" s="117">
        <v>0.69</v>
      </c>
      <c r="V52">
        <v>0</v>
      </c>
      <c r="W52">
        <v>15</v>
      </c>
      <c r="X52">
        <v>20</v>
      </c>
      <c r="Z52">
        <v>15</v>
      </c>
      <c r="AA52">
        <v>0</v>
      </c>
      <c r="AB52">
        <v>183.46</v>
      </c>
      <c r="AC52">
        <v>127.79</v>
      </c>
      <c r="AD52">
        <v>0</v>
      </c>
      <c r="AE52">
        <v>0</v>
      </c>
      <c r="AF52">
        <v>50</v>
      </c>
      <c r="AG52">
        <v>1360</v>
      </c>
      <c r="AH52" t="s">
        <v>1927</v>
      </c>
      <c r="AI52" t="s">
        <v>1927</v>
      </c>
      <c r="AJ52" t="s">
        <v>1927</v>
      </c>
      <c r="AK52" t="s">
        <v>1927</v>
      </c>
      <c r="AL52">
        <v>0</v>
      </c>
      <c r="AM52">
        <v>1360</v>
      </c>
    </row>
    <row r="53" spans="1:39" x14ac:dyDescent="0.25">
      <c r="A53" t="s">
        <v>1981</v>
      </c>
      <c r="B53" t="s">
        <v>1982</v>
      </c>
      <c r="C53" t="s">
        <v>1971</v>
      </c>
      <c r="D53" t="s">
        <v>1627</v>
      </c>
      <c r="E53">
        <v>26</v>
      </c>
      <c r="F53">
        <v>21</v>
      </c>
      <c r="G53">
        <v>3</v>
      </c>
      <c r="H53">
        <v>4</v>
      </c>
      <c r="I53">
        <v>15.38</v>
      </c>
      <c r="J53">
        <v>0</v>
      </c>
      <c r="K53" t="s">
        <v>1983</v>
      </c>
      <c r="L53">
        <v>0</v>
      </c>
      <c r="M53">
        <v>0</v>
      </c>
      <c r="N53">
        <v>0</v>
      </c>
      <c r="O53">
        <v>0</v>
      </c>
      <c r="P53">
        <v>6</v>
      </c>
      <c r="Q53">
        <v>0</v>
      </c>
      <c r="R53">
        <v>0</v>
      </c>
      <c r="S53">
        <v>0</v>
      </c>
      <c r="T53">
        <v>2600</v>
      </c>
      <c r="U53" s="117">
        <v>1</v>
      </c>
      <c r="V53">
        <v>0</v>
      </c>
      <c r="W53">
        <v>0</v>
      </c>
      <c r="X53">
        <v>20</v>
      </c>
      <c r="Z53">
        <v>15</v>
      </c>
      <c r="AA53">
        <v>0</v>
      </c>
      <c r="AB53">
        <v>248.33</v>
      </c>
      <c r="AC53">
        <v>223.5</v>
      </c>
      <c r="AD53">
        <v>30</v>
      </c>
      <c r="AE53">
        <v>20</v>
      </c>
      <c r="AF53">
        <v>85</v>
      </c>
      <c r="AG53">
        <v>2210</v>
      </c>
      <c r="AH53" t="s">
        <v>1927</v>
      </c>
      <c r="AI53" t="s">
        <v>1927</v>
      </c>
      <c r="AJ53" t="s">
        <v>1927</v>
      </c>
      <c r="AK53" t="s">
        <v>1927</v>
      </c>
      <c r="AL53">
        <v>0</v>
      </c>
      <c r="AM53">
        <v>2210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A6B1-0635-46AA-B9D9-6B79C88A3C06}">
  <dimension ref="A1:AM54"/>
  <sheetViews>
    <sheetView workbookViewId="0">
      <selection activeCell="O16" sqref="O16"/>
    </sheetView>
  </sheetViews>
  <sheetFormatPr defaultRowHeight="15" x14ac:dyDescent="0.25"/>
  <cols>
    <col min="9" max="9" width="14" customWidth="1"/>
  </cols>
  <sheetData>
    <row r="1" spans="1:39" x14ac:dyDescent="0.25">
      <c r="A1" t="s">
        <v>1892</v>
      </c>
      <c r="B1" t="s">
        <v>1893</v>
      </c>
      <c r="C1" t="s">
        <v>1452</v>
      </c>
      <c r="D1" t="s">
        <v>1451</v>
      </c>
      <c r="E1" t="s">
        <v>1894</v>
      </c>
      <c r="F1" t="s">
        <v>1895</v>
      </c>
      <c r="G1" t="s">
        <v>1896</v>
      </c>
      <c r="H1" t="s">
        <v>1736</v>
      </c>
      <c r="I1" t="s">
        <v>1897</v>
      </c>
      <c r="J1" t="s">
        <v>1898</v>
      </c>
      <c r="K1" t="s">
        <v>1899</v>
      </c>
      <c r="L1" t="s">
        <v>1900</v>
      </c>
      <c r="M1" t="s">
        <v>1901</v>
      </c>
      <c r="N1" t="s">
        <v>1902</v>
      </c>
      <c r="O1" t="s">
        <v>1903</v>
      </c>
      <c r="P1" t="s">
        <v>1904</v>
      </c>
      <c r="Q1" t="s">
        <v>1780</v>
      </c>
      <c r="R1" t="s">
        <v>1905</v>
      </c>
      <c r="S1" t="s">
        <v>1906</v>
      </c>
      <c r="T1" t="s">
        <v>1907</v>
      </c>
      <c r="U1" t="s">
        <v>1908</v>
      </c>
      <c r="V1" t="s">
        <v>1909</v>
      </c>
      <c r="W1" t="s">
        <v>1910</v>
      </c>
      <c r="X1" t="s">
        <v>1911</v>
      </c>
      <c r="Y1" t="s">
        <v>1912</v>
      </c>
      <c r="Z1" t="s">
        <v>1913</v>
      </c>
      <c r="AA1" t="s">
        <v>1914</v>
      </c>
      <c r="AB1" t="s">
        <v>1915</v>
      </c>
      <c r="AC1" t="s">
        <v>1916</v>
      </c>
      <c r="AD1" t="s">
        <v>1917</v>
      </c>
      <c r="AE1" t="s">
        <v>1918</v>
      </c>
      <c r="AF1" t="s">
        <v>1919</v>
      </c>
      <c r="AG1" t="s">
        <v>1984</v>
      </c>
      <c r="AH1" t="s">
        <v>1882</v>
      </c>
      <c r="AI1" t="s">
        <v>1883</v>
      </c>
      <c r="AJ1" t="s">
        <v>1874</v>
      </c>
      <c r="AK1" t="s">
        <v>1890</v>
      </c>
      <c r="AL1" t="s">
        <v>1985</v>
      </c>
      <c r="AM1" t="s">
        <v>1884</v>
      </c>
    </row>
    <row r="2" spans="1:39" x14ac:dyDescent="0.25">
      <c r="A2" t="s">
        <v>1405</v>
      </c>
      <c r="B2" t="s">
        <v>1589</v>
      </c>
      <c r="C2" t="s">
        <v>1580</v>
      </c>
      <c r="D2" t="s">
        <v>1579</v>
      </c>
      <c r="E2">
        <v>26</v>
      </c>
      <c r="F2">
        <v>21</v>
      </c>
      <c r="G2">
        <v>4</v>
      </c>
      <c r="H2">
        <v>25</v>
      </c>
      <c r="I2">
        <v>96.15</v>
      </c>
      <c r="J2">
        <v>10</v>
      </c>
      <c r="K2" t="s">
        <v>1986</v>
      </c>
      <c r="L2">
        <v>16000</v>
      </c>
      <c r="M2">
        <v>16000</v>
      </c>
      <c r="N2">
        <v>1</v>
      </c>
      <c r="O2">
        <v>1</v>
      </c>
      <c r="P2">
        <v>56</v>
      </c>
      <c r="Q2">
        <v>4</v>
      </c>
      <c r="R2">
        <v>240</v>
      </c>
      <c r="S2">
        <v>500</v>
      </c>
      <c r="T2">
        <v>6340</v>
      </c>
      <c r="U2">
        <v>0.69709999999999994</v>
      </c>
      <c r="V2">
        <v>45</v>
      </c>
      <c r="W2">
        <v>25</v>
      </c>
      <c r="X2">
        <v>20</v>
      </c>
      <c r="Y2">
        <v>1</v>
      </c>
      <c r="Z2">
        <v>20</v>
      </c>
      <c r="AA2">
        <v>20</v>
      </c>
      <c r="AB2">
        <v>248.17</v>
      </c>
      <c r="AC2">
        <v>213.13</v>
      </c>
      <c r="AD2">
        <v>30</v>
      </c>
      <c r="AE2">
        <v>20</v>
      </c>
      <c r="AF2">
        <v>180</v>
      </c>
      <c r="AG2">
        <v>11412</v>
      </c>
      <c r="AH2" t="s">
        <v>1987</v>
      </c>
      <c r="AI2" t="s">
        <v>1987</v>
      </c>
      <c r="AJ2" t="s">
        <v>1987</v>
      </c>
      <c r="AK2">
        <v>0</v>
      </c>
      <c r="AL2" t="s">
        <v>1924</v>
      </c>
      <c r="AM2" t="s">
        <v>1924</v>
      </c>
    </row>
    <row r="3" spans="1:39" x14ac:dyDescent="0.25">
      <c r="A3" t="s">
        <v>1412</v>
      </c>
      <c r="B3" t="s">
        <v>1509</v>
      </c>
      <c r="C3" t="s">
        <v>1485</v>
      </c>
      <c r="D3" t="s">
        <v>1484</v>
      </c>
      <c r="E3">
        <v>120</v>
      </c>
      <c r="F3">
        <v>96</v>
      </c>
      <c r="G3">
        <v>24</v>
      </c>
      <c r="H3">
        <v>79</v>
      </c>
      <c r="I3">
        <v>65.83</v>
      </c>
      <c r="J3">
        <v>17</v>
      </c>
      <c r="K3" t="s">
        <v>1988</v>
      </c>
      <c r="L3">
        <v>586520</v>
      </c>
      <c r="M3">
        <v>576420</v>
      </c>
      <c r="N3">
        <v>10</v>
      </c>
      <c r="O3">
        <v>9</v>
      </c>
      <c r="P3">
        <v>113</v>
      </c>
      <c r="Q3">
        <v>12.66</v>
      </c>
      <c r="R3">
        <v>8797.7999999999993</v>
      </c>
      <c r="S3">
        <v>300</v>
      </c>
      <c r="T3">
        <v>13617.8</v>
      </c>
      <c r="U3">
        <v>0.74329999999999996</v>
      </c>
      <c r="V3">
        <v>0</v>
      </c>
      <c r="W3">
        <v>0</v>
      </c>
      <c r="X3">
        <v>15</v>
      </c>
      <c r="Y3">
        <v>0.89</v>
      </c>
      <c r="Z3">
        <v>20</v>
      </c>
      <c r="AA3">
        <v>25</v>
      </c>
      <c r="AB3">
        <v>203.39</v>
      </c>
      <c r="AC3">
        <v>171.39</v>
      </c>
      <c r="AD3">
        <v>40</v>
      </c>
      <c r="AE3">
        <v>0</v>
      </c>
      <c r="AF3">
        <v>100</v>
      </c>
      <c r="AG3">
        <v>13617.8</v>
      </c>
      <c r="AH3" t="s">
        <v>1989</v>
      </c>
      <c r="AI3" t="s">
        <v>1989</v>
      </c>
      <c r="AJ3" t="s">
        <v>1989</v>
      </c>
      <c r="AK3">
        <v>1</v>
      </c>
      <c r="AL3" t="s">
        <v>1924</v>
      </c>
      <c r="AM3" t="s">
        <v>1927</v>
      </c>
    </row>
    <row r="4" spans="1:39" x14ac:dyDescent="0.25">
      <c r="A4" t="s">
        <v>1430</v>
      </c>
      <c r="B4" t="s">
        <v>1724</v>
      </c>
      <c r="C4" t="s">
        <v>1656</v>
      </c>
      <c r="D4" t="s">
        <v>1655</v>
      </c>
      <c r="E4">
        <v>45</v>
      </c>
      <c r="F4">
        <v>36</v>
      </c>
      <c r="G4">
        <v>12</v>
      </c>
      <c r="H4">
        <v>7</v>
      </c>
      <c r="I4">
        <v>15.56</v>
      </c>
      <c r="J4">
        <v>2</v>
      </c>
      <c r="K4" t="s">
        <v>1990</v>
      </c>
      <c r="L4">
        <v>15000</v>
      </c>
      <c r="M4">
        <v>0</v>
      </c>
      <c r="N4">
        <v>1</v>
      </c>
      <c r="O4">
        <v>0</v>
      </c>
      <c r="P4">
        <v>15</v>
      </c>
      <c r="Q4">
        <v>14.29</v>
      </c>
      <c r="R4">
        <v>225</v>
      </c>
      <c r="S4">
        <v>0</v>
      </c>
      <c r="T4">
        <v>2465</v>
      </c>
      <c r="U4">
        <v>0.86250000000000004</v>
      </c>
      <c r="V4">
        <v>0</v>
      </c>
      <c r="W4">
        <v>0</v>
      </c>
      <c r="X4">
        <v>15</v>
      </c>
      <c r="Y4">
        <v>0.9</v>
      </c>
      <c r="Z4">
        <v>20</v>
      </c>
      <c r="AA4">
        <v>45</v>
      </c>
      <c r="AB4">
        <v>258.52</v>
      </c>
      <c r="AC4">
        <v>209.78</v>
      </c>
      <c r="AD4">
        <v>45</v>
      </c>
      <c r="AE4">
        <v>0</v>
      </c>
      <c r="AF4">
        <v>125</v>
      </c>
      <c r="AG4">
        <v>3081.25</v>
      </c>
      <c r="AH4" t="s">
        <v>1987</v>
      </c>
      <c r="AI4" t="s">
        <v>1989</v>
      </c>
      <c r="AJ4" t="s">
        <v>1989</v>
      </c>
      <c r="AK4">
        <v>0</v>
      </c>
      <c r="AL4" t="s">
        <v>1924</v>
      </c>
      <c r="AM4" t="s">
        <v>1927</v>
      </c>
    </row>
    <row r="5" spans="1:39" x14ac:dyDescent="0.25">
      <c r="A5" t="s">
        <v>1393</v>
      </c>
      <c r="B5" t="s">
        <v>1599</v>
      </c>
      <c r="C5" t="s">
        <v>1580</v>
      </c>
      <c r="D5" t="s">
        <v>1579</v>
      </c>
      <c r="E5">
        <v>26</v>
      </c>
      <c r="F5">
        <v>21</v>
      </c>
      <c r="G5">
        <v>4</v>
      </c>
      <c r="H5">
        <v>34</v>
      </c>
      <c r="I5">
        <v>130.77000000000001</v>
      </c>
      <c r="J5">
        <v>13</v>
      </c>
      <c r="K5" t="s">
        <v>1991</v>
      </c>
      <c r="L5">
        <v>96000</v>
      </c>
      <c r="M5">
        <v>96000</v>
      </c>
      <c r="N5">
        <v>3</v>
      </c>
      <c r="O5">
        <v>3</v>
      </c>
      <c r="P5">
        <v>78</v>
      </c>
      <c r="Q5">
        <v>8.82</v>
      </c>
      <c r="R5">
        <v>1440</v>
      </c>
      <c r="S5">
        <v>2700</v>
      </c>
      <c r="T5">
        <v>11060</v>
      </c>
      <c r="U5">
        <v>0.70330000000000004</v>
      </c>
      <c r="V5">
        <v>45</v>
      </c>
      <c r="W5">
        <v>25</v>
      </c>
      <c r="X5">
        <v>20</v>
      </c>
      <c r="Y5">
        <v>0.91</v>
      </c>
      <c r="Z5">
        <v>20</v>
      </c>
      <c r="AA5">
        <v>25</v>
      </c>
      <c r="AB5">
        <v>298.64</v>
      </c>
      <c r="AC5">
        <v>255.12</v>
      </c>
      <c r="AD5">
        <v>30</v>
      </c>
      <c r="AE5">
        <v>35</v>
      </c>
      <c r="AF5">
        <v>200</v>
      </c>
      <c r="AG5">
        <v>22120</v>
      </c>
      <c r="AH5" t="s">
        <v>1987</v>
      </c>
      <c r="AI5" t="s">
        <v>1987</v>
      </c>
      <c r="AJ5" t="s">
        <v>1987</v>
      </c>
      <c r="AK5">
        <v>0</v>
      </c>
      <c r="AL5" t="s">
        <v>1924</v>
      </c>
      <c r="AM5" t="s">
        <v>1927</v>
      </c>
    </row>
    <row r="6" spans="1:39" x14ac:dyDescent="0.25">
      <c r="A6" t="s">
        <v>1439</v>
      </c>
      <c r="B6" t="s">
        <v>1946</v>
      </c>
      <c r="C6" t="s">
        <v>1656</v>
      </c>
      <c r="D6" t="s">
        <v>1655</v>
      </c>
      <c r="E6">
        <v>45</v>
      </c>
      <c r="F6">
        <v>36</v>
      </c>
      <c r="G6">
        <v>12</v>
      </c>
      <c r="H6">
        <v>2</v>
      </c>
      <c r="I6">
        <v>4.4400000000000004</v>
      </c>
      <c r="J6">
        <v>1</v>
      </c>
      <c r="K6" t="s">
        <v>1992</v>
      </c>
      <c r="L6">
        <v>0</v>
      </c>
      <c r="M6">
        <v>0</v>
      </c>
      <c r="N6">
        <v>0</v>
      </c>
      <c r="O6">
        <v>0</v>
      </c>
      <c r="P6">
        <v>4</v>
      </c>
      <c r="Q6">
        <v>0</v>
      </c>
      <c r="R6">
        <v>0</v>
      </c>
      <c r="S6">
        <v>0</v>
      </c>
      <c r="T6">
        <v>1580</v>
      </c>
      <c r="U6">
        <v>0.375</v>
      </c>
      <c r="V6">
        <v>0</v>
      </c>
      <c r="W6">
        <v>0</v>
      </c>
      <c r="X6">
        <v>15</v>
      </c>
      <c r="Y6" t="s">
        <v>81</v>
      </c>
      <c r="Z6">
        <v>15</v>
      </c>
      <c r="AA6">
        <v>0</v>
      </c>
      <c r="AB6">
        <v>256.88</v>
      </c>
      <c r="AC6">
        <v>198.13</v>
      </c>
      <c r="AD6">
        <v>45</v>
      </c>
      <c r="AE6">
        <v>0</v>
      </c>
      <c r="AF6">
        <v>75</v>
      </c>
      <c r="AG6">
        <v>1185</v>
      </c>
      <c r="AH6" t="s">
        <v>1989</v>
      </c>
      <c r="AI6" t="s">
        <v>1989</v>
      </c>
      <c r="AJ6" t="s">
        <v>1989</v>
      </c>
      <c r="AK6">
        <v>20</v>
      </c>
      <c r="AL6" t="s">
        <v>1927</v>
      </c>
      <c r="AM6" t="s">
        <v>1924</v>
      </c>
    </row>
    <row r="7" spans="1:39" x14ac:dyDescent="0.25">
      <c r="A7" t="s">
        <v>1389</v>
      </c>
      <c r="B7" t="s">
        <v>1658</v>
      </c>
      <c r="C7" t="s">
        <v>1656</v>
      </c>
      <c r="D7" t="s">
        <v>1655</v>
      </c>
      <c r="E7">
        <v>45</v>
      </c>
      <c r="F7">
        <v>36</v>
      </c>
      <c r="G7">
        <v>12</v>
      </c>
      <c r="H7">
        <v>25</v>
      </c>
      <c r="I7">
        <v>55.56</v>
      </c>
      <c r="J7">
        <v>10</v>
      </c>
      <c r="K7" t="s">
        <v>1993</v>
      </c>
      <c r="L7">
        <v>95324</v>
      </c>
      <c r="M7">
        <v>95324</v>
      </c>
      <c r="N7">
        <v>3</v>
      </c>
      <c r="O7">
        <v>3</v>
      </c>
      <c r="P7">
        <v>54</v>
      </c>
      <c r="Q7">
        <v>12</v>
      </c>
      <c r="R7">
        <v>1429.86</v>
      </c>
      <c r="S7">
        <v>0</v>
      </c>
      <c r="T7">
        <v>6009.86</v>
      </c>
      <c r="U7">
        <v>0.88749999999999996</v>
      </c>
      <c r="V7">
        <v>0</v>
      </c>
      <c r="W7">
        <v>20</v>
      </c>
      <c r="X7">
        <v>15</v>
      </c>
      <c r="Y7" t="s">
        <v>81</v>
      </c>
      <c r="Z7">
        <v>15</v>
      </c>
      <c r="AA7">
        <v>40</v>
      </c>
      <c r="AB7">
        <v>272</v>
      </c>
      <c r="AC7">
        <v>191.46</v>
      </c>
      <c r="AD7">
        <v>45</v>
      </c>
      <c r="AE7">
        <v>0</v>
      </c>
      <c r="AF7">
        <v>135</v>
      </c>
      <c r="AG7">
        <v>8113.3109999999997</v>
      </c>
      <c r="AH7" t="s">
        <v>1987</v>
      </c>
      <c r="AI7" t="s">
        <v>1989</v>
      </c>
      <c r="AJ7" t="s">
        <v>1989</v>
      </c>
      <c r="AK7">
        <v>0.5</v>
      </c>
      <c r="AL7" t="s">
        <v>1924</v>
      </c>
      <c r="AM7" t="s">
        <v>1927</v>
      </c>
    </row>
    <row r="8" spans="1:39" x14ac:dyDescent="0.25">
      <c r="A8" t="s">
        <v>1400</v>
      </c>
      <c r="B8" t="s">
        <v>1669</v>
      </c>
      <c r="C8" t="s">
        <v>1656</v>
      </c>
      <c r="D8" t="s">
        <v>1655</v>
      </c>
      <c r="E8">
        <v>45</v>
      </c>
      <c r="F8">
        <v>36</v>
      </c>
      <c r="G8">
        <v>12</v>
      </c>
      <c r="H8">
        <v>27</v>
      </c>
      <c r="I8">
        <v>60</v>
      </c>
      <c r="J8">
        <v>8</v>
      </c>
      <c r="K8" t="s">
        <v>1994</v>
      </c>
      <c r="L8">
        <v>16000</v>
      </c>
      <c r="M8">
        <v>16000</v>
      </c>
      <c r="N8">
        <v>1</v>
      </c>
      <c r="O8">
        <v>1</v>
      </c>
      <c r="P8">
        <v>49</v>
      </c>
      <c r="Q8">
        <v>3.7</v>
      </c>
      <c r="R8">
        <v>240</v>
      </c>
      <c r="S8">
        <v>1400</v>
      </c>
      <c r="T8">
        <v>5920</v>
      </c>
      <c r="U8">
        <v>0.89119999999999999</v>
      </c>
      <c r="V8">
        <v>0</v>
      </c>
      <c r="W8">
        <v>20</v>
      </c>
      <c r="X8">
        <v>15</v>
      </c>
      <c r="Y8" t="s">
        <v>81</v>
      </c>
      <c r="Z8">
        <v>15</v>
      </c>
      <c r="AA8">
        <v>0</v>
      </c>
      <c r="AB8">
        <v>164.54</v>
      </c>
      <c r="AC8">
        <v>119.75</v>
      </c>
      <c r="AD8">
        <v>15</v>
      </c>
      <c r="AE8">
        <v>0</v>
      </c>
      <c r="AF8">
        <v>65</v>
      </c>
      <c r="AG8">
        <v>3848</v>
      </c>
      <c r="AH8" t="s">
        <v>1989</v>
      </c>
      <c r="AI8" t="s">
        <v>1989</v>
      </c>
      <c r="AJ8" t="s">
        <v>1989</v>
      </c>
      <c r="AK8">
        <v>1</v>
      </c>
      <c r="AL8" t="s">
        <v>1924</v>
      </c>
      <c r="AM8" t="s">
        <v>1924</v>
      </c>
    </row>
    <row r="9" spans="1:39" x14ac:dyDescent="0.25">
      <c r="A9" t="s">
        <v>1407</v>
      </c>
      <c r="B9" t="s">
        <v>1685</v>
      </c>
      <c r="C9" t="s">
        <v>1656</v>
      </c>
      <c r="D9" t="s">
        <v>1655</v>
      </c>
      <c r="E9">
        <v>45</v>
      </c>
      <c r="F9">
        <v>36</v>
      </c>
      <c r="G9">
        <v>12</v>
      </c>
      <c r="H9">
        <v>39</v>
      </c>
      <c r="I9">
        <v>86.67</v>
      </c>
      <c r="J9">
        <v>15</v>
      </c>
      <c r="K9" t="s">
        <v>1995</v>
      </c>
      <c r="L9">
        <v>45000</v>
      </c>
      <c r="M9">
        <v>30000</v>
      </c>
      <c r="N9">
        <v>2</v>
      </c>
      <c r="O9">
        <v>1</v>
      </c>
      <c r="P9">
        <v>82</v>
      </c>
      <c r="Q9">
        <v>5.13</v>
      </c>
      <c r="R9">
        <v>675</v>
      </c>
      <c r="S9">
        <v>800</v>
      </c>
      <c r="T9">
        <v>7735</v>
      </c>
      <c r="U9">
        <v>0.74709999999999999</v>
      </c>
      <c r="V9">
        <v>35</v>
      </c>
      <c r="W9">
        <v>40</v>
      </c>
      <c r="X9">
        <v>15</v>
      </c>
      <c r="Y9" t="s">
        <v>81</v>
      </c>
      <c r="Z9">
        <v>15</v>
      </c>
      <c r="AA9">
        <v>25</v>
      </c>
      <c r="AB9">
        <v>231.39</v>
      </c>
      <c r="AC9">
        <v>184.35</v>
      </c>
      <c r="AD9">
        <v>45</v>
      </c>
      <c r="AE9">
        <v>0</v>
      </c>
      <c r="AF9">
        <v>175</v>
      </c>
      <c r="AG9">
        <v>13536.25</v>
      </c>
      <c r="AH9" t="s">
        <v>1987</v>
      </c>
      <c r="AI9" t="s">
        <v>1987</v>
      </c>
      <c r="AJ9" t="s">
        <v>1987</v>
      </c>
      <c r="AK9">
        <v>1</v>
      </c>
      <c r="AL9" t="s">
        <v>1924</v>
      </c>
      <c r="AM9" t="s">
        <v>1924</v>
      </c>
    </row>
    <row r="10" spans="1:39" x14ac:dyDescent="0.25">
      <c r="A10" t="s">
        <v>1421</v>
      </c>
      <c r="B10" t="s">
        <v>1605</v>
      </c>
      <c r="C10" t="s">
        <v>1971</v>
      </c>
      <c r="D10" t="s">
        <v>1608</v>
      </c>
      <c r="E10">
        <v>20</v>
      </c>
      <c r="F10">
        <v>16</v>
      </c>
      <c r="G10">
        <v>4</v>
      </c>
      <c r="H10">
        <v>16</v>
      </c>
      <c r="I10">
        <v>80</v>
      </c>
      <c r="J10">
        <v>1</v>
      </c>
      <c r="K10" t="s">
        <v>1996</v>
      </c>
      <c r="L10">
        <v>0</v>
      </c>
      <c r="M10">
        <v>0</v>
      </c>
      <c r="N10">
        <v>0</v>
      </c>
      <c r="O10">
        <v>0</v>
      </c>
      <c r="P10">
        <v>25</v>
      </c>
      <c r="Q10">
        <v>0</v>
      </c>
      <c r="R10">
        <v>0</v>
      </c>
      <c r="S10">
        <v>0</v>
      </c>
      <c r="T10">
        <v>4040</v>
      </c>
      <c r="U10">
        <v>0.77629999999999999</v>
      </c>
      <c r="V10">
        <v>25</v>
      </c>
      <c r="W10">
        <v>15</v>
      </c>
      <c r="X10">
        <v>20</v>
      </c>
      <c r="Y10" t="s">
        <v>81</v>
      </c>
      <c r="Z10">
        <v>15</v>
      </c>
      <c r="AA10">
        <v>0</v>
      </c>
      <c r="AB10">
        <v>270.56</v>
      </c>
      <c r="AC10">
        <v>197.72</v>
      </c>
      <c r="AD10">
        <v>30</v>
      </c>
      <c r="AE10">
        <v>30</v>
      </c>
      <c r="AF10">
        <v>135</v>
      </c>
      <c r="AG10">
        <v>5454</v>
      </c>
      <c r="AH10" t="s">
        <v>1987</v>
      </c>
      <c r="AI10" t="s">
        <v>1987</v>
      </c>
      <c r="AJ10" t="s">
        <v>1989</v>
      </c>
      <c r="AK10">
        <v>1.5</v>
      </c>
      <c r="AL10" t="s">
        <v>1924</v>
      </c>
      <c r="AM10" t="s">
        <v>1924</v>
      </c>
    </row>
    <row r="11" spans="1:39" x14ac:dyDescent="0.25">
      <c r="A11" t="s">
        <v>1418</v>
      </c>
      <c r="B11" t="s">
        <v>1610</v>
      </c>
      <c r="C11" t="s">
        <v>1971</v>
      </c>
      <c r="D11" t="s">
        <v>1608</v>
      </c>
      <c r="E11">
        <v>20</v>
      </c>
      <c r="F11">
        <v>16</v>
      </c>
      <c r="G11">
        <v>4</v>
      </c>
      <c r="H11">
        <v>16</v>
      </c>
      <c r="I11">
        <v>80</v>
      </c>
      <c r="J11">
        <v>4</v>
      </c>
      <c r="K11" t="s">
        <v>1997</v>
      </c>
      <c r="L11">
        <v>20000</v>
      </c>
      <c r="M11">
        <v>20000</v>
      </c>
      <c r="N11">
        <v>1</v>
      </c>
      <c r="O11">
        <v>1</v>
      </c>
      <c r="P11">
        <v>30</v>
      </c>
      <c r="Q11">
        <v>6.25</v>
      </c>
      <c r="R11">
        <v>300</v>
      </c>
      <c r="S11">
        <v>500</v>
      </c>
      <c r="T11">
        <v>5140</v>
      </c>
      <c r="U11">
        <v>0.39380000000000004</v>
      </c>
      <c r="V11">
        <v>25</v>
      </c>
      <c r="W11">
        <v>20</v>
      </c>
      <c r="X11">
        <v>20</v>
      </c>
      <c r="Y11" t="s">
        <v>81</v>
      </c>
      <c r="Z11">
        <v>15</v>
      </c>
      <c r="AA11">
        <v>25</v>
      </c>
      <c r="AB11">
        <v>214.5</v>
      </c>
      <c r="AC11">
        <v>177.13</v>
      </c>
      <c r="AD11">
        <v>20</v>
      </c>
      <c r="AE11">
        <v>0</v>
      </c>
      <c r="AF11">
        <v>125</v>
      </c>
      <c r="AG11">
        <v>6425</v>
      </c>
      <c r="AH11" t="s">
        <v>1987</v>
      </c>
      <c r="AI11" t="s">
        <v>1987</v>
      </c>
      <c r="AJ11" t="s">
        <v>1987</v>
      </c>
      <c r="AK11">
        <v>1.5</v>
      </c>
      <c r="AL11" t="s">
        <v>1924</v>
      </c>
      <c r="AM11" t="s">
        <v>1924</v>
      </c>
    </row>
    <row r="12" spans="1:39" x14ac:dyDescent="0.25">
      <c r="A12" t="s">
        <v>1815</v>
      </c>
      <c r="B12" t="s">
        <v>1933</v>
      </c>
      <c r="C12" t="s">
        <v>1485</v>
      </c>
      <c r="D12" t="s">
        <v>1934</v>
      </c>
      <c r="E12">
        <v>15</v>
      </c>
      <c r="F12">
        <v>12</v>
      </c>
      <c r="G12">
        <v>2</v>
      </c>
      <c r="H12" t="s">
        <v>81</v>
      </c>
      <c r="I12" t="s">
        <v>81</v>
      </c>
      <c r="J12" t="s">
        <v>81</v>
      </c>
      <c r="K12" t="s">
        <v>81</v>
      </c>
      <c r="L12" t="s">
        <v>81</v>
      </c>
      <c r="M12" t="s">
        <v>81</v>
      </c>
      <c r="N12" t="s">
        <v>81</v>
      </c>
      <c r="O12" t="s">
        <v>81</v>
      </c>
      <c r="P12" t="s">
        <v>81</v>
      </c>
      <c r="Q12" t="s">
        <v>81</v>
      </c>
      <c r="R12" t="s">
        <v>81</v>
      </c>
      <c r="S12" t="s">
        <v>81</v>
      </c>
      <c r="T12" t="s">
        <v>81</v>
      </c>
      <c r="U12" t="s">
        <v>81</v>
      </c>
      <c r="V12">
        <v>0</v>
      </c>
      <c r="W12">
        <v>0</v>
      </c>
      <c r="X12">
        <v>0</v>
      </c>
      <c r="Y12" t="s">
        <v>81</v>
      </c>
      <c r="Z12">
        <v>15</v>
      </c>
      <c r="AA12">
        <v>0</v>
      </c>
      <c r="AB12">
        <v>246.74</v>
      </c>
      <c r="AC12">
        <v>98.61</v>
      </c>
      <c r="AD12">
        <v>0</v>
      </c>
      <c r="AE12">
        <v>0</v>
      </c>
      <c r="AF12">
        <v>15</v>
      </c>
      <c r="AG12" t="s">
        <v>81</v>
      </c>
      <c r="AH12" t="s">
        <v>1989</v>
      </c>
      <c r="AI12" t="s">
        <v>1987</v>
      </c>
      <c r="AJ12" t="s">
        <v>1987</v>
      </c>
      <c r="AK12">
        <v>1</v>
      </c>
      <c r="AL12" t="s">
        <v>1924</v>
      </c>
      <c r="AM12" t="s">
        <v>1927</v>
      </c>
    </row>
    <row r="13" spans="1:39" x14ac:dyDescent="0.25">
      <c r="A13" t="s">
        <v>1827</v>
      </c>
      <c r="B13" t="s">
        <v>1998</v>
      </c>
      <c r="C13" t="s">
        <v>1485</v>
      </c>
      <c r="D13" t="s">
        <v>1925</v>
      </c>
      <c r="E13">
        <v>15</v>
      </c>
      <c r="F13">
        <v>12</v>
      </c>
      <c r="G13">
        <v>2</v>
      </c>
      <c r="H13" t="s">
        <v>81</v>
      </c>
      <c r="I13" t="s">
        <v>81</v>
      </c>
      <c r="J13" t="s">
        <v>81</v>
      </c>
      <c r="K13" t="s">
        <v>81</v>
      </c>
      <c r="L13" t="s">
        <v>81</v>
      </c>
      <c r="M13" t="s">
        <v>81</v>
      </c>
      <c r="N13" t="s">
        <v>81</v>
      </c>
      <c r="O13" t="s">
        <v>81</v>
      </c>
      <c r="P13" t="s">
        <v>81</v>
      </c>
      <c r="Q13" t="s">
        <v>81</v>
      </c>
      <c r="R13" t="s">
        <v>81</v>
      </c>
      <c r="S13" t="s">
        <v>81</v>
      </c>
      <c r="T13" t="s">
        <v>81</v>
      </c>
      <c r="U13" t="s">
        <v>81</v>
      </c>
      <c r="V13">
        <v>0</v>
      </c>
      <c r="W13">
        <v>0</v>
      </c>
      <c r="X13">
        <v>0</v>
      </c>
      <c r="Y13" t="s">
        <v>81</v>
      </c>
      <c r="Z13">
        <v>15</v>
      </c>
      <c r="AA13">
        <v>0</v>
      </c>
      <c r="AB13" t="s">
        <v>81</v>
      </c>
      <c r="AC13" t="s">
        <v>81</v>
      </c>
      <c r="AD13">
        <v>0</v>
      </c>
      <c r="AE13">
        <v>0</v>
      </c>
      <c r="AF13">
        <v>15</v>
      </c>
      <c r="AG13" t="s">
        <v>81</v>
      </c>
      <c r="AH13" t="s">
        <v>1989</v>
      </c>
      <c r="AI13" t="s">
        <v>1987</v>
      </c>
      <c r="AJ13" t="s">
        <v>1987</v>
      </c>
      <c r="AK13">
        <v>0</v>
      </c>
      <c r="AL13" t="s">
        <v>1924</v>
      </c>
      <c r="AM13" t="s">
        <v>1924</v>
      </c>
    </row>
    <row r="14" spans="1:39" x14ac:dyDescent="0.25">
      <c r="A14" t="s">
        <v>1829</v>
      </c>
      <c r="B14" t="s">
        <v>1999</v>
      </c>
      <c r="C14" t="s">
        <v>1485</v>
      </c>
      <c r="D14" t="s">
        <v>1925</v>
      </c>
      <c r="E14">
        <v>15</v>
      </c>
      <c r="F14">
        <v>12</v>
      </c>
      <c r="G14">
        <v>2</v>
      </c>
      <c r="H14" t="s">
        <v>81</v>
      </c>
      <c r="I14" t="s">
        <v>81</v>
      </c>
      <c r="J14" t="s">
        <v>81</v>
      </c>
      <c r="K14" t="s">
        <v>81</v>
      </c>
      <c r="L14" t="s">
        <v>81</v>
      </c>
      <c r="M14" t="s">
        <v>81</v>
      </c>
      <c r="N14" t="s">
        <v>81</v>
      </c>
      <c r="O14" t="s">
        <v>81</v>
      </c>
      <c r="P14" t="s">
        <v>81</v>
      </c>
      <c r="Q14" t="s">
        <v>81</v>
      </c>
      <c r="R14" t="s">
        <v>81</v>
      </c>
      <c r="S14" t="s">
        <v>81</v>
      </c>
      <c r="T14" t="s">
        <v>81</v>
      </c>
      <c r="U14" t="s">
        <v>81</v>
      </c>
      <c r="V14">
        <v>0</v>
      </c>
      <c r="W14">
        <v>0</v>
      </c>
      <c r="X14">
        <v>0</v>
      </c>
      <c r="Y14" t="s">
        <v>81</v>
      </c>
      <c r="Z14">
        <v>15</v>
      </c>
      <c r="AA14">
        <v>0</v>
      </c>
      <c r="AB14" t="s">
        <v>81</v>
      </c>
      <c r="AC14" t="s">
        <v>81</v>
      </c>
      <c r="AD14">
        <v>0</v>
      </c>
      <c r="AE14">
        <v>0</v>
      </c>
      <c r="AF14">
        <v>15</v>
      </c>
      <c r="AG14" t="s">
        <v>81</v>
      </c>
      <c r="AH14" t="s">
        <v>1989</v>
      </c>
      <c r="AI14" t="s">
        <v>1987</v>
      </c>
      <c r="AJ14" t="s">
        <v>1987</v>
      </c>
      <c r="AK14">
        <v>0</v>
      </c>
      <c r="AL14" t="s">
        <v>1924</v>
      </c>
      <c r="AM14" t="s">
        <v>1924</v>
      </c>
    </row>
    <row r="15" spans="1:39" x14ac:dyDescent="0.25">
      <c r="A15" t="s">
        <v>1848</v>
      </c>
      <c r="B15" t="s">
        <v>2000</v>
      </c>
      <c r="C15" t="s">
        <v>1485</v>
      </c>
      <c r="D15" t="s">
        <v>1925</v>
      </c>
      <c r="E15">
        <v>15</v>
      </c>
      <c r="F15">
        <v>12</v>
      </c>
      <c r="G15">
        <v>2</v>
      </c>
      <c r="H15" t="s">
        <v>81</v>
      </c>
      <c r="I15" t="s">
        <v>81</v>
      </c>
      <c r="J15" t="s">
        <v>81</v>
      </c>
      <c r="K15" t="s">
        <v>81</v>
      </c>
      <c r="L15" t="s">
        <v>81</v>
      </c>
      <c r="M15" t="s">
        <v>81</v>
      </c>
      <c r="N15" t="s">
        <v>81</v>
      </c>
      <c r="O15" t="s">
        <v>81</v>
      </c>
      <c r="P15" t="s">
        <v>81</v>
      </c>
      <c r="Q15" t="s">
        <v>81</v>
      </c>
      <c r="R15" t="s">
        <v>81</v>
      </c>
      <c r="S15" t="s">
        <v>81</v>
      </c>
      <c r="T15" t="s">
        <v>81</v>
      </c>
      <c r="U15" t="s">
        <v>81</v>
      </c>
      <c r="V15">
        <v>0</v>
      </c>
      <c r="W15">
        <v>0</v>
      </c>
      <c r="X15">
        <v>0</v>
      </c>
      <c r="Y15" t="s">
        <v>81</v>
      </c>
      <c r="Z15">
        <v>15</v>
      </c>
      <c r="AA15">
        <v>0</v>
      </c>
      <c r="AB15" t="s">
        <v>81</v>
      </c>
      <c r="AC15" t="s">
        <v>81</v>
      </c>
      <c r="AD15">
        <v>0</v>
      </c>
      <c r="AE15">
        <v>0</v>
      </c>
      <c r="AF15">
        <v>15</v>
      </c>
      <c r="AG15" t="s">
        <v>81</v>
      </c>
      <c r="AH15" t="s">
        <v>1989</v>
      </c>
      <c r="AI15" t="s">
        <v>1987</v>
      </c>
      <c r="AJ15" t="s">
        <v>1987</v>
      </c>
      <c r="AK15">
        <v>0</v>
      </c>
      <c r="AL15" t="s">
        <v>1924</v>
      </c>
      <c r="AM15" t="s">
        <v>1924</v>
      </c>
    </row>
    <row r="16" spans="1:39" x14ac:dyDescent="0.25">
      <c r="A16" t="s">
        <v>1436</v>
      </c>
      <c r="B16" t="s">
        <v>1715</v>
      </c>
      <c r="C16" t="s">
        <v>1580</v>
      </c>
      <c r="D16" t="s">
        <v>1579</v>
      </c>
      <c r="E16">
        <v>26</v>
      </c>
      <c r="F16">
        <v>21</v>
      </c>
      <c r="G16">
        <v>4</v>
      </c>
      <c r="H16">
        <v>20</v>
      </c>
      <c r="I16">
        <v>76.92</v>
      </c>
      <c r="J16">
        <v>6</v>
      </c>
      <c r="K16" t="s">
        <v>2001</v>
      </c>
      <c r="L16">
        <v>0</v>
      </c>
      <c r="M16">
        <v>0</v>
      </c>
      <c r="N16">
        <v>0</v>
      </c>
      <c r="O16">
        <v>0</v>
      </c>
      <c r="P16">
        <v>38</v>
      </c>
      <c r="Q16">
        <v>0</v>
      </c>
      <c r="R16">
        <v>0</v>
      </c>
      <c r="S16">
        <v>1500</v>
      </c>
      <c r="T16">
        <v>6020</v>
      </c>
      <c r="U16">
        <v>0.68819999999999992</v>
      </c>
      <c r="V16">
        <v>0</v>
      </c>
      <c r="W16">
        <v>25</v>
      </c>
      <c r="X16">
        <v>20</v>
      </c>
      <c r="Y16">
        <v>0.81</v>
      </c>
      <c r="Z16">
        <v>20</v>
      </c>
      <c r="AA16">
        <v>0</v>
      </c>
      <c r="AB16">
        <v>291.91000000000003</v>
      </c>
      <c r="AC16">
        <v>214.3</v>
      </c>
      <c r="AD16">
        <v>30</v>
      </c>
      <c r="AE16">
        <v>35</v>
      </c>
      <c r="AF16">
        <v>130</v>
      </c>
      <c r="AG16">
        <v>7826</v>
      </c>
      <c r="AH16" t="s">
        <v>1987</v>
      </c>
      <c r="AI16" t="s">
        <v>1989</v>
      </c>
      <c r="AJ16" t="s">
        <v>1987</v>
      </c>
      <c r="AK16">
        <v>0</v>
      </c>
      <c r="AL16" t="s">
        <v>1924</v>
      </c>
      <c r="AM16" t="s">
        <v>1927</v>
      </c>
    </row>
    <row r="17" spans="1:39" x14ac:dyDescent="0.25">
      <c r="A17" t="s">
        <v>1433</v>
      </c>
      <c r="B17" t="s">
        <v>1664</v>
      </c>
      <c r="C17" t="s">
        <v>1656</v>
      </c>
      <c r="D17" t="s">
        <v>1655</v>
      </c>
      <c r="E17">
        <v>45</v>
      </c>
      <c r="F17">
        <v>36</v>
      </c>
      <c r="G17">
        <v>12</v>
      </c>
      <c r="H17">
        <v>15</v>
      </c>
      <c r="I17">
        <v>33.33</v>
      </c>
      <c r="J17">
        <v>6</v>
      </c>
      <c r="K17" t="s">
        <v>2002</v>
      </c>
      <c r="L17">
        <v>250000</v>
      </c>
      <c r="M17">
        <v>250000</v>
      </c>
      <c r="N17">
        <v>1</v>
      </c>
      <c r="O17">
        <v>1</v>
      </c>
      <c r="P17">
        <v>31</v>
      </c>
      <c r="Q17">
        <v>6.67</v>
      </c>
      <c r="R17">
        <v>3750</v>
      </c>
      <c r="S17">
        <v>0</v>
      </c>
      <c r="T17">
        <v>6950</v>
      </c>
      <c r="U17">
        <v>0.79379999999999995</v>
      </c>
      <c r="V17">
        <v>0</v>
      </c>
      <c r="W17">
        <v>0</v>
      </c>
      <c r="X17">
        <v>15</v>
      </c>
      <c r="Y17">
        <v>0.73</v>
      </c>
      <c r="Z17">
        <v>20</v>
      </c>
      <c r="AA17">
        <v>25</v>
      </c>
      <c r="AB17">
        <v>287.26</v>
      </c>
      <c r="AC17">
        <v>208.96</v>
      </c>
      <c r="AD17">
        <v>45</v>
      </c>
      <c r="AE17">
        <v>0</v>
      </c>
      <c r="AF17">
        <v>105</v>
      </c>
      <c r="AG17">
        <v>7297.5</v>
      </c>
      <c r="AH17" t="s">
        <v>1989</v>
      </c>
      <c r="AI17" t="s">
        <v>1989</v>
      </c>
      <c r="AJ17" t="s">
        <v>1989</v>
      </c>
      <c r="AK17">
        <v>1</v>
      </c>
      <c r="AL17" t="s">
        <v>1924</v>
      </c>
      <c r="AM17" t="s">
        <v>1927</v>
      </c>
    </row>
    <row r="18" spans="1:39" x14ac:dyDescent="0.25">
      <c r="A18" t="s">
        <v>1413</v>
      </c>
      <c r="B18" t="s">
        <v>1575</v>
      </c>
      <c r="C18" t="s">
        <v>1580</v>
      </c>
      <c r="D18" t="s">
        <v>1579</v>
      </c>
      <c r="E18">
        <v>26</v>
      </c>
      <c r="F18">
        <v>21</v>
      </c>
      <c r="G18">
        <v>4</v>
      </c>
      <c r="H18">
        <v>20</v>
      </c>
      <c r="I18">
        <v>76.92</v>
      </c>
      <c r="J18">
        <v>1</v>
      </c>
      <c r="K18" t="s">
        <v>2003</v>
      </c>
      <c r="L18">
        <v>0</v>
      </c>
      <c r="M18">
        <v>0</v>
      </c>
      <c r="N18">
        <v>0</v>
      </c>
      <c r="O18">
        <v>0</v>
      </c>
      <c r="P18">
        <v>28</v>
      </c>
      <c r="Q18">
        <v>0</v>
      </c>
      <c r="R18">
        <v>0</v>
      </c>
      <c r="S18">
        <v>500</v>
      </c>
      <c r="T18">
        <v>4420</v>
      </c>
      <c r="U18">
        <v>0.76190000000000002</v>
      </c>
      <c r="V18">
        <v>0</v>
      </c>
      <c r="W18">
        <v>15</v>
      </c>
      <c r="X18">
        <v>20</v>
      </c>
      <c r="Y18">
        <v>1</v>
      </c>
      <c r="Z18">
        <v>20</v>
      </c>
      <c r="AA18">
        <v>0</v>
      </c>
      <c r="AB18">
        <v>271</v>
      </c>
      <c r="AC18">
        <v>235.64</v>
      </c>
      <c r="AD18">
        <v>30</v>
      </c>
      <c r="AE18">
        <v>30</v>
      </c>
      <c r="AF18">
        <v>115</v>
      </c>
      <c r="AG18">
        <v>5083</v>
      </c>
      <c r="AH18" t="s">
        <v>1987</v>
      </c>
      <c r="AI18" t="s">
        <v>1989</v>
      </c>
      <c r="AJ18" t="s">
        <v>1989</v>
      </c>
      <c r="AK18">
        <v>0.5</v>
      </c>
      <c r="AL18" t="s">
        <v>1924</v>
      </c>
      <c r="AM18" t="s">
        <v>1927</v>
      </c>
    </row>
    <row r="19" spans="1:39" x14ac:dyDescent="0.25">
      <c r="A19" t="s">
        <v>1392</v>
      </c>
      <c r="B19" t="s">
        <v>1701</v>
      </c>
      <c r="C19" t="s">
        <v>1656</v>
      </c>
      <c r="D19" t="s">
        <v>1655</v>
      </c>
      <c r="E19">
        <v>45</v>
      </c>
      <c r="F19">
        <v>36</v>
      </c>
      <c r="G19">
        <v>12</v>
      </c>
      <c r="H19">
        <v>23</v>
      </c>
      <c r="I19">
        <v>51.11</v>
      </c>
      <c r="J19">
        <v>6</v>
      </c>
      <c r="K19" t="s">
        <v>2004</v>
      </c>
      <c r="L19">
        <v>48500</v>
      </c>
      <c r="M19">
        <v>38000</v>
      </c>
      <c r="N19">
        <v>3</v>
      </c>
      <c r="O19">
        <v>2</v>
      </c>
      <c r="P19">
        <v>43</v>
      </c>
      <c r="Q19">
        <v>13.04</v>
      </c>
      <c r="R19">
        <v>727.5</v>
      </c>
      <c r="S19">
        <v>1200</v>
      </c>
      <c r="T19">
        <v>5847.5</v>
      </c>
      <c r="U19">
        <v>0.87349999999999994</v>
      </c>
      <c r="V19">
        <v>0</v>
      </c>
      <c r="W19">
        <v>0</v>
      </c>
      <c r="X19">
        <v>15</v>
      </c>
      <c r="Y19">
        <v>0.91</v>
      </c>
      <c r="Z19">
        <v>20</v>
      </c>
      <c r="AA19">
        <v>45</v>
      </c>
      <c r="AB19">
        <v>278.5</v>
      </c>
      <c r="AC19">
        <v>221.54</v>
      </c>
      <c r="AD19">
        <v>45</v>
      </c>
      <c r="AE19">
        <v>0</v>
      </c>
      <c r="AF19">
        <v>125</v>
      </c>
      <c r="AG19">
        <v>7309.375</v>
      </c>
      <c r="AH19" t="s">
        <v>1987</v>
      </c>
      <c r="AI19" t="s">
        <v>1989</v>
      </c>
      <c r="AJ19" t="s">
        <v>1989</v>
      </c>
      <c r="AK19">
        <v>0</v>
      </c>
      <c r="AL19" t="s">
        <v>1924</v>
      </c>
      <c r="AM19" t="s">
        <v>1927</v>
      </c>
    </row>
    <row r="20" spans="1:39" x14ac:dyDescent="0.25">
      <c r="A20" t="s">
        <v>1408</v>
      </c>
      <c r="B20" t="s">
        <v>1502</v>
      </c>
      <c r="C20" t="s">
        <v>1485</v>
      </c>
      <c r="D20" t="s">
        <v>1484</v>
      </c>
      <c r="E20">
        <v>120</v>
      </c>
      <c r="F20">
        <v>96</v>
      </c>
      <c r="G20">
        <v>24</v>
      </c>
      <c r="H20">
        <v>85</v>
      </c>
      <c r="I20">
        <v>70.83</v>
      </c>
      <c r="J20">
        <v>30</v>
      </c>
      <c r="K20" t="s">
        <v>2005</v>
      </c>
      <c r="L20">
        <v>339401</v>
      </c>
      <c r="M20">
        <v>313401</v>
      </c>
      <c r="N20">
        <v>12</v>
      </c>
      <c r="O20">
        <v>10</v>
      </c>
      <c r="P20">
        <v>145</v>
      </c>
      <c r="Q20">
        <v>14.12</v>
      </c>
      <c r="R20">
        <v>5091.0200000000004</v>
      </c>
      <c r="S20">
        <v>600</v>
      </c>
      <c r="T20">
        <v>12131.02</v>
      </c>
      <c r="U20">
        <v>0.83160000000000001</v>
      </c>
      <c r="V20">
        <v>0</v>
      </c>
      <c r="W20">
        <v>30</v>
      </c>
      <c r="X20">
        <v>15</v>
      </c>
      <c r="Y20">
        <v>0.95</v>
      </c>
      <c r="Z20">
        <v>20</v>
      </c>
      <c r="AA20">
        <v>25</v>
      </c>
      <c r="AB20">
        <v>226.18</v>
      </c>
      <c r="AC20">
        <v>178.27</v>
      </c>
      <c r="AD20">
        <v>40</v>
      </c>
      <c r="AE20">
        <v>0</v>
      </c>
      <c r="AF20">
        <v>130</v>
      </c>
      <c r="AG20">
        <v>15770.326000000001</v>
      </c>
      <c r="AH20" t="s">
        <v>1987</v>
      </c>
      <c r="AI20" t="s">
        <v>1989</v>
      </c>
      <c r="AJ20" t="s">
        <v>1987</v>
      </c>
      <c r="AK20">
        <v>1</v>
      </c>
      <c r="AL20" t="s">
        <v>1924</v>
      </c>
      <c r="AM20" t="s">
        <v>1927</v>
      </c>
    </row>
    <row r="21" spans="1:39" x14ac:dyDescent="0.25">
      <c r="A21" t="s">
        <v>2006</v>
      </c>
      <c r="B21" t="s">
        <v>2007</v>
      </c>
      <c r="C21" t="s">
        <v>1971</v>
      </c>
      <c r="D21" t="s">
        <v>1627</v>
      </c>
      <c r="E21">
        <v>20</v>
      </c>
      <c r="F21">
        <v>16</v>
      </c>
      <c r="G21">
        <v>4</v>
      </c>
      <c r="H21" t="s">
        <v>81</v>
      </c>
      <c r="I21" t="s">
        <v>81</v>
      </c>
      <c r="J21" t="s">
        <v>81</v>
      </c>
      <c r="K21" t="s">
        <v>81</v>
      </c>
      <c r="L21" t="s">
        <v>81</v>
      </c>
      <c r="M21" t="s">
        <v>81</v>
      </c>
      <c r="N21" t="s">
        <v>81</v>
      </c>
      <c r="O21" t="s">
        <v>81</v>
      </c>
      <c r="P21" t="s">
        <v>81</v>
      </c>
      <c r="Q21" t="s">
        <v>81</v>
      </c>
      <c r="R21" t="s">
        <v>81</v>
      </c>
      <c r="S21" t="s">
        <v>81</v>
      </c>
      <c r="T21" t="s">
        <v>81</v>
      </c>
      <c r="U21">
        <v>0.69169999999999998</v>
      </c>
      <c r="V21">
        <v>0</v>
      </c>
      <c r="W21">
        <v>0</v>
      </c>
      <c r="X21">
        <v>20</v>
      </c>
      <c r="Y21" t="s">
        <v>81</v>
      </c>
      <c r="Z21">
        <v>15</v>
      </c>
      <c r="AA21">
        <v>0</v>
      </c>
      <c r="AB21">
        <v>171.89</v>
      </c>
      <c r="AC21">
        <v>164.44</v>
      </c>
      <c r="AD21">
        <v>20</v>
      </c>
      <c r="AE21">
        <v>0</v>
      </c>
      <c r="AF21">
        <v>55</v>
      </c>
      <c r="AG21" t="s">
        <v>81</v>
      </c>
      <c r="AH21" t="s">
        <v>1989</v>
      </c>
      <c r="AI21" t="s">
        <v>1987</v>
      </c>
      <c r="AJ21" t="s">
        <v>1987</v>
      </c>
      <c r="AK21">
        <v>0</v>
      </c>
      <c r="AL21" t="s">
        <v>1924</v>
      </c>
      <c r="AM21" t="s">
        <v>1924</v>
      </c>
    </row>
    <row r="22" spans="1:39" x14ac:dyDescent="0.25">
      <c r="A22" t="s">
        <v>1401</v>
      </c>
      <c r="B22" t="s">
        <v>1632</v>
      </c>
      <c r="C22" t="s">
        <v>1971</v>
      </c>
      <c r="D22" t="s">
        <v>1627</v>
      </c>
      <c r="E22">
        <v>20</v>
      </c>
      <c r="F22">
        <v>16</v>
      </c>
      <c r="G22">
        <v>4</v>
      </c>
      <c r="H22">
        <v>2</v>
      </c>
      <c r="I22">
        <v>10</v>
      </c>
      <c r="J22">
        <v>0</v>
      </c>
      <c r="K22" t="s">
        <v>2008</v>
      </c>
      <c r="L22">
        <v>0</v>
      </c>
      <c r="M22">
        <v>0</v>
      </c>
      <c r="N22">
        <v>0</v>
      </c>
      <c r="O22">
        <v>0</v>
      </c>
      <c r="P22">
        <v>3</v>
      </c>
      <c r="Q22">
        <v>0</v>
      </c>
      <c r="R22">
        <v>0</v>
      </c>
      <c r="S22">
        <v>0</v>
      </c>
      <c r="T22">
        <v>2720</v>
      </c>
      <c r="U22">
        <v>0.59289999999999998</v>
      </c>
      <c r="V22">
        <v>0</v>
      </c>
      <c r="W22">
        <v>0</v>
      </c>
      <c r="X22">
        <v>20</v>
      </c>
      <c r="Y22" t="s">
        <v>81</v>
      </c>
      <c r="Z22">
        <v>15</v>
      </c>
      <c r="AA22">
        <v>0</v>
      </c>
      <c r="AB22">
        <v>188.95</v>
      </c>
      <c r="AC22">
        <v>150.68</v>
      </c>
      <c r="AD22">
        <v>10</v>
      </c>
      <c r="AE22">
        <v>0</v>
      </c>
      <c r="AF22">
        <v>45</v>
      </c>
      <c r="AG22">
        <v>1224</v>
      </c>
      <c r="AH22" t="s">
        <v>1989</v>
      </c>
      <c r="AI22" t="s">
        <v>1989</v>
      </c>
      <c r="AJ22" t="s">
        <v>1989</v>
      </c>
      <c r="AK22">
        <v>0.5</v>
      </c>
      <c r="AL22" t="s">
        <v>1924</v>
      </c>
      <c r="AM22" t="s">
        <v>1924</v>
      </c>
    </row>
    <row r="23" spans="1:39" x14ac:dyDescent="0.25">
      <c r="A23" t="s">
        <v>1435</v>
      </c>
      <c r="B23" t="s">
        <v>1561</v>
      </c>
      <c r="C23" t="s">
        <v>1971</v>
      </c>
      <c r="D23" t="s">
        <v>1627</v>
      </c>
      <c r="E23">
        <v>20</v>
      </c>
      <c r="F23">
        <v>16</v>
      </c>
      <c r="G23">
        <v>4</v>
      </c>
      <c r="H23">
        <v>2</v>
      </c>
      <c r="I23">
        <v>10</v>
      </c>
      <c r="J23">
        <v>0</v>
      </c>
      <c r="K23" t="s">
        <v>2009</v>
      </c>
      <c r="L23">
        <v>0</v>
      </c>
      <c r="M23">
        <v>0</v>
      </c>
      <c r="N23">
        <v>0</v>
      </c>
      <c r="O23">
        <v>0</v>
      </c>
      <c r="P23">
        <v>2</v>
      </c>
      <c r="Q23">
        <v>0</v>
      </c>
      <c r="R23">
        <v>0</v>
      </c>
      <c r="S23">
        <v>0</v>
      </c>
      <c r="T23">
        <v>2660</v>
      </c>
      <c r="U23">
        <v>0.69709999999999994</v>
      </c>
      <c r="V23">
        <v>0</v>
      </c>
      <c r="W23">
        <v>0</v>
      </c>
      <c r="X23">
        <v>20</v>
      </c>
      <c r="Y23" t="s">
        <v>81</v>
      </c>
      <c r="Z23">
        <v>15</v>
      </c>
      <c r="AA23">
        <v>0</v>
      </c>
      <c r="AB23">
        <v>230.83</v>
      </c>
      <c r="AC23">
        <v>198.08</v>
      </c>
      <c r="AD23">
        <v>30</v>
      </c>
      <c r="AE23">
        <v>20</v>
      </c>
      <c r="AF23">
        <v>85</v>
      </c>
      <c r="AG23">
        <v>2261</v>
      </c>
      <c r="AH23" t="s">
        <v>1989</v>
      </c>
      <c r="AI23" t="s">
        <v>1989</v>
      </c>
      <c r="AJ23" t="s">
        <v>1989</v>
      </c>
      <c r="AK23">
        <v>0</v>
      </c>
      <c r="AL23" t="s">
        <v>1924</v>
      </c>
      <c r="AM23" t="s">
        <v>1924</v>
      </c>
    </row>
    <row r="24" spans="1:39" x14ac:dyDescent="0.25">
      <c r="A24" t="s">
        <v>2010</v>
      </c>
      <c r="B24" t="s">
        <v>2011</v>
      </c>
      <c r="C24" t="s">
        <v>1971</v>
      </c>
      <c r="D24" t="s">
        <v>1627</v>
      </c>
      <c r="E24">
        <v>20</v>
      </c>
      <c r="F24">
        <v>16</v>
      </c>
      <c r="G24">
        <v>4</v>
      </c>
      <c r="H24" t="s">
        <v>81</v>
      </c>
      <c r="I24" t="s">
        <v>81</v>
      </c>
      <c r="J24" t="s">
        <v>81</v>
      </c>
      <c r="K24" t="s">
        <v>81</v>
      </c>
      <c r="L24" t="s">
        <v>81</v>
      </c>
      <c r="M24" t="s">
        <v>81</v>
      </c>
      <c r="N24" t="s">
        <v>81</v>
      </c>
      <c r="O24" t="s">
        <v>81</v>
      </c>
      <c r="P24" t="s">
        <v>81</v>
      </c>
      <c r="Q24" t="s">
        <v>81</v>
      </c>
      <c r="R24" t="s">
        <v>81</v>
      </c>
      <c r="S24" t="s">
        <v>81</v>
      </c>
      <c r="T24" t="s">
        <v>81</v>
      </c>
      <c r="U24">
        <v>0.45</v>
      </c>
      <c r="V24">
        <v>0</v>
      </c>
      <c r="W24">
        <v>0</v>
      </c>
      <c r="X24">
        <v>20</v>
      </c>
      <c r="Y24" t="s">
        <v>81</v>
      </c>
      <c r="Z24">
        <v>15</v>
      </c>
      <c r="AA24">
        <v>0</v>
      </c>
      <c r="AB24">
        <v>72</v>
      </c>
      <c r="AC24">
        <v>63.8</v>
      </c>
      <c r="AD24">
        <v>0</v>
      </c>
      <c r="AE24">
        <v>0</v>
      </c>
      <c r="AF24">
        <v>35</v>
      </c>
      <c r="AG24" t="s">
        <v>81</v>
      </c>
      <c r="AH24" t="s">
        <v>1989</v>
      </c>
      <c r="AI24" t="s">
        <v>1987</v>
      </c>
      <c r="AJ24" t="s">
        <v>1987</v>
      </c>
      <c r="AK24">
        <v>0.5</v>
      </c>
      <c r="AL24" t="s">
        <v>1924</v>
      </c>
      <c r="AM24" t="s">
        <v>1924</v>
      </c>
    </row>
    <row r="25" spans="1:39" x14ac:dyDescent="0.25">
      <c r="A25" t="s">
        <v>1426</v>
      </c>
      <c r="B25" t="s">
        <v>1624</v>
      </c>
      <c r="C25" t="s">
        <v>1971</v>
      </c>
      <c r="D25" t="s">
        <v>1627</v>
      </c>
      <c r="E25">
        <v>20</v>
      </c>
      <c r="F25">
        <v>16</v>
      </c>
      <c r="G25">
        <v>4</v>
      </c>
      <c r="H25">
        <v>1</v>
      </c>
      <c r="I25">
        <v>5</v>
      </c>
      <c r="J25">
        <v>0</v>
      </c>
      <c r="K25" t="s">
        <v>1926</v>
      </c>
      <c r="L25">
        <v>0</v>
      </c>
      <c r="M25">
        <v>0</v>
      </c>
      <c r="N25">
        <v>0</v>
      </c>
      <c r="O25">
        <v>0</v>
      </c>
      <c r="P25">
        <v>1</v>
      </c>
      <c r="Q25">
        <v>0</v>
      </c>
      <c r="R25">
        <v>0</v>
      </c>
      <c r="S25">
        <v>0</v>
      </c>
      <c r="T25">
        <v>2600</v>
      </c>
      <c r="U25">
        <v>0.88439999999999996</v>
      </c>
      <c r="V25">
        <v>0</v>
      </c>
      <c r="W25">
        <v>0</v>
      </c>
      <c r="X25">
        <v>20</v>
      </c>
      <c r="Y25" t="s">
        <v>81</v>
      </c>
      <c r="Z25">
        <v>15</v>
      </c>
      <c r="AA25">
        <v>0</v>
      </c>
      <c r="AB25">
        <v>138.09</v>
      </c>
      <c r="AC25">
        <v>112.13</v>
      </c>
      <c r="AD25">
        <v>0</v>
      </c>
      <c r="AE25">
        <v>0</v>
      </c>
      <c r="AF25">
        <v>35</v>
      </c>
      <c r="AG25">
        <v>910</v>
      </c>
      <c r="AH25" t="s">
        <v>1989</v>
      </c>
      <c r="AI25" t="s">
        <v>1989</v>
      </c>
      <c r="AJ25" t="s">
        <v>1989</v>
      </c>
      <c r="AK25">
        <v>2.5</v>
      </c>
      <c r="AL25" t="s">
        <v>1927</v>
      </c>
      <c r="AM25" t="s">
        <v>1924</v>
      </c>
    </row>
    <row r="26" spans="1:39" x14ac:dyDescent="0.25">
      <c r="A26" t="s">
        <v>1425</v>
      </c>
      <c r="B26" t="s">
        <v>1614</v>
      </c>
      <c r="C26" t="s">
        <v>1971</v>
      </c>
      <c r="D26" t="s">
        <v>1608</v>
      </c>
      <c r="E26">
        <v>20</v>
      </c>
      <c r="F26">
        <v>16</v>
      </c>
      <c r="G26">
        <v>4</v>
      </c>
      <c r="H26">
        <v>7</v>
      </c>
      <c r="I26">
        <v>35</v>
      </c>
      <c r="J26">
        <v>1</v>
      </c>
      <c r="K26" t="s">
        <v>2012</v>
      </c>
      <c r="L26">
        <v>0</v>
      </c>
      <c r="M26">
        <v>0</v>
      </c>
      <c r="N26">
        <v>0</v>
      </c>
      <c r="O26">
        <v>0</v>
      </c>
      <c r="P26">
        <v>12</v>
      </c>
      <c r="Q26">
        <v>0</v>
      </c>
      <c r="R26">
        <v>0</v>
      </c>
      <c r="S26">
        <v>0</v>
      </c>
      <c r="T26">
        <v>3260</v>
      </c>
      <c r="U26">
        <v>0.67500000000000004</v>
      </c>
      <c r="V26">
        <v>0</v>
      </c>
      <c r="W26">
        <v>15</v>
      </c>
      <c r="X26">
        <v>20</v>
      </c>
      <c r="Y26" t="s">
        <v>81</v>
      </c>
      <c r="Z26">
        <v>15</v>
      </c>
      <c r="AA26">
        <v>0</v>
      </c>
      <c r="AB26">
        <v>301.04000000000002</v>
      </c>
      <c r="AC26">
        <v>272.70999999999998</v>
      </c>
      <c r="AD26">
        <v>30</v>
      </c>
      <c r="AE26">
        <v>35</v>
      </c>
      <c r="AF26">
        <v>115</v>
      </c>
      <c r="AG26">
        <v>3749</v>
      </c>
      <c r="AH26" t="s">
        <v>1987</v>
      </c>
      <c r="AI26" t="s">
        <v>1989</v>
      </c>
      <c r="AJ26" t="s">
        <v>1989</v>
      </c>
      <c r="AK26">
        <v>0</v>
      </c>
      <c r="AL26" t="s">
        <v>1924</v>
      </c>
      <c r="AM26" t="s">
        <v>1924</v>
      </c>
    </row>
    <row r="27" spans="1:39" x14ac:dyDescent="0.25">
      <c r="A27" t="s">
        <v>1409</v>
      </c>
      <c r="B27" t="s">
        <v>1583</v>
      </c>
      <c r="C27" t="s">
        <v>1580</v>
      </c>
      <c r="D27" t="s">
        <v>1579</v>
      </c>
      <c r="E27">
        <v>26</v>
      </c>
      <c r="F27">
        <v>21</v>
      </c>
      <c r="G27">
        <v>4</v>
      </c>
      <c r="H27">
        <v>15</v>
      </c>
      <c r="I27">
        <v>57.69</v>
      </c>
      <c r="J27">
        <v>2</v>
      </c>
      <c r="K27" t="s">
        <v>2013</v>
      </c>
      <c r="L27">
        <v>0</v>
      </c>
      <c r="M27">
        <v>0</v>
      </c>
      <c r="N27">
        <v>0</v>
      </c>
      <c r="O27">
        <v>0</v>
      </c>
      <c r="P27">
        <v>25</v>
      </c>
      <c r="Q27">
        <v>0</v>
      </c>
      <c r="R27">
        <v>0</v>
      </c>
      <c r="S27">
        <v>500</v>
      </c>
      <c r="T27">
        <v>4240</v>
      </c>
      <c r="U27">
        <v>0.7881999999999999</v>
      </c>
      <c r="V27">
        <v>0</v>
      </c>
      <c r="W27">
        <v>15</v>
      </c>
      <c r="X27">
        <v>20</v>
      </c>
      <c r="Y27" t="s">
        <v>81</v>
      </c>
      <c r="Z27">
        <v>15</v>
      </c>
      <c r="AA27">
        <v>0</v>
      </c>
      <c r="AB27">
        <v>256.20999999999998</v>
      </c>
      <c r="AC27">
        <v>219.29</v>
      </c>
      <c r="AD27">
        <v>30</v>
      </c>
      <c r="AE27">
        <v>30</v>
      </c>
      <c r="AF27">
        <v>110</v>
      </c>
      <c r="AG27">
        <v>4664</v>
      </c>
      <c r="AH27" t="s">
        <v>1989</v>
      </c>
      <c r="AI27" t="s">
        <v>1989</v>
      </c>
      <c r="AJ27" t="s">
        <v>1989</v>
      </c>
      <c r="AK27">
        <v>0</v>
      </c>
      <c r="AL27" t="s">
        <v>1924</v>
      </c>
      <c r="AM27" t="s">
        <v>1927</v>
      </c>
    </row>
    <row r="28" spans="1:39" x14ac:dyDescent="0.25">
      <c r="A28" t="s">
        <v>1816</v>
      </c>
      <c r="B28" t="s">
        <v>2014</v>
      </c>
      <c r="C28" t="s">
        <v>1485</v>
      </c>
      <c r="D28" t="s">
        <v>1925</v>
      </c>
      <c r="E28">
        <v>15</v>
      </c>
      <c r="F28">
        <v>12</v>
      </c>
      <c r="G28">
        <v>2</v>
      </c>
      <c r="H28" t="s">
        <v>81</v>
      </c>
      <c r="I28" t="s">
        <v>81</v>
      </c>
      <c r="J28" t="s">
        <v>81</v>
      </c>
      <c r="K28" t="s">
        <v>81</v>
      </c>
      <c r="L28" t="s">
        <v>81</v>
      </c>
      <c r="M28" t="s">
        <v>81</v>
      </c>
      <c r="N28" t="s">
        <v>81</v>
      </c>
      <c r="O28" t="s">
        <v>81</v>
      </c>
      <c r="P28" t="s">
        <v>81</v>
      </c>
      <c r="Q28" t="s">
        <v>81</v>
      </c>
      <c r="R28" t="s">
        <v>81</v>
      </c>
      <c r="S28" t="s">
        <v>81</v>
      </c>
      <c r="T28" t="s">
        <v>81</v>
      </c>
      <c r="U28" t="s">
        <v>81</v>
      </c>
      <c r="V28">
        <v>0</v>
      </c>
      <c r="W28">
        <v>0</v>
      </c>
      <c r="X28">
        <v>0</v>
      </c>
      <c r="Y28" t="s">
        <v>81</v>
      </c>
      <c r="Z28">
        <v>15</v>
      </c>
      <c r="AA28">
        <v>0</v>
      </c>
      <c r="AB28" t="s">
        <v>81</v>
      </c>
      <c r="AC28" t="s">
        <v>81</v>
      </c>
      <c r="AD28">
        <v>0</v>
      </c>
      <c r="AE28">
        <v>0</v>
      </c>
      <c r="AF28">
        <v>15</v>
      </c>
      <c r="AG28" t="s">
        <v>81</v>
      </c>
      <c r="AH28" t="s">
        <v>1989</v>
      </c>
      <c r="AI28" t="s">
        <v>1987</v>
      </c>
      <c r="AJ28" t="s">
        <v>1987</v>
      </c>
      <c r="AK28">
        <v>0</v>
      </c>
      <c r="AL28" t="s">
        <v>1924</v>
      </c>
      <c r="AM28" t="s">
        <v>1924</v>
      </c>
    </row>
    <row r="29" spans="1:39" x14ac:dyDescent="0.25">
      <c r="A29" t="s">
        <v>1420</v>
      </c>
      <c r="B29" t="s">
        <v>1952</v>
      </c>
      <c r="C29" t="s">
        <v>1656</v>
      </c>
      <c r="D29" t="s">
        <v>1655</v>
      </c>
      <c r="E29">
        <v>45</v>
      </c>
      <c r="F29">
        <v>36</v>
      </c>
      <c r="G29">
        <v>12</v>
      </c>
      <c r="H29">
        <v>18</v>
      </c>
      <c r="I29">
        <v>40</v>
      </c>
      <c r="J29">
        <v>5</v>
      </c>
      <c r="K29" t="s">
        <v>2015</v>
      </c>
      <c r="L29">
        <v>66000</v>
      </c>
      <c r="M29">
        <v>40000</v>
      </c>
      <c r="N29">
        <v>3</v>
      </c>
      <c r="O29">
        <v>1</v>
      </c>
      <c r="P29">
        <v>33</v>
      </c>
      <c r="Q29">
        <v>16.670000000000002</v>
      </c>
      <c r="R29">
        <v>990</v>
      </c>
      <c r="S29">
        <v>0</v>
      </c>
      <c r="T29">
        <v>4310</v>
      </c>
      <c r="U29">
        <v>0.68330000000000002</v>
      </c>
      <c r="V29">
        <v>0</v>
      </c>
      <c r="W29">
        <v>0</v>
      </c>
      <c r="X29">
        <v>15</v>
      </c>
      <c r="Y29">
        <v>0.96</v>
      </c>
      <c r="Z29">
        <v>20</v>
      </c>
      <c r="AA29">
        <v>45</v>
      </c>
      <c r="AB29">
        <v>175.58</v>
      </c>
      <c r="AC29">
        <v>140.04</v>
      </c>
      <c r="AD29">
        <v>30</v>
      </c>
      <c r="AE29">
        <v>0</v>
      </c>
      <c r="AF29">
        <v>110</v>
      </c>
      <c r="AG29">
        <v>4741</v>
      </c>
      <c r="AH29" t="s">
        <v>1989</v>
      </c>
      <c r="AI29" t="s">
        <v>1989</v>
      </c>
      <c r="AJ29" t="s">
        <v>1989</v>
      </c>
      <c r="AK29">
        <v>0</v>
      </c>
      <c r="AL29" t="s">
        <v>1924</v>
      </c>
      <c r="AM29" t="s">
        <v>1927</v>
      </c>
    </row>
    <row r="30" spans="1:39" x14ac:dyDescent="0.25">
      <c r="A30" t="s">
        <v>1417</v>
      </c>
      <c r="B30" t="s">
        <v>1691</v>
      </c>
      <c r="C30" t="s">
        <v>1656</v>
      </c>
      <c r="D30" t="s">
        <v>1655</v>
      </c>
      <c r="E30">
        <v>45</v>
      </c>
      <c r="F30">
        <v>36</v>
      </c>
      <c r="G30">
        <v>12</v>
      </c>
      <c r="H30">
        <v>14</v>
      </c>
      <c r="I30">
        <v>31.11</v>
      </c>
      <c r="J30">
        <v>4</v>
      </c>
      <c r="K30" t="s">
        <v>2016</v>
      </c>
      <c r="L30">
        <v>0</v>
      </c>
      <c r="M30">
        <v>0</v>
      </c>
      <c r="N30">
        <v>0</v>
      </c>
      <c r="O30">
        <v>0</v>
      </c>
      <c r="P30">
        <v>30</v>
      </c>
      <c r="Q30">
        <v>0</v>
      </c>
      <c r="R30">
        <v>0</v>
      </c>
      <c r="S30">
        <v>0</v>
      </c>
      <c r="T30">
        <v>3140</v>
      </c>
      <c r="U30">
        <v>0.64090000000000003</v>
      </c>
      <c r="V30">
        <v>0</v>
      </c>
      <c r="W30">
        <v>0</v>
      </c>
      <c r="X30">
        <v>15</v>
      </c>
      <c r="Y30">
        <v>0.93</v>
      </c>
      <c r="Z30">
        <v>20</v>
      </c>
      <c r="AA30">
        <v>0</v>
      </c>
      <c r="AB30">
        <v>233.91</v>
      </c>
      <c r="AC30">
        <v>183.27</v>
      </c>
      <c r="AD30">
        <v>45</v>
      </c>
      <c r="AE30">
        <v>0</v>
      </c>
      <c r="AF30">
        <v>80</v>
      </c>
      <c r="AG30">
        <v>2512</v>
      </c>
      <c r="AH30" t="s">
        <v>1989</v>
      </c>
      <c r="AI30" t="s">
        <v>1989</v>
      </c>
      <c r="AJ30" t="s">
        <v>1989</v>
      </c>
      <c r="AK30">
        <v>0</v>
      </c>
      <c r="AL30" t="s">
        <v>1924</v>
      </c>
      <c r="AM30" t="s">
        <v>1927</v>
      </c>
    </row>
    <row r="31" spans="1:39" x14ac:dyDescent="0.25">
      <c r="A31" t="s">
        <v>1423</v>
      </c>
      <c r="B31" t="s">
        <v>1939</v>
      </c>
      <c r="C31" t="s">
        <v>1485</v>
      </c>
      <c r="D31" t="s">
        <v>1484</v>
      </c>
      <c r="E31">
        <v>120</v>
      </c>
      <c r="F31">
        <v>96</v>
      </c>
      <c r="G31">
        <v>24</v>
      </c>
      <c r="H31">
        <v>63</v>
      </c>
      <c r="I31">
        <v>52.5</v>
      </c>
      <c r="J31">
        <v>5</v>
      </c>
      <c r="K31" t="s">
        <v>2017</v>
      </c>
      <c r="L31">
        <v>61000</v>
      </c>
      <c r="M31">
        <v>50000</v>
      </c>
      <c r="N31">
        <v>2</v>
      </c>
      <c r="O31">
        <v>1</v>
      </c>
      <c r="P31">
        <v>74</v>
      </c>
      <c r="Q31">
        <v>3.17</v>
      </c>
      <c r="R31">
        <v>915</v>
      </c>
      <c r="S31">
        <v>0</v>
      </c>
      <c r="T31">
        <v>3095</v>
      </c>
      <c r="U31">
        <v>0.74690000000000001</v>
      </c>
      <c r="V31">
        <v>0</v>
      </c>
      <c r="W31">
        <v>0</v>
      </c>
      <c r="X31">
        <v>15</v>
      </c>
      <c r="Y31">
        <v>0.95</v>
      </c>
      <c r="Z31">
        <v>20</v>
      </c>
      <c r="AA31">
        <v>0</v>
      </c>
      <c r="AB31">
        <v>260.87</v>
      </c>
      <c r="AC31">
        <v>228.52</v>
      </c>
      <c r="AD31">
        <v>40</v>
      </c>
      <c r="AE31">
        <v>0</v>
      </c>
      <c r="AF31">
        <v>75</v>
      </c>
      <c r="AG31">
        <v>2321.25</v>
      </c>
      <c r="AH31" t="s">
        <v>1989</v>
      </c>
      <c r="AI31" t="s">
        <v>1989</v>
      </c>
      <c r="AJ31" t="s">
        <v>1989</v>
      </c>
      <c r="AK31">
        <v>0</v>
      </c>
      <c r="AL31" t="s">
        <v>1924</v>
      </c>
      <c r="AM31" t="s">
        <v>1927</v>
      </c>
    </row>
    <row r="32" spans="1:39" x14ac:dyDescent="0.25">
      <c r="A32" t="s">
        <v>1406</v>
      </c>
      <c r="B32" t="s">
        <v>1494</v>
      </c>
      <c r="C32" t="s">
        <v>1485</v>
      </c>
      <c r="D32" t="s">
        <v>1484</v>
      </c>
      <c r="E32">
        <v>120</v>
      </c>
      <c r="F32">
        <v>96</v>
      </c>
      <c r="G32">
        <v>24</v>
      </c>
      <c r="H32">
        <v>99</v>
      </c>
      <c r="I32">
        <v>82.5</v>
      </c>
      <c r="J32">
        <v>30</v>
      </c>
      <c r="K32" t="s">
        <v>2018</v>
      </c>
      <c r="L32">
        <v>528564</v>
      </c>
      <c r="M32">
        <v>508000</v>
      </c>
      <c r="N32">
        <v>11</v>
      </c>
      <c r="O32">
        <v>9</v>
      </c>
      <c r="P32">
        <v>162</v>
      </c>
      <c r="Q32">
        <v>11.11</v>
      </c>
      <c r="R32">
        <v>7928.46</v>
      </c>
      <c r="S32">
        <v>600</v>
      </c>
      <c r="T32">
        <v>15988.46</v>
      </c>
      <c r="U32">
        <v>0.87349999999999994</v>
      </c>
      <c r="V32">
        <v>20</v>
      </c>
      <c r="W32">
        <v>30</v>
      </c>
      <c r="X32">
        <v>15</v>
      </c>
      <c r="Y32">
        <v>0.96</v>
      </c>
      <c r="Z32">
        <v>20</v>
      </c>
      <c r="AA32">
        <v>25</v>
      </c>
      <c r="AB32">
        <v>222.05</v>
      </c>
      <c r="AC32">
        <v>188.9</v>
      </c>
      <c r="AD32">
        <v>40</v>
      </c>
      <c r="AE32">
        <v>0</v>
      </c>
      <c r="AF32">
        <v>150</v>
      </c>
      <c r="AG32">
        <v>23982.69</v>
      </c>
      <c r="AH32" t="s">
        <v>1987</v>
      </c>
      <c r="AI32" t="s">
        <v>1987</v>
      </c>
      <c r="AJ32" t="s">
        <v>1987</v>
      </c>
      <c r="AK32">
        <v>1.5</v>
      </c>
      <c r="AL32" t="s">
        <v>1924</v>
      </c>
      <c r="AM32" t="s">
        <v>1924</v>
      </c>
    </row>
    <row r="33" spans="1:39" x14ac:dyDescent="0.25">
      <c r="A33" t="s">
        <v>1431</v>
      </c>
      <c r="B33" t="s">
        <v>1729</v>
      </c>
      <c r="C33" t="s">
        <v>1656</v>
      </c>
      <c r="D33" t="s">
        <v>1655</v>
      </c>
      <c r="E33">
        <v>45</v>
      </c>
      <c r="F33">
        <v>36</v>
      </c>
      <c r="G33">
        <v>12</v>
      </c>
      <c r="H33">
        <v>14</v>
      </c>
      <c r="I33">
        <v>31.11</v>
      </c>
      <c r="J33">
        <v>2</v>
      </c>
      <c r="K33" t="s">
        <v>2019</v>
      </c>
      <c r="L33">
        <v>0</v>
      </c>
      <c r="M33">
        <v>0</v>
      </c>
      <c r="N33">
        <v>0</v>
      </c>
      <c r="O33">
        <v>0</v>
      </c>
      <c r="P33">
        <v>23</v>
      </c>
      <c r="Q33">
        <v>0</v>
      </c>
      <c r="R33">
        <v>0</v>
      </c>
      <c r="S33">
        <v>0</v>
      </c>
      <c r="T33">
        <v>2720</v>
      </c>
      <c r="U33">
        <v>0.8</v>
      </c>
      <c r="V33">
        <v>0</v>
      </c>
      <c r="W33">
        <v>0</v>
      </c>
      <c r="X33">
        <v>15</v>
      </c>
      <c r="Y33">
        <v>0.94</v>
      </c>
      <c r="Z33">
        <v>20</v>
      </c>
      <c r="AA33">
        <v>0</v>
      </c>
      <c r="AB33">
        <v>244.7</v>
      </c>
      <c r="AC33">
        <v>212.65</v>
      </c>
      <c r="AD33">
        <v>45</v>
      </c>
      <c r="AE33">
        <v>0</v>
      </c>
      <c r="AF33">
        <v>80</v>
      </c>
      <c r="AG33">
        <v>2176</v>
      </c>
      <c r="AH33" t="s">
        <v>1989</v>
      </c>
      <c r="AI33" t="s">
        <v>1989</v>
      </c>
      <c r="AJ33" t="s">
        <v>1989</v>
      </c>
      <c r="AK33">
        <v>1</v>
      </c>
      <c r="AL33" t="s">
        <v>1924</v>
      </c>
      <c r="AM33" t="s">
        <v>1927</v>
      </c>
    </row>
    <row r="34" spans="1:39" x14ac:dyDescent="0.25">
      <c r="A34" t="s">
        <v>1399</v>
      </c>
      <c r="B34" t="s">
        <v>1516</v>
      </c>
      <c r="C34" t="s">
        <v>1485</v>
      </c>
      <c r="D34" t="s">
        <v>1484</v>
      </c>
      <c r="E34">
        <v>120</v>
      </c>
      <c r="F34">
        <v>96</v>
      </c>
      <c r="G34">
        <v>24</v>
      </c>
      <c r="H34">
        <v>75</v>
      </c>
      <c r="I34">
        <v>62.5</v>
      </c>
      <c r="J34">
        <v>14</v>
      </c>
      <c r="K34" t="s">
        <v>2020</v>
      </c>
      <c r="L34">
        <v>352504</v>
      </c>
      <c r="M34">
        <v>341004</v>
      </c>
      <c r="N34">
        <v>10</v>
      </c>
      <c r="O34">
        <v>9</v>
      </c>
      <c r="P34">
        <v>105</v>
      </c>
      <c r="Q34">
        <v>13.33</v>
      </c>
      <c r="R34">
        <v>5287.56</v>
      </c>
      <c r="S34">
        <v>300</v>
      </c>
      <c r="T34">
        <v>9627.56</v>
      </c>
      <c r="U34">
        <v>0.96329999999999993</v>
      </c>
      <c r="V34">
        <v>0</v>
      </c>
      <c r="W34">
        <v>0</v>
      </c>
      <c r="X34">
        <v>15</v>
      </c>
      <c r="Y34">
        <v>0.88</v>
      </c>
      <c r="Z34">
        <v>20</v>
      </c>
      <c r="AA34">
        <v>25</v>
      </c>
      <c r="AB34">
        <v>248.68</v>
      </c>
      <c r="AC34">
        <v>202.44</v>
      </c>
      <c r="AD34">
        <v>40</v>
      </c>
      <c r="AE34">
        <v>0</v>
      </c>
      <c r="AF34">
        <v>100</v>
      </c>
      <c r="AG34">
        <v>9627.56</v>
      </c>
      <c r="AH34" t="s">
        <v>1989</v>
      </c>
      <c r="AI34" t="s">
        <v>1989</v>
      </c>
      <c r="AJ34" t="s">
        <v>1989</v>
      </c>
      <c r="AK34">
        <v>0</v>
      </c>
      <c r="AL34" t="s">
        <v>1924</v>
      </c>
      <c r="AM34" t="s">
        <v>1927</v>
      </c>
    </row>
    <row r="35" spans="1:39" x14ac:dyDescent="0.25">
      <c r="A35" t="s">
        <v>2021</v>
      </c>
      <c r="B35" t="s">
        <v>2022</v>
      </c>
      <c r="C35" t="s">
        <v>1580</v>
      </c>
      <c r="D35" t="s">
        <v>1579</v>
      </c>
      <c r="E35">
        <v>26</v>
      </c>
      <c r="F35">
        <v>21</v>
      </c>
      <c r="G35">
        <v>4</v>
      </c>
      <c r="H35">
        <v>3</v>
      </c>
      <c r="I35">
        <v>11.54</v>
      </c>
      <c r="J35">
        <v>1</v>
      </c>
      <c r="K35" t="s">
        <v>2023</v>
      </c>
      <c r="L35">
        <v>0</v>
      </c>
      <c r="M35">
        <v>0</v>
      </c>
      <c r="N35">
        <v>0</v>
      </c>
      <c r="O35">
        <v>0</v>
      </c>
      <c r="P35">
        <v>7</v>
      </c>
      <c r="Q35">
        <v>0</v>
      </c>
      <c r="R35">
        <v>0</v>
      </c>
      <c r="S35">
        <v>0</v>
      </c>
      <c r="T35">
        <v>2660</v>
      </c>
      <c r="U35">
        <v>0.75</v>
      </c>
      <c r="V35">
        <v>0</v>
      </c>
      <c r="W35">
        <v>15</v>
      </c>
      <c r="X35">
        <v>20</v>
      </c>
      <c r="Y35">
        <v>1</v>
      </c>
      <c r="Z35">
        <v>20</v>
      </c>
      <c r="AA35">
        <v>0</v>
      </c>
      <c r="AB35">
        <v>252</v>
      </c>
      <c r="AC35">
        <v>230.68</v>
      </c>
      <c r="AD35">
        <v>30</v>
      </c>
      <c r="AE35">
        <v>30</v>
      </c>
      <c r="AF35">
        <v>115</v>
      </c>
      <c r="AG35">
        <v>3059</v>
      </c>
      <c r="AH35" t="s">
        <v>1987</v>
      </c>
      <c r="AI35" t="s">
        <v>1989</v>
      </c>
      <c r="AJ35" t="s">
        <v>1989</v>
      </c>
      <c r="AK35">
        <v>0</v>
      </c>
      <c r="AL35" t="s">
        <v>1924</v>
      </c>
      <c r="AM35" t="s">
        <v>1927</v>
      </c>
    </row>
    <row r="36" spans="1:39" x14ac:dyDescent="0.25">
      <c r="A36" t="s">
        <v>1388</v>
      </c>
      <c r="B36" t="s">
        <v>1721</v>
      </c>
      <c r="C36" t="s">
        <v>1971</v>
      </c>
      <c r="D36" t="s">
        <v>1608</v>
      </c>
      <c r="E36">
        <v>20</v>
      </c>
      <c r="F36">
        <v>16</v>
      </c>
      <c r="G36">
        <v>4</v>
      </c>
      <c r="H36">
        <v>11</v>
      </c>
      <c r="I36">
        <v>55</v>
      </c>
      <c r="J36">
        <v>2</v>
      </c>
      <c r="K36" t="s">
        <v>2024</v>
      </c>
      <c r="L36">
        <v>0</v>
      </c>
      <c r="M36">
        <v>0</v>
      </c>
      <c r="N36">
        <v>0</v>
      </c>
      <c r="O36">
        <v>0</v>
      </c>
      <c r="P36">
        <v>18</v>
      </c>
      <c r="Q36">
        <v>0</v>
      </c>
      <c r="R36">
        <v>0</v>
      </c>
      <c r="S36">
        <v>500</v>
      </c>
      <c r="T36">
        <v>4120</v>
      </c>
      <c r="U36">
        <v>0.83609999999999995</v>
      </c>
      <c r="V36">
        <v>0</v>
      </c>
      <c r="W36">
        <v>15</v>
      </c>
      <c r="X36">
        <v>20</v>
      </c>
      <c r="Y36" t="s">
        <v>81</v>
      </c>
      <c r="Z36">
        <v>15</v>
      </c>
      <c r="AA36">
        <v>0</v>
      </c>
      <c r="AB36">
        <v>240.39</v>
      </c>
      <c r="AC36">
        <v>215.52</v>
      </c>
      <c r="AD36">
        <v>30</v>
      </c>
      <c r="AE36">
        <v>20</v>
      </c>
      <c r="AF36">
        <v>100</v>
      </c>
      <c r="AG36">
        <v>4120</v>
      </c>
      <c r="AH36" t="s">
        <v>1989</v>
      </c>
      <c r="AI36" t="s">
        <v>1989</v>
      </c>
      <c r="AJ36" t="s">
        <v>1989</v>
      </c>
      <c r="AK36">
        <v>0</v>
      </c>
      <c r="AL36" t="s">
        <v>1924</v>
      </c>
      <c r="AM36" t="s">
        <v>1924</v>
      </c>
    </row>
    <row r="37" spans="1:39" x14ac:dyDescent="0.25">
      <c r="A37" t="s">
        <v>2025</v>
      </c>
      <c r="B37" t="s">
        <v>2026</v>
      </c>
      <c r="C37" t="s">
        <v>1971</v>
      </c>
      <c r="D37" t="s">
        <v>1627</v>
      </c>
      <c r="E37">
        <v>20</v>
      </c>
      <c r="F37">
        <v>16</v>
      </c>
      <c r="G37">
        <v>4</v>
      </c>
      <c r="H37" t="s">
        <v>81</v>
      </c>
      <c r="I37" t="s">
        <v>81</v>
      </c>
      <c r="J37" t="s">
        <v>81</v>
      </c>
      <c r="K37" t="s">
        <v>81</v>
      </c>
      <c r="L37" t="s">
        <v>81</v>
      </c>
      <c r="M37" t="s">
        <v>81</v>
      </c>
      <c r="N37" t="s">
        <v>81</v>
      </c>
      <c r="O37" t="s">
        <v>81</v>
      </c>
      <c r="P37" t="s">
        <v>81</v>
      </c>
      <c r="Q37" t="s">
        <v>81</v>
      </c>
      <c r="R37" t="s">
        <v>81</v>
      </c>
      <c r="S37" t="s">
        <v>81</v>
      </c>
      <c r="T37" t="s">
        <v>81</v>
      </c>
      <c r="U37">
        <v>0.66670000000000007</v>
      </c>
      <c r="V37">
        <v>0</v>
      </c>
      <c r="W37">
        <v>0</v>
      </c>
      <c r="X37">
        <v>20</v>
      </c>
      <c r="Y37" t="s">
        <v>81</v>
      </c>
      <c r="Z37">
        <v>15</v>
      </c>
      <c r="AA37">
        <v>0</v>
      </c>
      <c r="AB37">
        <v>177.67</v>
      </c>
      <c r="AC37">
        <v>168.44</v>
      </c>
      <c r="AD37">
        <v>20</v>
      </c>
      <c r="AE37">
        <v>0</v>
      </c>
      <c r="AF37">
        <v>55</v>
      </c>
      <c r="AG37" t="s">
        <v>81</v>
      </c>
      <c r="AH37" t="s">
        <v>1989</v>
      </c>
      <c r="AI37" t="s">
        <v>1987</v>
      </c>
      <c r="AJ37" t="s">
        <v>1987</v>
      </c>
      <c r="AK37">
        <v>0.5</v>
      </c>
      <c r="AL37" t="s">
        <v>1924</v>
      </c>
      <c r="AM37" t="s">
        <v>1924</v>
      </c>
    </row>
    <row r="38" spans="1:39" x14ac:dyDescent="0.25">
      <c r="A38" t="s">
        <v>1395</v>
      </c>
      <c r="B38" t="s">
        <v>1621</v>
      </c>
      <c r="C38" t="s">
        <v>1971</v>
      </c>
      <c r="D38" t="s">
        <v>1608</v>
      </c>
      <c r="E38">
        <v>20</v>
      </c>
      <c r="F38">
        <v>16</v>
      </c>
      <c r="G38">
        <v>4</v>
      </c>
      <c r="H38">
        <v>6</v>
      </c>
      <c r="I38">
        <v>30</v>
      </c>
      <c r="J38">
        <v>0</v>
      </c>
      <c r="K38" t="s">
        <v>2027</v>
      </c>
      <c r="L38">
        <v>37000</v>
      </c>
      <c r="M38">
        <v>25000</v>
      </c>
      <c r="N38">
        <v>2</v>
      </c>
      <c r="O38">
        <v>1</v>
      </c>
      <c r="P38">
        <v>11</v>
      </c>
      <c r="Q38">
        <v>33.33</v>
      </c>
      <c r="R38">
        <v>555</v>
      </c>
      <c r="S38">
        <v>0</v>
      </c>
      <c r="T38">
        <v>3755</v>
      </c>
      <c r="U38">
        <v>0.77370000000000005</v>
      </c>
      <c r="V38">
        <v>0</v>
      </c>
      <c r="W38">
        <v>0</v>
      </c>
      <c r="X38">
        <v>20</v>
      </c>
      <c r="Y38" t="s">
        <v>81</v>
      </c>
      <c r="Z38">
        <v>15</v>
      </c>
      <c r="AA38">
        <v>25</v>
      </c>
      <c r="AB38">
        <v>287.33</v>
      </c>
      <c r="AC38">
        <v>234.46</v>
      </c>
      <c r="AD38">
        <v>30</v>
      </c>
      <c r="AE38">
        <v>35</v>
      </c>
      <c r="AF38">
        <v>125</v>
      </c>
      <c r="AG38">
        <v>4693.75</v>
      </c>
      <c r="AH38" t="s">
        <v>1987</v>
      </c>
      <c r="AI38" t="s">
        <v>1989</v>
      </c>
      <c r="AJ38" t="s">
        <v>1989</v>
      </c>
      <c r="AK38">
        <v>0</v>
      </c>
      <c r="AL38" t="s">
        <v>1924</v>
      </c>
      <c r="AM38" t="s">
        <v>1924</v>
      </c>
    </row>
    <row r="39" spans="1:39" x14ac:dyDescent="0.25">
      <c r="A39" t="s">
        <v>1391</v>
      </c>
      <c r="B39" t="s">
        <v>1595</v>
      </c>
      <c r="C39" t="s">
        <v>1580</v>
      </c>
      <c r="D39" t="s">
        <v>1579</v>
      </c>
      <c r="E39">
        <v>26</v>
      </c>
      <c r="F39">
        <v>21</v>
      </c>
      <c r="G39">
        <v>4</v>
      </c>
      <c r="H39">
        <v>29</v>
      </c>
      <c r="I39">
        <v>111.54</v>
      </c>
      <c r="J39">
        <v>12</v>
      </c>
      <c r="K39" t="s">
        <v>2028</v>
      </c>
      <c r="L39">
        <v>0</v>
      </c>
      <c r="M39">
        <v>0</v>
      </c>
      <c r="N39">
        <v>0</v>
      </c>
      <c r="O39">
        <v>0</v>
      </c>
      <c r="P39">
        <v>56</v>
      </c>
      <c r="Q39">
        <v>0</v>
      </c>
      <c r="R39">
        <v>0</v>
      </c>
      <c r="S39">
        <v>2500</v>
      </c>
      <c r="T39">
        <v>8100</v>
      </c>
      <c r="U39">
        <v>0.71389999999999998</v>
      </c>
      <c r="V39">
        <v>45</v>
      </c>
      <c r="W39">
        <v>25</v>
      </c>
      <c r="X39">
        <v>20</v>
      </c>
      <c r="Y39" t="s">
        <v>81</v>
      </c>
      <c r="Z39">
        <v>15</v>
      </c>
      <c r="AA39">
        <v>0</v>
      </c>
      <c r="AB39">
        <v>303.92</v>
      </c>
      <c r="AC39">
        <v>265.95999999999998</v>
      </c>
      <c r="AD39">
        <v>30</v>
      </c>
      <c r="AE39">
        <v>35</v>
      </c>
      <c r="AF39">
        <v>170</v>
      </c>
      <c r="AG39">
        <v>13770</v>
      </c>
      <c r="AH39" t="s">
        <v>1987</v>
      </c>
      <c r="AI39" t="s">
        <v>1987</v>
      </c>
      <c r="AJ39" t="s">
        <v>1987</v>
      </c>
      <c r="AK39">
        <v>0</v>
      </c>
      <c r="AL39" t="s">
        <v>1924</v>
      </c>
      <c r="AM39" t="s">
        <v>1924</v>
      </c>
    </row>
    <row r="40" spans="1:39" x14ac:dyDescent="0.25">
      <c r="A40" t="s">
        <v>1975</v>
      </c>
      <c r="B40" t="s">
        <v>1976</v>
      </c>
      <c r="C40" t="s">
        <v>1971</v>
      </c>
      <c r="D40" t="s">
        <v>1627</v>
      </c>
      <c r="E40">
        <v>20</v>
      </c>
      <c r="F40">
        <v>16</v>
      </c>
      <c r="G40">
        <v>4</v>
      </c>
      <c r="H40">
        <v>3</v>
      </c>
      <c r="I40">
        <v>15</v>
      </c>
      <c r="J40">
        <v>0</v>
      </c>
      <c r="K40" t="s">
        <v>2029</v>
      </c>
      <c r="L40">
        <v>0</v>
      </c>
      <c r="M40">
        <v>0</v>
      </c>
      <c r="N40">
        <v>0</v>
      </c>
      <c r="O40">
        <v>0</v>
      </c>
      <c r="P40">
        <v>3</v>
      </c>
      <c r="Q40">
        <v>0</v>
      </c>
      <c r="R40">
        <v>0</v>
      </c>
      <c r="S40">
        <v>0</v>
      </c>
      <c r="T40">
        <v>2720</v>
      </c>
      <c r="U40">
        <v>0.73439999999999994</v>
      </c>
      <c r="V40">
        <v>0</v>
      </c>
      <c r="W40">
        <v>0</v>
      </c>
      <c r="X40">
        <v>20</v>
      </c>
      <c r="Y40" t="s">
        <v>81</v>
      </c>
      <c r="Z40">
        <v>15</v>
      </c>
      <c r="AA40">
        <v>0</v>
      </c>
      <c r="AB40">
        <v>208.05</v>
      </c>
      <c r="AC40">
        <v>183.36</v>
      </c>
      <c r="AD40">
        <v>30</v>
      </c>
      <c r="AE40">
        <v>0</v>
      </c>
      <c r="AF40">
        <v>65</v>
      </c>
      <c r="AG40">
        <v>1768</v>
      </c>
      <c r="AH40" t="s">
        <v>1989</v>
      </c>
      <c r="AI40" t="s">
        <v>1989</v>
      </c>
      <c r="AJ40" t="s">
        <v>1989</v>
      </c>
      <c r="AK40">
        <v>1</v>
      </c>
      <c r="AL40" t="s">
        <v>1924</v>
      </c>
      <c r="AM40" t="s">
        <v>1924</v>
      </c>
    </row>
    <row r="41" spans="1:39" x14ac:dyDescent="0.25">
      <c r="A41" t="s">
        <v>1394</v>
      </c>
      <c r="B41" t="s">
        <v>1618</v>
      </c>
      <c r="C41" t="s">
        <v>1971</v>
      </c>
      <c r="D41" t="s">
        <v>1608</v>
      </c>
      <c r="E41">
        <v>20</v>
      </c>
      <c r="F41">
        <v>16</v>
      </c>
      <c r="G41">
        <v>4</v>
      </c>
      <c r="H41">
        <v>11</v>
      </c>
      <c r="I41">
        <v>55</v>
      </c>
      <c r="J41">
        <v>7</v>
      </c>
      <c r="K41" t="s">
        <v>2030</v>
      </c>
      <c r="L41">
        <v>19000</v>
      </c>
      <c r="M41">
        <v>19000</v>
      </c>
      <c r="N41">
        <v>1</v>
      </c>
      <c r="O41">
        <v>1</v>
      </c>
      <c r="P41">
        <v>27</v>
      </c>
      <c r="Q41">
        <v>9.09</v>
      </c>
      <c r="R41">
        <v>285</v>
      </c>
      <c r="S41">
        <v>500</v>
      </c>
      <c r="T41">
        <v>4945</v>
      </c>
      <c r="U41">
        <v>0.42859999999999998</v>
      </c>
      <c r="V41">
        <v>0</v>
      </c>
      <c r="W41">
        <v>25</v>
      </c>
      <c r="X41">
        <v>20</v>
      </c>
      <c r="Y41" t="s">
        <v>81</v>
      </c>
      <c r="Z41">
        <v>15</v>
      </c>
      <c r="AA41">
        <v>25</v>
      </c>
      <c r="AB41">
        <v>307.83</v>
      </c>
      <c r="AC41">
        <v>271.77999999999997</v>
      </c>
      <c r="AD41">
        <v>30</v>
      </c>
      <c r="AE41">
        <v>35</v>
      </c>
      <c r="AF41">
        <v>150</v>
      </c>
      <c r="AG41">
        <v>7417.5</v>
      </c>
      <c r="AH41" t="s">
        <v>1987</v>
      </c>
      <c r="AI41" t="s">
        <v>1989</v>
      </c>
      <c r="AJ41" t="s">
        <v>1987</v>
      </c>
      <c r="AK41">
        <v>0</v>
      </c>
      <c r="AL41" t="s">
        <v>1924</v>
      </c>
      <c r="AM41" t="s">
        <v>1924</v>
      </c>
    </row>
    <row r="42" spans="1:39" x14ac:dyDescent="0.25">
      <c r="A42" t="s">
        <v>1403</v>
      </c>
      <c r="B42" t="s">
        <v>1652</v>
      </c>
      <c r="C42" t="s">
        <v>1656</v>
      </c>
      <c r="D42" t="s">
        <v>1655</v>
      </c>
      <c r="E42">
        <v>45</v>
      </c>
      <c r="F42">
        <v>36</v>
      </c>
      <c r="G42">
        <v>12</v>
      </c>
      <c r="H42">
        <v>19</v>
      </c>
      <c r="I42">
        <v>42.22</v>
      </c>
      <c r="J42">
        <v>1</v>
      </c>
      <c r="K42" t="s">
        <v>2031</v>
      </c>
      <c r="L42">
        <v>0</v>
      </c>
      <c r="M42">
        <v>0</v>
      </c>
      <c r="N42">
        <v>0</v>
      </c>
      <c r="O42">
        <v>0</v>
      </c>
      <c r="P42">
        <v>33</v>
      </c>
      <c r="Q42">
        <v>0</v>
      </c>
      <c r="R42">
        <v>0</v>
      </c>
      <c r="S42">
        <v>0</v>
      </c>
      <c r="T42">
        <v>3320</v>
      </c>
      <c r="U42">
        <v>0.76580000000000004</v>
      </c>
      <c r="V42">
        <v>0</v>
      </c>
      <c r="W42">
        <v>0</v>
      </c>
      <c r="X42">
        <v>15</v>
      </c>
      <c r="Y42">
        <v>0.93</v>
      </c>
      <c r="Z42">
        <v>20</v>
      </c>
      <c r="AA42">
        <v>0</v>
      </c>
      <c r="AB42">
        <v>282.92</v>
      </c>
      <c r="AC42">
        <v>207.17</v>
      </c>
      <c r="AD42">
        <v>45</v>
      </c>
      <c r="AE42">
        <v>0</v>
      </c>
      <c r="AF42">
        <v>80</v>
      </c>
      <c r="AG42">
        <v>2656</v>
      </c>
      <c r="AH42" t="s">
        <v>1989</v>
      </c>
      <c r="AI42" t="s">
        <v>1989</v>
      </c>
      <c r="AJ42" t="s">
        <v>1989</v>
      </c>
      <c r="AK42">
        <v>1</v>
      </c>
      <c r="AL42" t="s">
        <v>1924</v>
      </c>
      <c r="AM42" t="s">
        <v>1927</v>
      </c>
    </row>
    <row r="43" spans="1:39" x14ac:dyDescent="0.25">
      <c r="A43" t="s">
        <v>1415</v>
      </c>
      <c r="B43" t="s">
        <v>1679</v>
      </c>
      <c r="C43" t="s">
        <v>1656</v>
      </c>
      <c r="D43" t="s">
        <v>1655</v>
      </c>
      <c r="E43">
        <v>45</v>
      </c>
      <c r="F43">
        <v>36</v>
      </c>
      <c r="G43">
        <v>12</v>
      </c>
      <c r="H43">
        <v>21</v>
      </c>
      <c r="I43">
        <v>46.67</v>
      </c>
      <c r="J43">
        <v>0</v>
      </c>
      <c r="K43" t="s">
        <v>2032</v>
      </c>
      <c r="L43">
        <v>0</v>
      </c>
      <c r="M43">
        <v>0</v>
      </c>
      <c r="N43">
        <v>0</v>
      </c>
      <c r="O43">
        <v>0</v>
      </c>
      <c r="P43">
        <v>35</v>
      </c>
      <c r="Q43">
        <v>0</v>
      </c>
      <c r="R43">
        <v>0</v>
      </c>
      <c r="S43">
        <v>400</v>
      </c>
      <c r="T43">
        <v>3840</v>
      </c>
      <c r="U43">
        <v>0.74290000000000012</v>
      </c>
      <c r="V43">
        <v>0</v>
      </c>
      <c r="W43">
        <v>0</v>
      </c>
      <c r="X43">
        <v>15</v>
      </c>
      <c r="Y43">
        <v>0.91</v>
      </c>
      <c r="Z43">
        <v>20</v>
      </c>
      <c r="AA43">
        <v>0</v>
      </c>
      <c r="AB43">
        <v>299.83</v>
      </c>
      <c r="AC43">
        <v>243.43</v>
      </c>
      <c r="AD43">
        <v>45</v>
      </c>
      <c r="AE43">
        <v>0</v>
      </c>
      <c r="AF43">
        <v>80</v>
      </c>
      <c r="AG43">
        <v>3072</v>
      </c>
      <c r="AH43" t="s">
        <v>1989</v>
      </c>
      <c r="AI43" t="s">
        <v>1989</v>
      </c>
      <c r="AJ43" t="s">
        <v>1989</v>
      </c>
      <c r="AK43">
        <v>0</v>
      </c>
      <c r="AL43" t="s">
        <v>1924</v>
      </c>
      <c r="AM43" t="s">
        <v>1927</v>
      </c>
    </row>
    <row r="44" spans="1:39" x14ac:dyDescent="0.25">
      <c r="A44" t="s">
        <v>1398</v>
      </c>
      <c r="B44" t="s">
        <v>1479</v>
      </c>
      <c r="C44" t="s">
        <v>1485</v>
      </c>
      <c r="D44" t="s">
        <v>1484</v>
      </c>
      <c r="E44">
        <v>120</v>
      </c>
      <c r="F44">
        <v>96</v>
      </c>
      <c r="G44">
        <v>24</v>
      </c>
      <c r="H44">
        <v>85</v>
      </c>
      <c r="I44">
        <v>70.83</v>
      </c>
      <c r="J44">
        <v>25</v>
      </c>
      <c r="K44" t="s">
        <v>2033</v>
      </c>
      <c r="L44">
        <v>391004</v>
      </c>
      <c r="M44">
        <v>366500</v>
      </c>
      <c r="N44">
        <v>11</v>
      </c>
      <c r="O44">
        <v>9</v>
      </c>
      <c r="P44">
        <v>144</v>
      </c>
      <c r="Q44">
        <v>12.94</v>
      </c>
      <c r="R44">
        <v>5865.06</v>
      </c>
      <c r="S44">
        <v>300</v>
      </c>
      <c r="T44">
        <v>12545.06</v>
      </c>
      <c r="U44">
        <v>0.79379999999999995</v>
      </c>
      <c r="V44">
        <v>0</v>
      </c>
      <c r="W44">
        <v>20</v>
      </c>
      <c r="X44">
        <v>15</v>
      </c>
      <c r="Y44">
        <v>0.93</v>
      </c>
      <c r="Z44">
        <v>20</v>
      </c>
      <c r="AA44">
        <v>25</v>
      </c>
      <c r="AB44">
        <v>203.63</v>
      </c>
      <c r="AC44">
        <v>156.74</v>
      </c>
      <c r="AD44">
        <v>40</v>
      </c>
      <c r="AE44">
        <v>0</v>
      </c>
      <c r="AF44">
        <v>120</v>
      </c>
      <c r="AG44">
        <v>15054.072</v>
      </c>
      <c r="AH44" t="s">
        <v>1987</v>
      </c>
      <c r="AI44" t="s">
        <v>1989</v>
      </c>
      <c r="AJ44" t="s">
        <v>1987</v>
      </c>
      <c r="AK44">
        <v>2</v>
      </c>
      <c r="AL44" t="s">
        <v>1924</v>
      </c>
      <c r="AM44" t="s">
        <v>1924</v>
      </c>
    </row>
    <row r="45" spans="1:39" x14ac:dyDescent="0.25">
      <c r="A45" t="s">
        <v>1397</v>
      </c>
      <c r="B45" t="s">
        <v>1673</v>
      </c>
      <c r="C45" t="s">
        <v>1656</v>
      </c>
      <c r="D45" t="s">
        <v>1655</v>
      </c>
      <c r="E45">
        <v>45</v>
      </c>
      <c r="F45">
        <v>36</v>
      </c>
      <c r="G45">
        <v>12</v>
      </c>
      <c r="H45">
        <v>30</v>
      </c>
      <c r="I45">
        <v>66.67</v>
      </c>
      <c r="J45">
        <v>9</v>
      </c>
      <c r="K45" t="s">
        <v>2034</v>
      </c>
      <c r="L45">
        <v>41000</v>
      </c>
      <c r="M45">
        <v>30000</v>
      </c>
      <c r="N45">
        <v>2</v>
      </c>
      <c r="O45">
        <v>1</v>
      </c>
      <c r="P45">
        <v>52</v>
      </c>
      <c r="Q45">
        <v>6.67</v>
      </c>
      <c r="R45">
        <v>615</v>
      </c>
      <c r="S45">
        <v>400</v>
      </c>
      <c r="T45">
        <v>5475</v>
      </c>
      <c r="U45">
        <v>0.92249999999999999</v>
      </c>
      <c r="V45">
        <v>0</v>
      </c>
      <c r="W45">
        <v>20</v>
      </c>
      <c r="X45">
        <v>15</v>
      </c>
      <c r="Y45">
        <v>0.99</v>
      </c>
      <c r="Z45">
        <v>20</v>
      </c>
      <c r="AA45">
        <v>25</v>
      </c>
      <c r="AB45">
        <v>221.31</v>
      </c>
      <c r="AC45">
        <v>191.42</v>
      </c>
      <c r="AD45">
        <v>45</v>
      </c>
      <c r="AE45">
        <v>0</v>
      </c>
      <c r="AF45">
        <v>125</v>
      </c>
      <c r="AG45">
        <v>6843.75</v>
      </c>
      <c r="AH45" t="s">
        <v>1987</v>
      </c>
      <c r="AI45" t="s">
        <v>1989</v>
      </c>
      <c r="AJ45" t="s">
        <v>1989</v>
      </c>
      <c r="AK45">
        <v>1</v>
      </c>
      <c r="AL45" t="s">
        <v>1924</v>
      </c>
      <c r="AM45" t="s">
        <v>1924</v>
      </c>
    </row>
    <row r="46" spans="1:39" x14ac:dyDescent="0.25">
      <c r="A46" t="s">
        <v>1396</v>
      </c>
      <c r="B46" t="s">
        <v>1708</v>
      </c>
      <c r="C46" t="s">
        <v>1656</v>
      </c>
      <c r="D46" t="s">
        <v>1655</v>
      </c>
      <c r="E46">
        <v>45</v>
      </c>
      <c r="F46">
        <v>36</v>
      </c>
      <c r="G46">
        <v>12</v>
      </c>
      <c r="H46">
        <v>20</v>
      </c>
      <c r="I46">
        <v>44.44</v>
      </c>
      <c r="J46">
        <v>4</v>
      </c>
      <c r="K46" t="s">
        <v>2035</v>
      </c>
      <c r="L46">
        <v>0</v>
      </c>
      <c r="M46">
        <v>0</v>
      </c>
      <c r="N46">
        <v>0</v>
      </c>
      <c r="O46">
        <v>0</v>
      </c>
      <c r="P46">
        <v>35</v>
      </c>
      <c r="Q46">
        <v>0</v>
      </c>
      <c r="R46">
        <v>0</v>
      </c>
      <c r="S46">
        <v>0</v>
      </c>
      <c r="T46">
        <v>3440</v>
      </c>
      <c r="U46">
        <v>0.75</v>
      </c>
      <c r="V46">
        <v>0</v>
      </c>
      <c r="W46">
        <v>0</v>
      </c>
      <c r="X46">
        <v>15</v>
      </c>
      <c r="Y46">
        <v>1</v>
      </c>
      <c r="Z46">
        <v>20</v>
      </c>
      <c r="AA46">
        <v>0</v>
      </c>
      <c r="AB46">
        <v>302.75</v>
      </c>
      <c r="AC46">
        <v>273.08</v>
      </c>
      <c r="AD46">
        <v>45</v>
      </c>
      <c r="AE46">
        <v>0</v>
      </c>
      <c r="AF46">
        <v>80</v>
      </c>
      <c r="AG46">
        <v>2752</v>
      </c>
      <c r="AH46" t="s">
        <v>1989</v>
      </c>
      <c r="AI46" t="s">
        <v>1989</v>
      </c>
      <c r="AJ46" t="s">
        <v>1989</v>
      </c>
      <c r="AK46">
        <v>0</v>
      </c>
      <c r="AL46" t="s">
        <v>1924</v>
      </c>
      <c r="AM46" t="s">
        <v>1924</v>
      </c>
    </row>
    <row r="47" spans="1:39" x14ac:dyDescent="0.25">
      <c r="A47" t="s">
        <v>1402</v>
      </c>
      <c r="B47" t="s">
        <v>1523</v>
      </c>
      <c r="C47" t="s">
        <v>1656</v>
      </c>
      <c r="D47" t="s">
        <v>1655</v>
      </c>
      <c r="E47">
        <v>45</v>
      </c>
      <c r="F47">
        <v>36</v>
      </c>
      <c r="G47">
        <v>12</v>
      </c>
      <c r="H47">
        <v>26</v>
      </c>
      <c r="I47">
        <v>57.78</v>
      </c>
      <c r="J47">
        <v>6</v>
      </c>
      <c r="K47" t="s">
        <v>2036</v>
      </c>
      <c r="L47">
        <v>68000</v>
      </c>
      <c r="M47">
        <v>68000</v>
      </c>
      <c r="N47">
        <v>1</v>
      </c>
      <c r="O47">
        <v>1</v>
      </c>
      <c r="P47">
        <v>49</v>
      </c>
      <c r="Q47">
        <v>3.85</v>
      </c>
      <c r="R47">
        <v>1020</v>
      </c>
      <c r="S47">
        <v>0</v>
      </c>
      <c r="T47">
        <v>5300</v>
      </c>
      <c r="U47">
        <v>0.80940000000000001</v>
      </c>
      <c r="V47">
        <v>0</v>
      </c>
      <c r="W47">
        <v>0</v>
      </c>
      <c r="X47">
        <v>15</v>
      </c>
      <c r="Y47">
        <v>0.95</v>
      </c>
      <c r="Z47">
        <v>20</v>
      </c>
      <c r="AA47">
        <v>0</v>
      </c>
      <c r="AB47">
        <v>251.75</v>
      </c>
      <c r="AC47">
        <v>204.63</v>
      </c>
      <c r="AD47">
        <v>45</v>
      </c>
      <c r="AE47">
        <v>0</v>
      </c>
      <c r="AF47">
        <v>80</v>
      </c>
      <c r="AG47">
        <v>4240</v>
      </c>
      <c r="AH47" t="s">
        <v>1989</v>
      </c>
      <c r="AI47" t="s">
        <v>1989</v>
      </c>
      <c r="AJ47" t="s">
        <v>1989</v>
      </c>
      <c r="AK47">
        <v>0</v>
      </c>
      <c r="AL47" t="s">
        <v>1924</v>
      </c>
      <c r="AM47" t="s">
        <v>1927</v>
      </c>
    </row>
    <row r="48" spans="1:39" x14ac:dyDescent="0.25">
      <c r="A48" t="s">
        <v>1390</v>
      </c>
      <c r="B48" t="s">
        <v>1696</v>
      </c>
      <c r="C48" t="s">
        <v>1656</v>
      </c>
      <c r="D48" t="s">
        <v>1655</v>
      </c>
      <c r="E48">
        <v>45</v>
      </c>
      <c r="F48">
        <v>36</v>
      </c>
      <c r="G48">
        <v>12</v>
      </c>
      <c r="H48">
        <v>12</v>
      </c>
      <c r="I48">
        <v>26.67</v>
      </c>
      <c r="J48">
        <v>0</v>
      </c>
      <c r="K48" t="s">
        <v>2037</v>
      </c>
      <c r="L48">
        <v>0</v>
      </c>
      <c r="M48">
        <v>0</v>
      </c>
      <c r="N48">
        <v>0</v>
      </c>
      <c r="O48">
        <v>0</v>
      </c>
      <c r="P48">
        <v>15</v>
      </c>
      <c r="Q48">
        <v>0</v>
      </c>
      <c r="R48">
        <v>0</v>
      </c>
      <c r="S48">
        <v>0</v>
      </c>
      <c r="T48">
        <v>2240</v>
      </c>
      <c r="U48">
        <v>0.64410000000000001</v>
      </c>
      <c r="V48">
        <v>0</v>
      </c>
      <c r="W48">
        <v>0</v>
      </c>
      <c r="X48">
        <v>15</v>
      </c>
      <c r="Y48">
        <v>0.95</v>
      </c>
      <c r="Z48">
        <v>20</v>
      </c>
      <c r="AA48">
        <v>0</v>
      </c>
      <c r="AB48">
        <v>199.79</v>
      </c>
      <c r="AC48">
        <v>156.16999999999999</v>
      </c>
      <c r="AD48">
        <v>45</v>
      </c>
      <c r="AE48">
        <v>0</v>
      </c>
      <c r="AF48">
        <v>80</v>
      </c>
      <c r="AG48">
        <v>1792</v>
      </c>
      <c r="AH48" t="s">
        <v>1989</v>
      </c>
      <c r="AI48" t="s">
        <v>1989</v>
      </c>
      <c r="AJ48" t="s">
        <v>1989</v>
      </c>
      <c r="AK48">
        <v>1</v>
      </c>
      <c r="AL48" t="s">
        <v>1924</v>
      </c>
      <c r="AM48" t="s">
        <v>1927</v>
      </c>
    </row>
    <row r="49" spans="1:39" x14ac:dyDescent="0.25">
      <c r="A49" t="s">
        <v>2038</v>
      </c>
      <c r="B49" t="s">
        <v>2039</v>
      </c>
      <c r="C49" t="s">
        <v>2040</v>
      </c>
      <c r="D49" t="s">
        <v>1608</v>
      </c>
      <c r="E49">
        <v>20</v>
      </c>
      <c r="F49">
        <v>16</v>
      </c>
      <c r="G49">
        <v>4</v>
      </c>
      <c r="H49" t="s">
        <v>81</v>
      </c>
      <c r="I49" t="s">
        <v>81</v>
      </c>
      <c r="J49" t="s">
        <v>81</v>
      </c>
      <c r="K49" t="s">
        <v>81</v>
      </c>
      <c r="L49" t="s">
        <v>81</v>
      </c>
      <c r="M49" t="s">
        <v>81</v>
      </c>
      <c r="N49" t="s">
        <v>81</v>
      </c>
      <c r="O49" t="s">
        <v>81</v>
      </c>
      <c r="P49" t="s">
        <v>81</v>
      </c>
      <c r="Q49" t="s">
        <v>81</v>
      </c>
      <c r="R49" t="s">
        <v>81</v>
      </c>
      <c r="S49" t="s">
        <v>81</v>
      </c>
      <c r="T49" t="s">
        <v>81</v>
      </c>
      <c r="U49">
        <v>0.75629999999999997</v>
      </c>
      <c r="V49">
        <v>0</v>
      </c>
      <c r="W49">
        <v>0</v>
      </c>
      <c r="X49">
        <v>20</v>
      </c>
      <c r="Y49" t="s">
        <v>81</v>
      </c>
      <c r="Z49">
        <v>15</v>
      </c>
      <c r="AA49">
        <v>0</v>
      </c>
      <c r="AB49">
        <v>277</v>
      </c>
      <c r="AC49">
        <v>263.67</v>
      </c>
      <c r="AD49">
        <v>30</v>
      </c>
      <c r="AE49">
        <v>30</v>
      </c>
      <c r="AF49">
        <v>95</v>
      </c>
      <c r="AG49" t="s">
        <v>81</v>
      </c>
      <c r="AH49" t="s">
        <v>1989</v>
      </c>
      <c r="AI49" t="s">
        <v>1987</v>
      </c>
      <c r="AJ49" t="s">
        <v>1987</v>
      </c>
      <c r="AK49">
        <v>0</v>
      </c>
      <c r="AL49" t="s">
        <v>1924</v>
      </c>
      <c r="AM49" t="s">
        <v>1924</v>
      </c>
    </row>
    <row r="50" spans="1:39" x14ac:dyDescent="0.25">
      <c r="A50" t="s">
        <v>1404</v>
      </c>
      <c r="B50" t="s">
        <v>1570</v>
      </c>
      <c r="C50" t="s">
        <v>1971</v>
      </c>
      <c r="D50" t="s">
        <v>1627</v>
      </c>
      <c r="E50">
        <v>20</v>
      </c>
      <c r="F50">
        <v>16</v>
      </c>
      <c r="G50">
        <v>4</v>
      </c>
      <c r="H50">
        <v>1</v>
      </c>
      <c r="I50">
        <v>5</v>
      </c>
      <c r="J50">
        <v>0</v>
      </c>
      <c r="K50" t="s">
        <v>2041</v>
      </c>
      <c r="L50">
        <v>0</v>
      </c>
      <c r="M50">
        <v>0</v>
      </c>
      <c r="N50">
        <v>0</v>
      </c>
      <c r="O50">
        <v>0</v>
      </c>
      <c r="P50">
        <v>1</v>
      </c>
      <c r="Q50">
        <v>0</v>
      </c>
      <c r="R50">
        <v>0</v>
      </c>
      <c r="S50">
        <v>0</v>
      </c>
      <c r="T50">
        <v>2600</v>
      </c>
      <c r="U50">
        <v>0.89670000000000005</v>
      </c>
      <c r="V50">
        <v>0</v>
      </c>
      <c r="W50">
        <v>0</v>
      </c>
      <c r="X50">
        <v>20</v>
      </c>
      <c r="Y50" t="s">
        <v>81</v>
      </c>
      <c r="Z50">
        <v>15</v>
      </c>
      <c r="AA50">
        <v>0</v>
      </c>
      <c r="AB50">
        <v>155.88999999999999</v>
      </c>
      <c r="AC50">
        <v>142.83000000000001</v>
      </c>
      <c r="AD50">
        <v>10</v>
      </c>
      <c r="AE50">
        <v>0</v>
      </c>
      <c r="AF50">
        <v>45</v>
      </c>
      <c r="AG50">
        <v>1170</v>
      </c>
      <c r="AH50" t="s">
        <v>1989</v>
      </c>
      <c r="AI50" t="s">
        <v>1989</v>
      </c>
      <c r="AJ50" t="s">
        <v>1989</v>
      </c>
      <c r="AK50">
        <v>0</v>
      </c>
      <c r="AL50" t="s">
        <v>1924</v>
      </c>
      <c r="AM50" t="s">
        <v>1924</v>
      </c>
    </row>
    <row r="51" spans="1:39" x14ac:dyDescent="0.25">
      <c r="A51" t="s">
        <v>1434</v>
      </c>
      <c r="B51" t="s">
        <v>1629</v>
      </c>
      <c r="C51" t="s">
        <v>1971</v>
      </c>
      <c r="D51" t="s">
        <v>1627</v>
      </c>
      <c r="E51">
        <v>20</v>
      </c>
      <c r="F51">
        <v>16</v>
      </c>
      <c r="G51">
        <v>4</v>
      </c>
      <c r="H51">
        <v>2</v>
      </c>
      <c r="I51">
        <v>10</v>
      </c>
      <c r="J51">
        <v>0</v>
      </c>
      <c r="K51" t="s">
        <v>2042</v>
      </c>
      <c r="L51">
        <v>0</v>
      </c>
      <c r="M51">
        <v>0</v>
      </c>
      <c r="N51">
        <v>0</v>
      </c>
      <c r="O51">
        <v>0</v>
      </c>
      <c r="P51">
        <v>2</v>
      </c>
      <c r="Q51">
        <v>0</v>
      </c>
      <c r="R51">
        <v>0</v>
      </c>
      <c r="S51">
        <v>0</v>
      </c>
      <c r="T51">
        <v>2660</v>
      </c>
      <c r="U51">
        <v>0.6139</v>
      </c>
      <c r="V51">
        <v>0</v>
      </c>
      <c r="W51">
        <v>0</v>
      </c>
      <c r="X51">
        <v>20</v>
      </c>
      <c r="Y51" t="s">
        <v>81</v>
      </c>
      <c r="Z51">
        <v>15</v>
      </c>
      <c r="AA51">
        <v>0</v>
      </c>
      <c r="AB51">
        <v>209.28</v>
      </c>
      <c r="AC51">
        <v>184.8</v>
      </c>
      <c r="AD51">
        <v>30</v>
      </c>
      <c r="AE51">
        <v>0</v>
      </c>
      <c r="AF51">
        <v>65</v>
      </c>
      <c r="AG51">
        <v>1729</v>
      </c>
      <c r="AH51" t="s">
        <v>1989</v>
      </c>
      <c r="AI51" t="s">
        <v>1989</v>
      </c>
      <c r="AJ51" t="s">
        <v>1989</v>
      </c>
      <c r="AK51">
        <v>0.5</v>
      </c>
      <c r="AL51" t="s">
        <v>1924</v>
      </c>
      <c r="AM51" t="s">
        <v>1924</v>
      </c>
    </row>
    <row r="52" spans="1:39" x14ac:dyDescent="0.25">
      <c r="A52" t="s">
        <v>1981</v>
      </c>
      <c r="B52" t="s">
        <v>1982</v>
      </c>
      <c r="C52" t="s">
        <v>1971</v>
      </c>
      <c r="D52" t="s">
        <v>1627</v>
      </c>
      <c r="E52">
        <v>20</v>
      </c>
      <c r="F52">
        <v>16</v>
      </c>
      <c r="G52">
        <v>4</v>
      </c>
      <c r="H52">
        <v>1</v>
      </c>
      <c r="I52">
        <v>5</v>
      </c>
      <c r="J52">
        <v>0</v>
      </c>
      <c r="K52" t="s">
        <v>2041</v>
      </c>
      <c r="L52">
        <v>0</v>
      </c>
      <c r="M52">
        <v>0</v>
      </c>
      <c r="N52">
        <v>0</v>
      </c>
      <c r="O52">
        <v>0</v>
      </c>
      <c r="P52">
        <v>1</v>
      </c>
      <c r="Q52">
        <v>0</v>
      </c>
      <c r="R52">
        <v>0</v>
      </c>
      <c r="S52">
        <v>0</v>
      </c>
      <c r="T52">
        <v>2600</v>
      </c>
      <c r="U52">
        <v>0.83440000000000003</v>
      </c>
      <c r="V52">
        <v>0</v>
      </c>
      <c r="W52">
        <v>0</v>
      </c>
      <c r="X52">
        <v>20</v>
      </c>
      <c r="Y52" t="s">
        <v>81</v>
      </c>
      <c r="Z52">
        <v>15</v>
      </c>
      <c r="AA52">
        <v>0</v>
      </c>
      <c r="AB52">
        <v>213.96</v>
      </c>
      <c r="AC52">
        <v>179.67</v>
      </c>
      <c r="AD52">
        <v>20</v>
      </c>
      <c r="AE52">
        <v>0</v>
      </c>
      <c r="AF52">
        <v>55</v>
      </c>
      <c r="AG52">
        <v>1430</v>
      </c>
      <c r="AH52" t="s">
        <v>1989</v>
      </c>
      <c r="AI52" t="s">
        <v>1989</v>
      </c>
      <c r="AJ52" t="s">
        <v>1989</v>
      </c>
      <c r="AK52">
        <v>0.5</v>
      </c>
      <c r="AL52" t="s">
        <v>1924</v>
      </c>
      <c r="AM52" t="s">
        <v>1924</v>
      </c>
    </row>
    <row r="53" spans="1:39" x14ac:dyDescent="0.25">
      <c r="A53" t="s">
        <v>1419</v>
      </c>
      <c r="B53" t="s">
        <v>1565</v>
      </c>
      <c r="C53" t="s">
        <v>1971</v>
      </c>
      <c r="D53" t="s">
        <v>1627</v>
      </c>
      <c r="E53">
        <v>20</v>
      </c>
      <c r="F53">
        <v>16</v>
      </c>
      <c r="G53">
        <v>4</v>
      </c>
      <c r="H53">
        <v>3</v>
      </c>
      <c r="I53">
        <v>15</v>
      </c>
      <c r="J53">
        <v>0</v>
      </c>
      <c r="K53" t="s">
        <v>2043</v>
      </c>
      <c r="L53">
        <v>0</v>
      </c>
      <c r="M53">
        <v>0</v>
      </c>
      <c r="N53">
        <v>0</v>
      </c>
      <c r="O53">
        <v>0</v>
      </c>
      <c r="P53">
        <v>3</v>
      </c>
      <c r="Q53">
        <v>0</v>
      </c>
      <c r="R53">
        <v>0</v>
      </c>
      <c r="S53">
        <v>0</v>
      </c>
      <c r="T53">
        <v>2720</v>
      </c>
      <c r="U53">
        <v>0.76790000000000003</v>
      </c>
      <c r="V53">
        <v>0</v>
      </c>
      <c r="W53">
        <v>0</v>
      </c>
      <c r="X53">
        <v>20</v>
      </c>
      <c r="Y53" t="s">
        <v>81</v>
      </c>
      <c r="Z53">
        <v>15</v>
      </c>
      <c r="AA53">
        <v>0</v>
      </c>
      <c r="AB53">
        <v>175.6</v>
      </c>
      <c r="AC53">
        <v>131.24</v>
      </c>
      <c r="AD53">
        <v>0</v>
      </c>
      <c r="AE53">
        <v>0</v>
      </c>
      <c r="AF53">
        <v>35</v>
      </c>
      <c r="AG53">
        <v>952</v>
      </c>
      <c r="AH53" t="s">
        <v>1989</v>
      </c>
      <c r="AI53" t="s">
        <v>1989</v>
      </c>
      <c r="AJ53" t="s">
        <v>1989</v>
      </c>
      <c r="AK53">
        <v>0</v>
      </c>
      <c r="AL53" t="s">
        <v>1924</v>
      </c>
      <c r="AM53" t="s">
        <v>1924</v>
      </c>
    </row>
    <row r="54" spans="1:39" x14ac:dyDescent="0.25">
      <c r="A54" t="s">
        <v>1428</v>
      </c>
      <c r="B54" t="s">
        <v>1557</v>
      </c>
      <c r="C54" t="s">
        <v>1971</v>
      </c>
      <c r="D54" t="s">
        <v>1627</v>
      </c>
      <c r="E54">
        <v>20</v>
      </c>
      <c r="F54">
        <v>16</v>
      </c>
      <c r="G54">
        <v>4</v>
      </c>
      <c r="H54">
        <v>4</v>
      </c>
      <c r="I54">
        <v>20</v>
      </c>
      <c r="J54">
        <v>0</v>
      </c>
      <c r="K54" t="s">
        <v>2044</v>
      </c>
      <c r="L54">
        <v>0</v>
      </c>
      <c r="M54">
        <v>0</v>
      </c>
      <c r="N54">
        <v>0</v>
      </c>
      <c r="O54">
        <v>0</v>
      </c>
      <c r="P54">
        <v>7</v>
      </c>
      <c r="Q54">
        <v>0</v>
      </c>
      <c r="R54">
        <v>0</v>
      </c>
      <c r="S54">
        <v>0</v>
      </c>
      <c r="T54">
        <v>2960</v>
      </c>
      <c r="U54">
        <v>0.88159999999999994</v>
      </c>
      <c r="V54">
        <v>0</v>
      </c>
      <c r="W54">
        <v>0</v>
      </c>
      <c r="X54">
        <v>20</v>
      </c>
      <c r="Y54" t="s">
        <v>81</v>
      </c>
      <c r="Z54">
        <v>15</v>
      </c>
      <c r="AA54">
        <v>0</v>
      </c>
      <c r="AB54">
        <v>217.65</v>
      </c>
      <c r="AC54">
        <v>192.73</v>
      </c>
      <c r="AD54">
        <v>30</v>
      </c>
      <c r="AE54">
        <v>0</v>
      </c>
      <c r="AF54">
        <v>65</v>
      </c>
      <c r="AG54">
        <v>1924</v>
      </c>
      <c r="AH54" t="s">
        <v>1989</v>
      </c>
      <c r="AI54" t="s">
        <v>1989</v>
      </c>
      <c r="AJ54" t="s">
        <v>1989</v>
      </c>
      <c r="AK54">
        <v>1</v>
      </c>
      <c r="AL54" t="s">
        <v>1924</v>
      </c>
      <c r="AM54" t="s">
        <v>1924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FA88-5270-49C1-BA13-38437F0C8D81}">
  <sheetPr>
    <tabColor theme="6"/>
    <pageSetUpPr fitToPage="1"/>
  </sheetPr>
  <dimension ref="A1:AP49"/>
  <sheetViews>
    <sheetView showGridLines="0" tabSelected="1" zoomScale="90" zoomScaleNormal="90" workbookViewId="0">
      <pane xSplit="1" ySplit="2" topLeftCell="Z3" activePane="bottomRight" state="frozen"/>
      <selection pane="topRight" activeCell="B1" sqref="B1"/>
      <selection pane="bottomLeft" activeCell="A3" sqref="A3"/>
      <selection pane="bottomRight" activeCell="AP6" sqref="AP6"/>
    </sheetView>
  </sheetViews>
  <sheetFormatPr defaultRowHeight="15" x14ac:dyDescent="0.25"/>
  <cols>
    <col min="1" max="1" width="23.7109375" style="29" bestFit="1" customWidth="1"/>
    <col min="2" max="2" width="18.28515625" style="29" bestFit="1" customWidth="1"/>
    <col min="3" max="3" width="7.85546875" style="29" bestFit="1" customWidth="1"/>
    <col min="4" max="4" width="9.7109375" style="29" bestFit="1" customWidth="1"/>
    <col min="5" max="5" width="15.28515625" style="29" bestFit="1" customWidth="1"/>
    <col min="6" max="7" width="13.28515625" style="29" bestFit="1" customWidth="1"/>
    <col min="8" max="9" width="15" style="29" bestFit="1" customWidth="1"/>
    <col min="10" max="10" width="171" style="29" bestFit="1" customWidth="1"/>
    <col min="11" max="11" width="16.85546875" style="29" bestFit="1" customWidth="1"/>
    <col min="12" max="12" width="17.42578125" style="29" bestFit="1" customWidth="1"/>
    <col min="13" max="13" width="16.85546875" style="29" bestFit="1" customWidth="1"/>
    <col min="14" max="14" width="13.140625" style="29" bestFit="1" customWidth="1"/>
    <col min="15" max="15" width="15" style="29" bestFit="1" customWidth="1"/>
    <col min="16" max="17" width="16.28515625" style="29" bestFit="1" customWidth="1"/>
    <col min="18" max="18" width="20.5703125" style="29" bestFit="1" customWidth="1"/>
    <col min="19" max="19" width="12.5703125" style="29" bestFit="1" customWidth="1"/>
    <col min="20" max="20" width="13.85546875" style="29" bestFit="1" customWidth="1"/>
    <col min="21" max="21" width="15.28515625" style="29" bestFit="1" customWidth="1"/>
    <col min="22" max="22" width="15.7109375" style="29" bestFit="1" customWidth="1"/>
    <col min="23" max="23" width="16.7109375" style="29" bestFit="1" customWidth="1"/>
    <col min="24" max="24" width="18.28515625" style="29" bestFit="1" customWidth="1"/>
    <col min="25" max="25" width="15.85546875" style="29" bestFit="1" customWidth="1"/>
    <col min="26" max="26" width="17.28515625" style="29" bestFit="1" customWidth="1"/>
    <col min="27" max="27" width="16" style="29" bestFit="1" customWidth="1"/>
    <col min="28" max="28" width="17" style="29" bestFit="1" customWidth="1"/>
    <col min="29" max="29" width="17.140625" style="29" bestFit="1" customWidth="1"/>
    <col min="30" max="30" width="16.42578125" style="29" bestFit="1" customWidth="1"/>
    <col min="31" max="31" width="17" style="29" bestFit="1" customWidth="1"/>
    <col min="32" max="32" width="13" style="29" bestFit="1" customWidth="1"/>
    <col min="33" max="33" width="14.5703125" style="29" bestFit="1" customWidth="1"/>
    <col min="34" max="34" width="17.85546875" style="29" bestFit="1" customWidth="1"/>
    <col min="35" max="35" width="15.7109375" style="29" bestFit="1" customWidth="1"/>
    <col min="36" max="36" width="15.7109375" style="112" customWidth="1"/>
    <col min="37" max="37" width="12.28515625" style="29" bestFit="1" customWidth="1"/>
    <col min="38" max="38" width="19.5703125" style="29" bestFit="1" customWidth="1"/>
    <col min="39" max="39" width="16.42578125" style="29" bestFit="1" customWidth="1"/>
    <col min="40" max="40" width="21" style="29" bestFit="1" customWidth="1"/>
    <col min="41" max="41" width="13.85546875" style="29" bestFit="1" customWidth="1"/>
    <col min="42" max="42" width="14" style="29" bestFit="1" customWidth="1"/>
    <col min="43" max="16384" width="9.140625" style="29"/>
  </cols>
  <sheetData>
    <row r="1" spans="1:42" ht="24" customHeight="1" x14ac:dyDescent="0.25">
      <c r="A1" s="91" t="s">
        <v>1867</v>
      </c>
      <c r="B1" s="91"/>
      <c r="C1" s="91"/>
      <c r="D1" s="91"/>
      <c r="E1" s="91"/>
      <c r="F1" s="92" t="s">
        <v>1868</v>
      </c>
      <c r="G1" s="92"/>
      <c r="H1" s="92"/>
      <c r="I1" s="92"/>
      <c r="J1" s="93" t="s">
        <v>1872</v>
      </c>
      <c r="K1" s="93"/>
      <c r="L1" s="93"/>
      <c r="M1" s="93"/>
      <c r="N1" s="93"/>
      <c r="O1" s="93"/>
      <c r="P1" s="94" t="s">
        <v>1873</v>
      </c>
      <c r="Q1" s="94"/>
      <c r="R1" s="94"/>
      <c r="S1" s="95" t="s">
        <v>1869</v>
      </c>
      <c r="T1" s="95"/>
      <c r="U1" s="95"/>
      <c r="V1" s="95"/>
      <c r="W1" s="95"/>
      <c r="X1" s="95"/>
      <c r="Y1" s="96" t="s">
        <v>1870</v>
      </c>
      <c r="Z1" s="96"/>
      <c r="AA1" s="96"/>
      <c r="AB1" s="96"/>
      <c r="AC1" s="96"/>
      <c r="AD1" s="96"/>
      <c r="AE1" s="96"/>
      <c r="AF1" s="96"/>
      <c r="AG1" s="97" t="s">
        <v>1871</v>
      </c>
      <c r="AH1" s="97"/>
      <c r="AI1" s="97"/>
      <c r="AJ1" s="116" t="s">
        <v>1891</v>
      </c>
      <c r="AK1" s="113" t="s">
        <v>1881</v>
      </c>
      <c r="AL1" s="114"/>
      <c r="AM1" s="114"/>
      <c r="AN1" s="114"/>
      <c r="AO1" s="114"/>
      <c r="AP1" s="115"/>
    </row>
    <row r="2" spans="1:42" ht="45" customHeight="1" x14ac:dyDescent="0.25">
      <c r="A2" s="98" t="s">
        <v>1447</v>
      </c>
      <c r="B2" s="98" t="s">
        <v>1735</v>
      </c>
      <c r="C2" s="98" t="s">
        <v>1452</v>
      </c>
      <c r="D2" s="98" t="s">
        <v>1451</v>
      </c>
      <c r="E2" s="98" t="s">
        <v>1475</v>
      </c>
      <c r="F2" s="98" t="s">
        <v>1477</v>
      </c>
      <c r="G2" s="98" t="s">
        <v>1874</v>
      </c>
      <c r="H2" s="98" t="s">
        <v>1736</v>
      </c>
      <c r="I2" s="98" t="s">
        <v>1769</v>
      </c>
      <c r="J2" s="98" t="s">
        <v>1770</v>
      </c>
      <c r="K2" s="98" t="s">
        <v>1775</v>
      </c>
      <c r="L2" s="98" t="s">
        <v>1776</v>
      </c>
      <c r="M2" s="98" t="s">
        <v>1875</v>
      </c>
      <c r="N2" s="98" t="s">
        <v>1777</v>
      </c>
      <c r="O2" s="98" t="s">
        <v>1779</v>
      </c>
      <c r="P2" s="98" t="s">
        <v>1876</v>
      </c>
      <c r="Q2" s="98" t="s">
        <v>1877</v>
      </c>
      <c r="R2" s="98" t="s">
        <v>1878</v>
      </c>
      <c r="S2" s="98" t="s">
        <v>1850</v>
      </c>
      <c r="T2" s="98" t="s">
        <v>1780</v>
      </c>
      <c r="U2" s="98" t="s">
        <v>1794</v>
      </c>
      <c r="V2" s="98" t="s">
        <v>1795</v>
      </c>
      <c r="W2" s="98" t="s">
        <v>1879</v>
      </c>
      <c r="X2" s="98" t="s">
        <v>1812</v>
      </c>
      <c r="Y2" s="98" t="s">
        <v>1851</v>
      </c>
      <c r="Z2" s="98" t="s">
        <v>1852</v>
      </c>
      <c r="AA2" s="98" t="s">
        <v>1853</v>
      </c>
      <c r="AB2" s="98" t="s">
        <v>1854</v>
      </c>
      <c r="AC2" s="98" t="s">
        <v>1855</v>
      </c>
      <c r="AD2" s="98" t="s">
        <v>1858</v>
      </c>
      <c r="AE2" s="98" t="s">
        <v>1856</v>
      </c>
      <c r="AF2" s="98" t="s">
        <v>1857</v>
      </c>
      <c r="AG2" s="98" t="s">
        <v>1859</v>
      </c>
      <c r="AH2" s="98" t="s">
        <v>1860</v>
      </c>
      <c r="AI2" s="98" t="s">
        <v>1866</v>
      </c>
      <c r="AJ2" s="98" t="s">
        <v>1890</v>
      </c>
      <c r="AK2" s="19" t="s">
        <v>1882</v>
      </c>
      <c r="AL2" s="19" t="s">
        <v>1883</v>
      </c>
      <c r="AM2" s="19" t="s">
        <v>1874</v>
      </c>
      <c r="AN2" s="19" t="s">
        <v>1884</v>
      </c>
      <c r="AO2" s="19" t="s">
        <v>1885</v>
      </c>
      <c r="AP2" s="19" t="s">
        <v>1886</v>
      </c>
    </row>
    <row r="3" spans="1:42" ht="27" customHeight="1" x14ac:dyDescent="0.25">
      <c r="A3" s="102" t="str" cm="1">
        <f t="array" ref="A3:A49">_xlfn.UNIQUE(Attendance!F2:F48)</f>
        <v>ashutosh@nexora.live</v>
      </c>
      <c r="B3" s="103" t="str">
        <f>_xlfn.XLOOKUP(A3,Attendance!F:F,Attendance!B:B)</f>
        <v>E-1253</v>
      </c>
      <c r="C3" s="103" t="str">
        <f>_xlfn.XLOOKUP(A3,Attendance!F:F,Attendance!K:K)</f>
        <v>Saif</v>
      </c>
      <c r="D3" s="103" t="str">
        <f>_xlfn.XLOOKUP(A3,Attendance!F:F,Attendance!J:J)</f>
        <v>1</v>
      </c>
      <c r="E3" s="103">
        <f>_xlfn.XLOOKUP(A3,Attendance!F:F,Attendance!BM:BM)</f>
        <v>120</v>
      </c>
      <c r="F3" s="103">
        <f>_xlfn.XLOOKUP(A3,Attendance!F:F,Attendance!BO:BO)</f>
        <v>96</v>
      </c>
      <c r="G3" s="103">
        <f>_xlfn.XLOOKUP(A3,Attendance!F:F,Attendance!BP:BP)</f>
        <v>20</v>
      </c>
      <c r="H3" s="103">
        <f>COUNTIF('Realised Conversions'!C:C,Report!A3)</f>
        <v>72</v>
      </c>
      <c r="I3" s="103">
        <f>COUNTIFS('Realised Conversions'!C:C,Report!A3,'Realised Conversions'!F:F,"Referral (HOT)")</f>
        <v>6</v>
      </c>
      <c r="J3" s="100" t="str" cm="1">
        <f t="array" ref="J3">_xlfn.LET(_xlpm.own,TRIM('Realised Conversions'!$C$2:$C$5000),_xlpm.ls,TRIM('Realised Conversions'!$F$2:$F$5000),_xlpm.src,_xlfn._xlws.FILTER(_xlpm.ls,(_xlpm.own=TRIM(A3))*(_xlpm.ls&lt;&gt;""),""),IF(INDEX(_xlpm.src,1)="","",_xlfn.LET(_xlpm.u,_xlfn.UNIQUE(_xlpm.src),_xlpm.c,MMULT(--(_xlpm.u=TRANSPOSE(_xlpm.src)),_xlfn.SEQUENCE(ROWS(_xlpm.src),1,1,0)),_xlfn.TEXTJOIN(", ",TRUE,_xlfn.SORTBY(_xlpm.u&amp;": "&amp;_xlpm.c,_xlpm.c,-1)))))</f>
        <v>MAIN WEBSITE (HOT): 62, Referral (HOT): 6, MAIN WEBSITE (HOT) 1: 2, META3: 1, APPLICATION: 1</v>
      </c>
      <c r="K3" s="103">
        <f>COUNTIFS('Realised Conversions'!C:C, Report!A3, 'Realised Conversions'!G:G, "&gt;10000")</f>
        <v>14</v>
      </c>
      <c r="L3" s="103">
        <f>COUNTIFS('Realised Conversions'!C:C,Report!A3,'Realised Conversions'!G:G,"&gt;15000")</f>
        <v>13</v>
      </c>
      <c r="M3" s="104">
        <f>SUMIFS('Realised Conversions'!G:G,'Realised Conversions'!C:C,Report!A3,'Realised Conversions'!G:G,"&gt;10000")</f>
        <v>422100</v>
      </c>
      <c r="N3" s="104">
        <f>SUMIFS('Realised Conversions'!G:G,'Realised Conversions'!C:C,Report!A3,'Realised Conversions'!G:G,"&gt;15000")</f>
        <v>411000</v>
      </c>
      <c r="O3" s="103">
        <f>SUMIF('Realised Conversions'!C:C,Report!A3,'Realised Conversions'!H:H)</f>
        <v>86</v>
      </c>
      <c r="P3" s="104">
        <f t="shared" ref="P3:P49" si="0">IF(D3="1",N3*0.015,M3*0.015)</f>
        <v>6165</v>
      </c>
      <c r="Q3" s="104">
        <f>SUMIF('Realised Conversions'!N:N,Report!A3,'Realised Conversions'!R:R)</f>
        <v>0</v>
      </c>
      <c r="R3" s="105">
        <f t="shared" ref="R3:R49" si="1">3500+(60*(O3-H3))+P3+Q3</f>
        <v>10505</v>
      </c>
      <c r="S3" s="101">
        <f>H3/E3</f>
        <v>0.6</v>
      </c>
      <c r="T3" s="101">
        <f t="shared" ref="T3:T49" si="2">IF(D3="1",L3/H3, K3/H3)</f>
        <v>0.18055555555555555</v>
      </c>
      <c r="U3" s="101">
        <f>_xlfn.XLOOKUP(A3,QA!A:A,QA!D:D)</f>
        <v>0.98593749999999991</v>
      </c>
      <c r="V3" s="101">
        <f>_xlfn.XLOOKUP(A3,'Call Tagging'!A:A,'Call Tagging'!F:F,"No Entry")</f>
        <v>0.93379790940766549</v>
      </c>
      <c r="W3" s="106">
        <f>_xlfn.XLOOKUP(A3,'Avg Dials'!A:A,'Avg Dials'!B:B)</f>
        <v>214.7</v>
      </c>
      <c r="X3" s="106">
        <f>_xlfn.XLOOKUP(A3,'Avg Dials'!A:A,'Avg Dials'!C:C)</f>
        <v>151.85</v>
      </c>
      <c r="Y3" s="107">
        <f>_xlfn.LET(
  _xlpm.pool, TRIM(IFERROR(D3&amp;"", "")),
  _xlpm.v,    IFERROR(--S3, 0),
  _xlpm.t,    ROUND(IF(_xlpm.v&gt;2, _xlpm.v/100, _xlpm.v), 4),
  _xlpm.grp,  IF(_xlpm.pool="1", "P1",
        IF(OR(ISNUMBER(SEARCH("dialer",_xlpm.pool)), ISNUMBER(SEARCH("ojt",_xlpm.pool))), "DO", "OT")),
  IF(_xlpm.grp="P1", IF(_xlpm.t&gt;=0.95,40, IF(_xlpm.t&gt;=0.85,35, IF(_xlpm.t&gt;=0.8,20,0))),
  IF(_xlpm.grp="DO", IF(_xlpm.t&gt;=0.95,45, IF(_xlpm.t&gt;=0.85,40, IF(_xlpm.t&gt;=0.8,25,0))),
               IF(_xlpm.t&gt;=0.95,40, IF(_xlpm.t&gt;=0.85,35, IF(_xlpm.t&gt;=0.8,20,0)))))
)</f>
        <v>0</v>
      </c>
      <c r="Z3" s="107">
        <f>_xlfn.LET(
  _xlpm.pool, TRIM(IFERROR(D3&amp;"", "")),
  _xlpm.r,    IFERROR(--I3, 0),
  _xlpm.grp,  IF(_xlpm.pool="1", "P1",
        IF(OR(ISNUMBER(SEARCH("dialer",_xlpm.pool)), ISNUMBER(SEARCH("ojt",_xlpm.pool))), "DO", "OT")),
  IF(_xlpm.grp="P1", IF(_xlpm.r&gt;=35,40, IF(_xlpm.r&gt;=30,30, IF(_xlpm.r&gt;=20,20,0))),
  IF(_xlpm.grp="DO", IF(_xlpm.r&gt;=5,25,  IF(_xlpm.r&gt;=3,20,  IF(_xlpm.r&gt;=1,15,0))),
               IF(_xlpm.r&gt;=15,40, IF(_xlpm.r&gt;=12,30, IF(_xlpm.r&gt;=8,20,0)))))
)</f>
        <v>0</v>
      </c>
      <c r="AA3" s="107">
        <f>_xlfn.LET(
  _xlpm.pool, TRIM(IFERROR(D3&amp;"", "")),
  _xlpm.u,    IFERROR(--X3, 0),
  _xlpm.grp,  IF(_xlpm.pool="1", "P1",
        IF(OR(ISNUMBER(SEARCH("dialer",_xlpm.pool)), ISNUMBER(SEARCH("ojt",_xlpm.pool))), "DO", "OT")),
  IF(_xlpm.grp="P1", IF(_xlpm.u&gt;=136,40, IF(_xlpm.u&gt;=125,30, IF(_xlpm.u&gt;=110,15,0))),
  IF(_xlpm.grp="DO", IF(_xlpm.u&gt;=180,35, IF(_xlpm.u&gt;=160,20, IF(_xlpm.u&gt;=140,10,0))),
               IF(_xlpm.u&gt;=150,40, IF(_xlpm.u&gt;=130,30, IF(_xlpm.u&gt;=100,15,0)))))
)</f>
        <v>40</v>
      </c>
      <c r="AB3" s="107">
        <f>_xlfn.LET(
  _xlpm.pool, TRIM(IFERROR(D3&amp;"", "")),
  _xlpm.d,    IFERROR(--W3, 0),
  _xlpm.isDO, OR(ISNUMBER(SEARCH("dialer",_xlpm.pool)), ISNUMBER(SEARCH("ojt",_xlpm.pool))),
  IF(_xlpm.isDO, IF(_xlpm.d&gt;=280,35, IF(_xlpm.d&gt;=250,30, IF(_xlpm.d&gt;=225,20,0))), 0)
)</f>
        <v>0</v>
      </c>
      <c r="AC3" s="107">
        <f t="shared" ref="AC3:AC49" si="3">_xlfn.LET(
  _xlpm.pool, TRIM(IFERROR(D3&amp;"", "")),
  _xlpm.v,    IFERROR(--Q3, 0),
  _xlpm.p,    ROUND(IF(MAX($Q:$Q)&gt;1, _xlpm.v/100, _xlpm.v), 4),
  _xlpm.grp,  IF(_xlpm.pool="1", "P1",
        IF(OR(ISNUMBER(SEARCH("dialer",_xlpm.pool)), ISNUMBER(SEARCH("ojt",_xlpm.pool))), "DO", "OT")),
  IF(_xlpm.grp="P1", IF(_xlpm.p&gt;=0.2,45, IF(_xlpm.p&gt;=0.15,40, IF(_xlpm.p&gt;=0.1,25,0))),
  IF(_xlpm.grp="DO", IF(_xlpm.p&gt;=0.05,25, IF(_xlpm.p&gt;=0.03,20, IF(_xlpm.p&gt;=0.01,10,0))),
               IF(_xlpm.p&gt;=0.13,45, IF(_xlpm.p&gt;=0.1,40, IF(_xlpm.p&gt;=0.05,25,0)))))
)</f>
        <v>0</v>
      </c>
      <c r="AD3" s="107">
        <f t="shared" ref="AD3:AD49" si="4">_xlfn.LET(
  _xlpm.pool, TRIM(IFERROR(D3&amp;"", "")),
  _xlpm.v,    IFERROR(--U3, ""),
  _xlpm.q,    IF(_xlpm.v="", "", ROUND(IF(MAX($U:$U)&gt;1, _xlpm.v/100, _xlpm.v), 4)),
  _xlpm.grp,  IF(_xlpm.pool="1", "P1",
        IF(OR(ISNUMBER(SEARCH("dialer",_xlpm.pool)), ISNUMBER(SEARCH("ojt",_xlpm.pool))), "DO", "OT")),
  IF(_xlpm.q="", 0,
  IF(_xlpm.grp="DO", IF(_xlpm.q&gt;0.9,20, IF(_xlpm.q&gt;=0.85,15, IF(_xlpm.q&gt;=0.8,10,0))),
               IF(_xlpm.q&gt;0.9,15, 10)))
)</f>
        <v>15</v>
      </c>
      <c r="AE3" s="107">
        <f t="shared" ref="AE3:AE49" si="5">_xlfn.LET(
  _xlpm.raw, TRIM(V3&amp;""),
  _xlpm.v,   IFERROR(--V3, ""),
  _xlpm.t,   IF(_xlpm.v="", "", ROUND(IF(MAX($V:$V)&gt;1, _xlpm.v/100, _xlpm.v), 4)),
  IF(_xlpm.raw="No Entry", 15,
  IF(_xlpm.t="", 0,
     IF(_xlpm.t&gt;=0.95,20, IF(_xlpm.t&gt;=0.9,15, IF(_xlpm.t&gt;=0.85,10,0)))))
)</f>
        <v>15</v>
      </c>
      <c r="AF3" s="108">
        <f>SUM(Y3:AE3)</f>
        <v>70</v>
      </c>
      <c r="AG3" s="104">
        <f>R3*AF3/100</f>
        <v>7353.5</v>
      </c>
      <c r="AH3" s="109">
        <f>_xlfn.XLOOKUP(A3,SOP!A:A,SOP!D:D,0)</f>
        <v>3750</v>
      </c>
      <c r="AI3" s="99">
        <f>AG3-AH3</f>
        <v>3603.5</v>
      </c>
      <c r="AJ3" s="111">
        <f>_xlfn.XLOOKUP(A3,Attendance!F:F,Attendance!BQ:BQ)</f>
        <v>1</v>
      </c>
      <c r="AK3" s="29" t="str">
        <f>IF(AF3&gt;=115,"ELIGIBLE","NOT ELIGIBLE")</f>
        <v>NOT ELIGIBLE</v>
      </c>
      <c r="AL3" s="29" t="str">
        <f>IF(H3&gt;=F3,"ELIGIBLE","NOT ELIGIBLE")</f>
        <v>NOT ELIGIBLE</v>
      </c>
      <c r="AM3" s="29" t="str">
        <f>IF(I3&gt;=G3,"ELIGIBLE","NOT ELIGIBLE")</f>
        <v>NOT ELIGIBLE</v>
      </c>
      <c r="AN3" s="29" t="str">
        <f>_xlfn.XLOOKUP(A3,'3 month performance'!A:A,'3 month performance'!H:H)</f>
        <v>NOT ELIGIBLE</v>
      </c>
      <c r="AO3" s="29" t="str">
        <f>IF(AJ3&gt;2,"NOT ELIGIBLE","ELIGIBLE")</f>
        <v>ELIGIBLE</v>
      </c>
      <c r="AP3" s="29" t="str">
        <f>IF(COUNTIF(AK3:AO3,"ELIGIBLE")=5,"ELIGIBLE","NOT ELIGIBLE")</f>
        <v>NOT ELIGIBLE</v>
      </c>
    </row>
    <row r="4" spans="1:42" ht="27" customHeight="1" x14ac:dyDescent="0.25">
      <c r="A4" s="102" t="str">
        <v>prince@nexora.live</v>
      </c>
      <c r="B4" s="103" t="str">
        <f>_xlfn.XLOOKUP(A4,Attendance!F:F,Attendance!B:B)</f>
        <v>E-1255</v>
      </c>
      <c r="C4" s="103" t="str">
        <f>_xlfn.XLOOKUP(A4,Attendance!F:F,Attendance!K:K)</f>
        <v>Saif</v>
      </c>
      <c r="D4" s="103" t="str">
        <f>_xlfn.XLOOKUP(A4,Attendance!F:F,Attendance!J:J)</f>
        <v>1</v>
      </c>
      <c r="E4" s="103">
        <f>_xlfn.XLOOKUP(A4,Attendance!F:F,Attendance!BM:BM)</f>
        <v>120</v>
      </c>
      <c r="F4" s="103">
        <f>_xlfn.XLOOKUP(A4,Attendance!F:F,Attendance!BO:BO)</f>
        <v>96</v>
      </c>
      <c r="G4" s="103">
        <f>_xlfn.XLOOKUP(A4,Attendance!F:F,Attendance!BP:BP)</f>
        <v>20</v>
      </c>
      <c r="H4" s="103">
        <f>COUNTIF('Realised Conversions'!C:C,Report!A4)</f>
        <v>93</v>
      </c>
      <c r="I4" s="103">
        <f>COUNTIFS('Realised Conversions'!C:C,Report!A4,'Realised Conversions'!F:F,"Referral (HOT)")</f>
        <v>16</v>
      </c>
      <c r="J4" s="100" t="str" cm="1">
        <f t="array" ref="J4">_xlfn.LET(_xlpm.own,TRIM('Realised Conversions'!$C$2:$C$5000),_xlpm.ls,TRIM('Realised Conversions'!$F$2:$F$5000),_xlpm.src,_xlfn._xlws.FILTER(_xlpm.ls,(_xlpm.own=TRIM(A4))*(_xlpm.ls&lt;&gt;""),""),IF(INDEX(_xlpm.src,1)="","",_xlfn.LET(_xlpm.u,_xlfn.UNIQUE(_xlpm.src),_xlpm.c,MMULT(--(_xlpm.u=TRANSPOSE(_xlpm.src)),_xlfn.SEQUENCE(ROWS(_xlpm.src),1,1,0)),_xlfn.TEXTJOIN(", ",TRUE,_xlfn.SORTBY(_xlpm.u&amp;": "&amp;_xlpm.c,_xlpm.c,-1)))))</f>
        <v>MAIN WEBSITE (HOT): 57, Referral (HOT): 16, MAIN WEBSITE (HOT) 1: 9, META2: 3, Telegram ads: 2, Premium: 2, PRS: 1, Telegram: 1, Meta6: 1, META3: 1</v>
      </c>
      <c r="K4" s="103">
        <f>COUNTIFS('Realised Conversions'!C:C, Report!A4, 'Realised Conversions'!G:G, "&gt;10000")</f>
        <v>15</v>
      </c>
      <c r="L4" s="103">
        <f>COUNTIFS('Realised Conversions'!C:C,Report!A4,'Realised Conversions'!G:G,"&gt;15000")</f>
        <v>13</v>
      </c>
      <c r="M4" s="104">
        <f>SUMIFS('Realised Conversions'!G:G,'Realised Conversions'!C:C,Report!A4,'Realised Conversions'!G:G,"&gt;10000")</f>
        <v>424999</v>
      </c>
      <c r="N4" s="104">
        <f>SUMIFS('Realised Conversions'!G:G,'Realised Conversions'!C:C,Report!A4,'Realised Conversions'!G:G,"&gt;15000")</f>
        <v>396999</v>
      </c>
      <c r="O4" s="103">
        <f>SUMIF('Realised Conversions'!C:C,Report!A4,'Realised Conversions'!H:H)</f>
        <v>138</v>
      </c>
      <c r="P4" s="104">
        <f t="shared" si="0"/>
        <v>5954.9849999999997</v>
      </c>
      <c r="Q4" s="104">
        <f>SUMIF('Realised Conversions'!N:N,Report!A4,'Realised Conversions'!R:R)</f>
        <v>300</v>
      </c>
      <c r="R4" s="105">
        <f t="shared" si="1"/>
        <v>12454.985000000001</v>
      </c>
      <c r="S4" s="101">
        <f t="shared" ref="S4:S49" si="6">H4/E4</f>
        <v>0.77500000000000002</v>
      </c>
      <c r="T4" s="101">
        <f t="shared" si="2"/>
        <v>0.13978494623655913</v>
      </c>
      <c r="U4" s="101">
        <f>_xlfn.XLOOKUP(A4,QA!A:A,QA!D:D)</f>
        <v>0.87272727272727268</v>
      </c>
      <c r="V4" s="101">
        <f>_xlfn.XLOOKUP(A4,'Call Tagging'!A:A,'Call Tagging'!F:F,"No Entry")</f>
        <v>0.96478873239436624</v>
      </c>
      <c r="W4" s="106">
        <f>_xlfn.XLOOKUP(A4,'Avg Dials'!A:A,'Avg Dials'!B:B)</f>
        <v>225.12</v>
      </c>
      <c r="X4" s="106">
        <f>_xlfn.XLOOKUP(A4,'Avg Dials'!A:A,'Avg Dials'!C:C)</f>
        <v>174.4</v>
      </c>
      <c r="Y4" s="107">
        <f t="shared" ref="Y4:Y49" si="7">_xlfn.LET(
  _xlpm.pool, TRIM(IFERROR(D4&amp;"", "")),
  _xlpm.v,    IFERROR(--S4, 0),
  _xlpm.t,    ROUND(IF(_xlpm.v&gt;2, _xlpm.v/100, _xlpm.v), 4),
  _xlpm.grp,  IF(_xlpm.pool="1", "P1",
        IF(OR(ISNUMBER(SEARCH("dialer",_xlpm.pool)), ISNUMBER(SEARCH("ojt",_xlpm.pool))), "DO", "OT")),
  IF(_xlpm.grp="P1", IF(_xlpm.t&gt;=0.95,40, IF(_xlpm.t&gt;=0.85,35, IF(_xlpm.t&gt;=0.8,20,0))),
  IF(_xlpm.grp="DO", IF(_xlpm.t&gt;=0.95,45, IF(_xlpm.t&gt;=0.85,40, IF(_xlpm.t&gt;=0.8,25,0))),
               IF(_xlpm.t&gt;=0.95,40, IF(_xlpm.t&gt;=0.85,35, IF(_xlpm.t&gt;=0.8,20,0)))))
)</f>
        <v>0</v>
      </c>
      <c r="Z4" s="107">
        <f t="shared" ref="Z4:Z49" si="8">_xlfn.LET(
  _xlpm.pool, TRIM(IFERROR(D4&amp;"", "")),
  _xlpm.r,    IFERROR(--I4, 0),
  _xlpm.grp,  IF(_xlpm.pool="1", "P1",
        IF(OR(ISNUMBER(SEARCH("dialer",_xlpm.pool)), ISNUMBER(SEARCH("ojt",_xlpm.pool))), "DO", "OT")),
  IF(_xlpm.grp="P1", IF(_xlpm.r&gt;=35,40, IF(_xlpm.r&gt;=30,30, IF(_xlpm.r&gt;=20,20,0))),
  IF(_xlpm.grp="DO", IF(_xlpm.r&gt;=5,25,  IF(_xlpm.r&gt;=3,20,  IF(_xlpm.r&gt;=1,15,0))),
               IF(_xlpm.r&gt;=15,40, IF(_xlpm.r&gt;=12,30, IF(_xlpm.r&gt;=8,20,0)))))
)</f>
        <v>0</v>
      </c>
      <c r="AA4" s="107">
        <f t="shared" ref="AA4:AA49" si="9">_xlfn.LET(
  _xlpm.pool, TRIM(IFERROR(D4&amp;"", "")),
  _xlpm.u,    IFERROR(--X4, 0),
  _xlpm.grp,  IF(_xlpm.pool="1", "P1",
        IF(OR(ISNUMBER(SEARCH("dialer",_xlpm.pool)), ISNUMBER(SEARCH("ojt",_xlpm.pool))), "DO", "OT")),
  IF(_xlpm.grp="P1", IF(_xlpm.u&gt;=136,40, IF(_xlpm.u&gt;=125,30, IF(_xlpm.u&gt;=110,15,0))),
  IF(_xlpm.grp="DO", IF(_xlpm.u&gt;=180,35, IF(_xlpm.u&gt;=160,20, IF(_xlpm.u&gt;=140,10,0))),
               IF(_xlpm.u&gt;=150,40, IF(_xlpm.u&gt;=130,30, IF(_xlpm.u&gt;=100,15,0)))))
)</f>
        <v>40</v>
      </c>
      <c r="AB4" s="107">
        <f t="shared" ref="AB4:AB49" si="10">_xlfn.LET(
  _xlpm.pool, TRIM(IFERROR(D4&amp;"", "")),
  _xlpm.d,    IFERROR(--W4, 0),
  _xlpm.isDO, OR(ISNUMBER(SEARCH("dialer",_xlpm.pool)), ISNUMBER(SEARCH("ojt",_xlpm.pool))),
  IF(_xlpm.isDO, IF(_xlpm.d&gt;=280,35, IF(_xlpm.d&gt;=250,30, IF(_xlpm.d&gt;=225,20,0))), 0)
)</f>
        <v>0</v>
      </c>
      <c r="AC4" s="107">
        <f t="shared" si="3"/>
        <v>45</v>
      </c>
      <c r="AD4" s="107">
        <f t="shared" si="4"/>
        <v>10</v>
      </c>
      <c r="AE4" s="107">
        <f t="shared" si="5"/>
        <v>20</v>
      </c>
      <c r="AF4" s="108">
        <f t="shared" ref="AF4:AF49" si="11">SUM(Y4:AE4)</f>
        <v>115</v>
      </c>
      <c r="AG4" s="104">
        <f t="shared" ref="AG4:AG49" si="12">R4*AF4/100</f>
        <v>14323.232750000001</v>
      </c>
      <c r="AH4" s="109">
        <f>_xlfn.XLOOKUP(A4,SOP!A:A,SOP!D:D,0)</f>
        <v>450</v>
      </c>
      <c r="AI4" s="99">
        <f t="shared" ref="AI4:AI49" si="13">AG4-AH4</f>
        <v>13873.232750000001</v>
      </c>
      <c r="AJ4" s="111">
        <f>_xlfn.XLOOKUP(A4,Attendance!F:F,Attendance!BQ:BQ)</f>
        <v>2</v>
      </c>
      <c r="AK4" s="29" t="str">
        <f t="shared" ref="AK4:AK49" si="14">IF(AF4&gt;=115,"ELIGIBLE","NOT ELIGIBLE")</f>
        <v>ELIGIBLE</v>
      </c>
      <c r="AL4" s="29" t="str">
        <f t="shared" ref="AL4:AL49" si="15">IF(H4&gt;=F4,"ELIGIBLE","NOT ELIGIBLE")</f>
        <v>NOT ELIGIBLE</v>
      </c>
      <c r="AM4" s="29" t="str">
        <f t="shared" ref="AM4:AM49" si="16">IF(I4&gt;=G4,"ELIGIBLE","NOT ELIGIBLE")</f>
        <v>NOT ELIGIBLE</v>
      </c>
      <c r="AN4" s="29" t="str">
        <f>_xlfn.XLOOKUP(A4,'3 month performance'!A:A,'3 month performance'!H:H)</f>
        <v>ELIGIBLE</v>
      </c>
      <c r="AO4" s="29" t="str">
        <f t="shared" ref="AO4:AO49" si="17">IF(AJ4&gt;2,"NOT ELIGIBLE","ELIGIBLE")</f>
        <v>ELIGIBLE</v>
      </c>
      <c r="AP4" s="29" t="str">
        <f t="shared" ref="AP4:AP49" si="18">IF(COUNTIF(AK4:AO4,"ELIGIBLE")=5,"ELIGIBLE","NOT ELIGIBLE")</f>
        <v>NOT ELIGIBLE</v>
      </c>
    </row>
    <row r="5" spans="1:42" ht="27" customHeight="1" x14ac:dyDescent="0.25">
      <c r="A5" s="102" t="str">
        <v>waman@nexora.live</v>
      </c>
      <c r="B5" s="103" t="str">
        <f>_xlfn.XLOOKUP(A5,Attendance!F:F,Attendance!B:B)</f>
        <v>E-1252</v>
      </c>
      <c r="C5" s="103" t="str">
        <f>_xlfn.XLOOKUP(A5,Attendance!F:F,Attendance!K:K)</f>
        <v>Saif</v>
      </c>
      <c r="D5" s="103" t="str">
        <f>_xlfn.XLOOKUP(A5,Attendance!F:F,Attendance!J:J)</f>
        <v>1</v>
      </c>
      <c r="E5" s="103">
        <f>_xlfn.XLOOKUP(A5,Attendance!F:F,Attendance!BM:BM)</f>
        <v>120</v>
      </c>
      <c r="F5" s="103">
        <f>_xlfn.XLOOKUP(A5,Attendance!F:F,Attendance!BO:BO)</f>
        <v>96</v>
      </c>
      <c r="G5" s="103">
        <f>_xlfn.XLOOKUP(A5,Attendance!F:F,Attendance!BP:BP)</f>
        <v>20</v>
      </c>
      <c r="H5" s="103">
        <f>COUNTIF('Realised Conversions'!C:C,Report!A5)</f>
        <v>133</v>
      </c>
      <c r="I5" s="103">
        <f>COUNTIFS('Realised Conversions'!C:C,Report!A5,'Realised Conversions'!F:F,"Referral (HOT)")</f>
        <v>36</v>
      </c>
      <c r="J5" s="100" t="str" cm="1">
        <f t="array" ref="J5">_xlfn.LET(_xlpm.own,TRIM('Realised Conversions'!$C$2:$C$5000),_xlpm.ls,TRIM('Realised Conversions'!$F$2:$F$5000),_xlpm.src,_xlfn._xlws.FILTER(_xlpm.ls,(_xlpm.own=TRIM(A5))*(_xlpm.ls&lt;&gt;""),""),IF(INDEX(_xlpm.src,1)="","",_xlfn.LET(_xlpm.u,_xlfn.UNIQUE(_xlpm.src),_xlpm.c,MMULT(--(_xlpm.u=TRANSPOSE(_xlpm.src)),_xlfn.SEQUENCE(ROWS(_xlpm.src),1,1,0)),_xlfn.TEXTJOIN(", ",TRUE,_xlfn.SORTBY(_xlpm.u&amp;": "&amp;_xlpm.c,_xlpm.c,-1)))))</f>
        <v>MAIN WEBSITE (HOT): 94, Referral (HOT): 36, MAIN WEBSITE (HOT) 1: 1, PRS: 1, Instagram: 1</v>
      </c>
      <c r="K5" s="103">
        <f>COUNTIFS('Realised Conversions'!C:C, Report!A5, 'Realised Conversions'!G:G, "&gt;10000")</f>
        <v>12</v>
      </c>
      <c r="L5" s="103">
        <f>COUNTIFS('Realised Conversions'!C:C,Report!A5,'Realised Conversions'!G:G,"&gt;15000")</f>
        <v>9</v>
      </c>
      <c r="M5" s="104">
        <f>SUMIFS('Realised Conversions'!G:G,'Realised Conversions'!C:C,Report!A5,'Realised Conversions'!G:G,"&gt;10000")</f>
        <v>570480</v>
      </c>
      <c r="N5" s="104">
        <f>SUMIFS('Realised Conversions'!G:G,'Realised Conversions'!C:C,Report!A5,'Realised Conversions'!G:G,"&gt;15000")</f>
        <v>530480</v>
      </c>
      <c r="O5" s="103">
        <f>SUMIF('Realised Conversions'!C:C,Report!A5,'Realised Conversions'!H:H)</f>
        <v>206</v>
      </c>
      <c r="P5" s="104">
        <f t="shared" si="0"/>
        <v>7957.2</v>
      </c>
      <c r="Q5" s="104">
        <f>SUMIF('Realised Conversions'!N:N,Report!A5,'Realised Conversions'!R:R)</f>
        <v>3200</v>
      </c>
      <c r="R5" s="105">
        <f t="shared" si="1"/>
        <v>19037.2</v>
      </c>
      <c r="S5" s="101">
        <f t="shared" si="6"/>
        <v>1.1083333333333334</v>
      </c>
      <c r="T5" s="101">
        <f t="shared" si="2"/>
        <v>6.7669172932330823E-2</v>
      </c>
      <c r="U5" s="101">
        <f>_xlfn.XLOOKUP(A5,QA!A:A,QA!D:D)</f>
        <v>0.8666666666666667</v>
      </c>
      <c r="V5" s="101">
        <f>_xlfn.XLOOKUP(A5,'Call Tagging'!A:A,'Call Tagging'!F:F,"No Entry")</f>
        <v>0.92893401015228427</v>
      </c>
      <c r="W5" s="106">
        <f>_xlfn.XLOOKUP(A5,'Avg Dials'!A:A,'Avg Dials'!B:B)</f>
        <v>182.32</v>
      </c>
      <c r="X5" s="106">
        <f>_xlfn.XLOOKUP(A5,'Avg Dials'!A:A,'Avg Dials'!C:C)</f>
        <v>135.63999999999999</v>
      </c>
      <c r="Y5" s="107">
        <f t="shared" si="7"/>
        <v>40</v>
      </c>
      <c r="Z5" s="107">
        <f t="shared" si="8"/>
        <v>40</v>
      </c>
      <c r="AA5" s="107">
        <f t="shared" si="9"/>
        <v>30</v>
      </c>
      <c r="AB5" s="107">
        <f t="shared" si="10"/>
        <v>0</v>
      </c>
      <c r="AC5" s="107">
        <f t="shared" si="3"/>
        <v>45</v>
      </c>
      <c r="AD5" s="107">
        <f t="shared" si="4"/>
        <v>10</v>
      </c>
      <c r="AE5" s="107">
        <f t="shared" si="5"/>
        <v>15</v>
      </c>
      <c r="AF5" s="108">
        <f t="shared" si="11"/>
        <v>180</v>
      </c>
      <c r="AG5" s="104">
        <f t="shared" si="12"/>
        <v>34266.959999999999</v>
      </c>
      <c r="AH5" s="109">
        <f>_xlfn.XLOOKUP(A5,SOP!A:A,SOP!D:D,0)</f>
        <v>1800</v>
      </c>
      <c r="AI5" s="99">
        <f t="shared" si="13"/>
        <v>32466.959999999999</v>
      </c>
      <c r="AJ5" s="111">
        <f>_xlfn.XLOOKUP(A5,Attendance!F:F,Attendance!BQ:BQ)</f>
        <v>2</v>
      </c>
      <c r="AK5" s="29" t="str">
        <f t="shared" si="14"/>
        <v>ELIGIBLE</v>
      </c>
      <c r="AL5" s="29" t="str">
        <f t="shared" si="15"/>
        <v>ELIGIBLE</v>
      </c>
      <c r="AM5" s="29" t="str">
        <f t="shared" si="16"/>
        <v>ELIGIBLE</v>
      </c>
      <c r="AN5" s="29" t="str">
        <f>_xlfn.XLOOKUP(A5,'3 month performance'!A:A,'3 month performance'!H:H)</f>
        <v>ELIGIBLE</v>
      </c>
      <c r="AO5" s="29" t="str">
        <f t="shared" si="17"/>
        <v>ELIGIBLE</v>
      </c>
      <c r="AP5" s="29" t="str">
        <f t="shared" si="18"/>
        <v>ELIGIBLE</v>
      </c>
    </row>
    <row r="6" spans="1:42" ht="27" customHeight="1" x14ac:dyDescent="0.25">
      <c r="A6" s="102" t="str">
        <v>nair@nexora.live</v>
      </c>
      <c r="B6" s="103" t="str">
        <f>_xlfn.XLOOKUP(A6,Attendance!F:F,Attendance!B:B)</f>
        <v>E-1706</v>
      </c>
      <c r="C6" s="103" t="str">
        <f>_xlfn.XLOOKUP(A6,Attendance!F:F,Attendance!K:K)</f>
        <v>Saif</v>
      </c>
      <c r="D6" s="103" t="str">
        <f>_xlfn.XLOOKUP(A6,Attendance!F:F,Attendance!J:J)</f>
        <v>1</v>
      </c>
      <c r="E6" s="103">
        <f>_xlfn.XLOOKUP(A6,Attendance!F:F,Attendance!BM:BM)</f>
        <v>120</v>
      </c>
      <c r="F6" s="103">
        <f>_xlfn.XLOOKUP(A6,Attendance!F:F,Attendance!BO:BO)</f>
        <v>96</v>
      </c>
      <c r="G6" s="103">
        <f>_xlfn.XLOOKUP(A6,Attendance!F:F,Attendance!BP:BP)</f>
        <v>20</v>
      </c>
      <c r="H6" s="103">
        <f>COUNTIF('Realised Conversions'!C:C,Report!A6)</f>
        <v>70</v>
      </c>
      <c r="I6" s="103">
        <f>COUNTIFS('Realised Conversions'!C:C,Report!A6,'Realised Conversions'!F:F,"Referral (HOT)")</f>
        <v>3</v>
      </c>
      <c r="J6" s="100" t="str" cm="1">
        <f t="array" ref="J6">_xlfn.LET(_xlpm.own,TRIM('Realised Conversions'!$C$2:$C$5000),_xlpm.ls,TRIM('Realised Conversions'!$F$2:$F$5000),_xlpm.src,_xlfn._xlws.FILTER(_xlpm.ls,(_xlpm.own=TRIM(A6))*(_xlpm.ls&lt;&gt;""),""),IF(INDEX(_xlpm.src,1)="","",_xlfn.LET(_xlpm.u,_xlfn.UNIQUE(_xlpm.src),_xlpm.c,MMULT(--(_xlpm.u=TRANSPOSE(_xlpm.src)),_xlfn.SEQUENCE(ROWS(_xlpm.src),1,1,0)),_xlfn.TEXTJOIN(", ",TRUE,_xlfn.SORTBY(_xlpm.u&amp;": "&amp;_xlpm.c,_xlpm.c,-1)))))</f>
        <v>MAIN WEBSITE (HOT): 63, Referral (HOT): 3, YouTube: 1, META2: 1, MAIN WEBSITE (HOT) 1: 1, Telegram ads: 1</v>
      </c>
      <c r="K6" s="103">
        <f>COUNTIFS('Realised Conversions'!C:C, Report!A6, 'Realised Conversions'!G:G, "&gt;10000")</f>
        <v>9</v>
      </c>
      <c r="L6" s="103">
        <f>COUNTIFS('Realised Conversions'!C:C,Report!A6,'Realised Conversions'!G:G,"&gt;15000")</f>
        <v>6</v>
      </c>
      <c r="M6" s="104">
        <f>SUMIFS('Realised Conversions'!G:G,'Realised Conversions'!C:C,Report!A6,'Realised Conversions'!G:G,"&gt;10000")</f>
        <v>214400</v>
      </c>
      <c r="N6" s="104">
        <f>SUMIFS('Realised Conversions'!G:G,'Realised Conversions'!C:C,Report!A6,'Realised Conversions'!G:G,"&gt;15000")</f>
        <v>177400</v>
      </c>
      <c r="O6" s="103">
        <f>SUMIF('Realised Conversions'!C:C,Report!A6,'Realised Conversions'!H:H)</f>
        <v>80</v>
      </c>
      <c r="P6" s="104">
        <f t="shared" si="0"/>
        <v>2661</v>
      </c>
      <c r="Q6" s="104">
        <f>SUMIF('Realised Conversions'!N:N,Report!A6,'Realised Conversions'!R:R)</f>
        <v>0</v>
      </c>
      <c r="R6" s="105">
        <f t="shared" si="1"/>
        <v>6761</v>
      </c>
      <c r="S6" s="101">
        <f t="shared" si="6"/>
        <v>0.58333333333333337</v>
      </c>
      <c r="T6" s="101">
        <f t="shared" si="2"/>
        <v>8.5714285714285715E-2</v>
      </c>
      <c r="U6" s="101">
        <f>_xlfn.XLOOKUP(A6,QA!A:A,QA!D:D)</f>
        <v>0.80588235294117649</v>
      </c>
      <c r="V6" s="101">
        <f>_xlfn.XLOOKUP(A6,'Call Tagging'!A:A,'Call Tagging'!F:F,"No Entry")</f>
        <v>0.92558139534883721</v>
      </c>
      <c r="W6" s="106">
        <f>_xlfn.XLOOKUP(A6,'Avg Dials'!A:A,'Avg Dials'!B:B)</f>
        <v>188.64</v>
      </c>
      <c r="X6" s="106">
        <f>_xlfn.XLOOKUP(A6,'Avg Dials'!A:A,'Avg Dials'!C:C)</f>
        <v>153</v>
      </c>
      <c r="Y6" s="107">
        <f t="shared" si="7"/>
        <v>0</v>
      </c>
      <c r="Z6" s="107">
        <f t="shared" si="8"/>
        <v>0</v>
      </c>
      <c r="AA6" s="107">
        <f t="shared" si="9"/>
        <v>40</v>
      </c>
      <c r="AB6" s="107">
        <f t="shared" si="10"/>
        <v>0</v>
      </c>
      <c r="AC6" s="107">
        <f t="shared" si="3"/>
        <v>0</v>
      </c>
      <c r="AD6" s="107">
        <f t="shared" si="4"/>
        <v>10</v>
      </c>
      <c r="AE6" s="107">
        <f t="shared" si="5"/>
        <v>15</v>
      </c>
      <c r="AF6" s="108">
        <f t="shared" si="11"/>
        <v>65</v>
      </c>
      <c r="AG6" s="104">
        <f t="shared" si="12"/>
        <v>4394.6499999999996</v>
      </c>
      <c r="AH6" s="109">
        <f>_xlfn.XLOOKUP(A6,SOP!A:A,SOP!D:D,0)</f>
        <v>450</v>
      </c>
      <c r="AI6" s="99">
        <f t="shared" si="13"/>
        <v>3944.6499999999996</v>
      </c>
      <c r="AJ6" s="111">
        <f>_xlfn.XLOOKUP(A6,Attendance!F:F,Attendance!BQ:BQ)</f>
        <v>2</v>
      </c>
      <c r="AK6" s="29" t="str">
        <f t="shared" si="14"/>
        <v>NOT ELIGIBLE</v>
      </c>
      <c r="AL6" s="29" t="str">
        <f t="shared" si="15"/>
        <v>NOT ELIGIBLE</v>
      </c>
      <c r="AM6" s="29" t="str">
        <f t="shared" si="16"/>
        <v>NOT ELIGIBLE</v>
      </c>
      <c r="AN6" s="29" t="str">
        <f>_xlfn.XLOOKUP(A6,'3 month performance'!A:A,'3 month performance'!H:H)</f>
        <v>NOT ELIGIBLE</v>
      </c>
      <c r="AO6" s="29" t="str">
        <f t="shared" si="17"/>
        <v>ELIGIBLE</v>
      </c>
      <c r="AP6" s="29" t="str">
        <f t="shared" si="18"/>
        <v>NOT ELIGIBLE</v>
      </c>
    </row>
    <row r="7" spans="1:42" ht="27" customHeight="1" x14ac:dyDescent="0.25">
      <c r="A7" s="102" t="str">
        <v>sushil@nexora.live</v>
      </c>
      <c r="B7" s="103" t="str">
        <f>_xlfn.XLOOKUP(A7,Attendance!F:F,Attendance!B:B)</f>
        <v>E-1668</v>
      </c>
      <c r="C7" s="103" t="str">
        <f>_xlfn.XLOOKUP(A7,Attendance!F:F,Attendance!K:K)</f>
        <v>Saif</v>
      </c>
      <c r="D7" s="103" t="str">
        <f>_xlfn.XLOOKUP(A7,Attendance!F:F,Attendance!J:J)</f>
        <v>1</v>
      </c>
      <c r="E7" s="103">
        <f>_xlfn.XLOOKUP(A7,Attendance!F:F,Attendance!BM:BM)</f>
        <v>120</v>
      </c>
      <c r="F7" s="103">
        <f>_xlfn.XLOOKUP(A7,Attendance!F:F,Attendance!BO:BO)</f>
        <v>96</v>
      </c>
      <c r="G7" s="103">
        <f>_xlfn.XLOOKUP(A7,Attendance!F:F,Attendance!BP:BP)</f>
        <v>20</v>
      </c>
      <c r="H7" s="103">
        <f>COUNTIF('Realised Conversions'!C:C,Report!A7)</f>
        <v>88</v>
      </c>
      <c r="I7" s="103">
        <f>COUNTIFS('Realised Conversions'!C:C,Report!A7,'Realised Conversions'!F:F,"Referral (HOT)")</f>
        <v>9</v>
      </c>
      <c r="J7" s="100" t="str" cm="1">
        <f t="array" ref="J7">_xlfn.LET(_xlpm.own,TRIM('Realised Conversions'!$C$2:$C$5000),_xlpm.ls,TRIM('Realised Conversions'!$F$2:$F$5000),_xlpm.src,_xlfn._xlws.FILTER(_xlpm.ls,(_xlpm.own=TRIM(A7))*(_xlpm.ls&lt;&gt;""),""),IF(INDEX(_xlpm.src,1)="","",_xlfn.LET(_xlpm.u,_xlfn.UNIQUE(_xlpm.src),_xlpm.c,MMULT(--(_xlpm.u=TRANSPOSE(_xlpm.src)),_xlfn.SEQUENCE(ROWS(_xlpm.src),1,1,0)),_xlfn.TEXTJOIN(", ",TRUE,_xlfn.SORTBY(_xlpm.u&amp;": "&amp;_xlpm.c,_xlpm.c,-1)))))</f>
        <v>MAIN WEBSITE (HOT): 70, Referral (HOT): 9, MAIN WEBSITE (HOT) 1: 4, Whatsapp: 1, Meta-T: 1, APPLICATION: 1, META3: 1, META2: 1</v>
      </c>
      <c r="K7" s="103">
        <f>COUNTIFS('Realised Conversions'!C:C, Report!A7, 'Realised Conversions'!G:G, "&gt;10000")</f>
        <v>17</v>
      </c>
      <c r="L7" s="103">
        <f>COUNTIFS('Realised Conversions'!C:C,Report!A7,'Realised Conversions'!G:G,"&gt;15000")</f>
        <v>12</v>
      </c>
      <c r="M7" s="104">
        <f>SUMIFS('Realised Conversions'!G:G,'Realised Conversions'!C:C,Report!A7,'Realised Conversions'!G:G,"&gt;10000")</f>
        <v>636000</v>
      </c>
      <c r="N7" s="104">
        <f>SUMIFS('Realised Conversions'!G:G,'Realised Conversions'!C:C,Report!A7,'Realised Conversions'!G:G,"&gt;15000")</f>
        <v>571000</v>
      </c>
      <c r="O7" s="103">
        <f>SUMIF('Realised Conversions'!C:C,Report!A7,'Realised Conversions'!H:H)</f>
        <v>113</v>
      </c>
      <c r="P7" s="104">
        <f t="shared" si="0"/>
        <v>8565</v>
      </c>
      <c r="Q7" s="104">
        <f>SUMIF('Realised Conversions'!N:N,Report!A7,'Realised Conversions'!R:R)</f>
        <v>300</v>
      </c>
      <c r="R7" s="105">
        <f t="shared" si="1"/>
        <v>13865</v>
      </c>
      <c r="S7" s="101">
        <f t="shared" si="6"/>
        <v>0.73333333333333328</v>
      </c>
      <c r="T7" s="101">
        <f t="shared" si="2"/>
        <v>0.13636363636363635</v>
      </c>
      <c r="U7" s="101">
        <f>_xlfn.XLOOKUP(A7,QA!A:A,QA!D:D)</f>
        <v>0.88970588235294112</v>
      </c>
      <c r="V7" s="101">
        <f>_xlfn.XLOOKUP(A7,'Call Tagging'!A:A,'Call Tagging'!F:F,"No Entry")</f>
        <v>0.9273356401384083</v>
      </c>
      <c r="W7" s="106">
        <f>_xlfn.XLOOKUP(A7,'Avg Dials'!A:A,'Avg Dials'!B:B)</f>
        <v>260.7</v>
      </c>
      <c r="X7" s="106">
        <f>_xlfn.XLOOKUP(A7,'Avg Dials'!A:A,'Avg Dials'!C:C)</f>
        <v>199.59</v>
      </c>
      <c r="Y7" s="107">
        <f t="shared" si="7"/>
        <v>0</v>
      </c>
      <c r="Z7" s="107">
        <f t="shared" si="8"/>
        <v>0</v>
      </c>
      <c r="AA7" s="107">
        <f t="shared" si="9"/>
        <v>40</v>
      </c>
      <c r="AB7" s="107">
        <f t="shared" si="10"/>
        <v>0</v>
      </c>
      <c r="AC7" s="107">
        <f t="shared" si="3"/>
        <v>45</v>
      </c>
      <c r="AD7" s="107">
        <f t="shared" si="4"/>
        <v>10</v>
      </c>
      <c r="AE7" s="107">
        <f t="shared" si="5"/>
        <v>15</v>
      </c>
      <c r="AF7" s="108">
        <f t="shared" si="11"/>
        <v>110</v>
      </c>
      <c r="AG7" s="104">
        <f t="shared" si="12"/>
        <v>15251.5</v>
      </c>
      <c r="AH7" s="109">
        <f>_xlfn.XLOOKUP(A7,SOP!A:A,SOP!D:D,0)</f>
        <v>300</v>
      </c>
      <c r="AI7" s="99">
        <f t="shared" si="13"/>
        <v>14951.5</v>
      </c>
      <c r="AJ7" s="111">
        <f>_xlfn.XLOOKUP(A7,Attendance!F:F,Attendance!BQ:BQ)</f>
        <v>0</v>
      </c>
      <c r="AK7" s="29" t="str">
        <f t="shared" si="14"/>
        <v>NOT ELIGIBLE</v>
      </c>
      <c r="AL7" s="29" t="str">
        <f t="shared" si="15"/>
        <v>NOT ELIGIBLE</v>
      </c>
      <c r="AM7" s="29" t="str">
        <f t="shared" si="16"/>
        <v>NOT ELIGIBLE</v>
      </c>
      <c r="AN7" s="29" t="str">
        <f>_xlfn.XLOOKUP(A7,'3 month performance'!A:A,'3 month performance'!H:H)</f>
        <v>NOT ELIGIBLE</v>
      </c>
      <c r="AO7" s="29" t="str">
        <f t="shared" si="17"/>
        <v>ELIGIBLE</v>
      </c>
      <c r="AP7" s="29" t="str">
        <f t="shared" si="18"/>
        <v>NOT ELIGIBLE</v>
      </c>
    </row>
    <row r="8" spans="1:42" ht="27" customHeight="1" x14ac:dyDescent="0.25">
      <c r="A8" s="102" t="str">
        <v>sachin.g@nexora.live</v>
      </c>
      <c r="B8" s="103" t="str">
        <f>_xlfn.XLOOKUP(A8,Attendance!F:F,Attendance!B:B)</f>
        <v>E-1261</v>
      </c>
      <c r="C8" s="103" t="str">
        <f>_xlfn.XLOOKUP(A8,Attendance!F:F,Attendance!K:K)</f>
        <v>Saif</v>
      </c>
      <c r="D8" s="103" t="str">
        <f>_xlfn.XLOOKUP(A8,Attendance!F:F,Attendance!J:J)</f>
        <v>1</v>
      </c>
      <c r="E8" s="103">
        <f>_xlfn.XLOOKUP(A8,Attendance!F:F,Attendance!BM:BM)</f>
        <v>120</v>
      </c>
      <c r="F8" s="103">
        <f>_xlfn.XLOOKUP(A8,Attendance!F:F,Attendance!BO:BO)</f>
        <v>96</v>
      </c>
      <c r="G8" s="103">
        <f>_xlfn.XLOOKUP(A8,Attendance!F:F,Attendance!BP:BP)</f>
        <v>20</v>
      </c>
      <c r="H8" s="103">
        <f>COUNTIF('Realised Conversions'!C:C,Report!A8)</f>
        <v>70</v>
      </c>
      <c r="I8" s="103">
        <f>COUNTIFS('Realised Conversions'!C:C,Report!A8,'Realised Conversions'!F:F,"Referral (HOT)")</f>
        <v>5</v>
      </c>
      <c r="J8" s="100" t="str" cm="1">
        <f t="array" ref="J8">_xlfn.LET(_xlpm.own,TRIM('Realised Conversions'!$C$2:$C$5000),_xlpm.ls,TRIM('Realised Conversions'!$F$2:$F$5000),_xlpm.src,_xlfn._xlws.FILTER(_xlpm.ls,(_xlpm.own=TRIM(A8))*(_xlpm.ls&lt;&gt;""),""),IF(INDEX(_xlpm.src,1)="","",_xlfn.LET(_xlpm.u,_xlfn.UNIQUE(_xlpm.src),_xlpm.c,MMULT(--(_xlpm.u=TRANSPOSE(_xlpm.src)),_xlfn.SEQUENCE(ROWS(_xlpm.src),1,1,0)),_xlfn.TEXTJOIN(", ",TRUE,_xlfn.SORTBY(_xlpm.u&amp;": "&amp;_xlpm.c,_xlpm.c,-1)))))</f>
        <v>MAIN WEBSITE (HOT): 54, Referral (HOT): 5, Meta6: 4, MAIN WEBSITE (HOT) 1: 3, META3: 1, Telegram ads: 1, Telegram: 1, Meta-T: 1</v>
      </c>
      <c r="K8" s="103">
        <f>COUNTIFS('Realised Conversions'!C:C, Report!A8, 'Realised Conversions'!G:G, "&gt;10000")</f>
        <v>18</v>
      </c>
      <c r="L8" s="103">
        <f>COUNTIFS('Realised Conversions'!C:C,Report!A8,'Realised Conversions'!G:G,"&gt;15000")</f>
        <v>15</v>
      </c>
      <c r="M8" s="104">
        <f>SUMIFS('Realised Conversions'!G:G,'Realised Conversions'!C:C,Report!A8,'Realised Conversions'!G:G,"&gt;10000")</f>
        <v>604187</v>
      </c>
      <c r="N8" s="104">
        <f>SUMIFS('Realised Conversions'!G:G,'Realised Conversions'!C:C,Report!A8,'Realised Conversions'!G:G,"&gt;15000")</f>
        <v>559187</v>
      </c>
      <c r="O8" s="103">
        <f>SUMIF('Realised Conversions'!C:C,Report!A8,'Realised Conversions'!H:H)</f>
        <v>86</v>
      </c>
      <c r="P8" s="104">
        <f t="shared" si="0"/>
        <v>8387.8050000000003</v>
      </c>
      <c r="Q8" s="104">
        <f>SUMIF('Realised Conversions'!N:N,Report!A8,'Realised Conversions'!R:R)</f>
        <v>0</v>
      </c>
      <c r="R8" s="105">
        <f t="shared" si="1"/>
        <v>12847.805</v>
      </c>
      <c r="S8" s="101">
        <f t="shared" si="6"/>
        <v>0.58333333333333337</v>
      </c>
      <c r="T8" s="101">
        <f t="shared" si="2"/>
        <v>0.21428571428571427</v>
      </c>
      <c r="U8" s="101">
        <f>_xlfn.XLOOKUP(A8,QA!A:A,QA!D:D)</f>
        <v>0.96911764705882342</v>
      </c>
      <c r="V8" s="101">
        <f>_xlfn.XLOOKUP(A8,'Call Tagging'!A:A,'Call Tagging'!F:F,"No Entry")</f>
        <v>0.95471698113207548</v>
      </c>
      <c r="W8" s="106">
        <f>_xlfn.XLOOKUP(A8,'Avg Dials'!A:A,'Avg Dials'!B:B)</f>
        <v>282.04000000000002</v>
      </c>
      <c r="X8" s="106">
        <f>_xlfn.XLOOKUP(A8,'Avg Dials'!A:A,'Avg Dials'!C:C)</f>
        <v>213.5</v>
      </c>
      <c r="Y8" s="107">
        <f t="shared" si="7"/>
        <v>0</v>
      </c>
      <c r="Z8" s="107">
        <f t="shared" si="8"/>
        <v>0</v>
      </c>
      <c r="AA8" s="107">
        <f t="shared" si="9"/>
        <v>40</v>
      </c>
      <c r="AB8" s="107">
        <f t="shared" si="10"/>
        <v>0</v>
      </c>
      <c r="AC8" s="107">
        <f t="shared" si="3"/>
        <v>0</v>
      </c>
      <c r="AD8" s="107">
        <f t="shared" si="4"/>
        <v>15</v>
      </c>
      <c r="AE8" s="107">
        <f t="shared" si="5"/>
        <v>20</v>
      </c>
      <c r="AF8" s="108">
        <f t="shared" si="11"/>
        <v>75</v>
      </c>
      <c r="AG8" s="104">
        <f t="shared" si="12"/>
        <v>9635.8537500000002</v>
      </c>
      <c r="AH8" s="109">
        <f>_xlfn.XLOOKUP(A8,SOP!A:A,SOP!D:D,0)</f>
        <v>300</v>
      </c>
      <c r="AI8" s="99">
        <f t="shared" si="13"/>
        <v>9335.8537500000002</v>
      </c>
      <c r="AJ8" s="111">
        <f>_xlfn.XLOOKUP(A8,Attendance!F:F,Attendance!BQ:BQ)</f>
        <v>0</v>
      </c>
      <c r="AK8" s="29" t="str">
        <f t="shared" si="14"/>
        <v>NOT ELIGIBLE</v>
      </c>
      <c r="AL8" s="29" t="str">
        <f t="shared" si="15"/>
        <v>NOT ELIGIBLE</v>
      </c>
      <c r="AM8" s="29" t="str">
        <f t="shared" si="16"/>
        <v>NOT ELIGIBLE</v>
      </c>
      <c r="AN8" s="29" t="str">
        <f>_xlfn.XLOOKUP(A8,'3 month performance'!A:A,'3 month performance'!H:H)</f>
        <v>NOT ELIGIBLE</v>
      </c>
      <c r="AO8" s="29" t="str">
        <f t="shared" si="17"/>
        <v>ELIGIBLE</v>
      </c>
      <c r="AP8" s="29" t="str">
        <f t="shared" si="18"/>
        <v>NOT ELIGIBLE</v>
      </c>
    </row>
    <row r="9" spans="1:42" ht="27" customHeight="1" x14ac:dyDescent="0.25">
      <c r="A9" s="102" t="str">
        <v>sushma@nexora.live</v>
      </c>
      <c r="B9" s="103" t="str">
        <f>_xlfn.XLOOKUP(A9,Attendance!F:F,Attendance!B:B)</f>
        <v>E-2235</v>
      </c>
      <c r="C9" s="103" t="str">
        <f>_xlfn.XLOOKUP(A9,Attendance!F:F,Attendance!K:K)</f>
        <v>Saif</v>
      </c>
      <c r="D9" s="103" t="str">
        <f>_xlfn.XLOOKUP(A9,Attendance!F:F,Attendance!J:J)</f>
        <v>New OJT</v>
      </c>
      <c r="E9" s="103">
        <f>_xlfn.XLOOKUP(A9,Attendance!F:F,Attendance!BM:BM)</f>
        <v>15</v>
      </c>
      <c r="F9" s="103">
        <f>_xlfn.XLOOKUP(A9,Attendance!F:F,Attendance!BO:BO)</f>
        <v>12</v>
      </c>
      <c r="G9" s="103">
        <f>_xlfn.XLOOKUP(A9,Attendance!F:F,Attendance!BP:BP)</f>
        <v>3</v>
      </c>
      <c r="H9" s="103">
        <f>COUNTIF('Realised Conversions'!C:C,Report!A9)</f>
        <v>7</v>
      </c>
      <c r="I9" s="103">
        <f>COUNTIFS('Realised Conversions'!C:C,Report!A9,'Realised Conversions'!F:F,"Referral (HOT)")</f>
        <v>1</v>
      </c>
      <c r="J9" s="100" t="str" cm="1">
        <f t="array" ref="J9">_xlfn.LET(_xlpm.own,TRIM('Realised Conversions'!$C$2:$C$5000),_xlpm.ls,TRIM('Realised Conversions'!$F$2:$F$5000),_xlpm.src,_xlfn._xlws.FILTER(_xlpm.ls,(_xlpm.own=TRIM(A9))*(_xlpm.ls&lt;&gt;""),""),IF(INDEX(_xlpm.src,1)="","",_xlfn.LET(_xlpm.u,_xlfn.UNIQUE(_xlpm.src),_xlpm.c,MMULT(--(_xlpm.u=TRANSPOSE(_xlpm.src)),_xlfn.SEQUENCE(ROWS(_xlpm.src),1,1,0)),_xlfn.TEXTJOIN(", ",TRUE,_xlfn.SORTBY(_xlpm.u&amp;": "&amp;_xlpm.c,_xlpm.c,-1)))))</f>
        <v>MAIN WEBSITE (HOT): 4, Whatsapp: 1, Referral (HOT): 1, Telegram: 1</v>
      </c>
      <c r="K9" s="103">
        <f>COUNTIFS('Realised Conversions'!C:C, Report!A9, 'Realised Conversions'!G:G, "&gt;10000")</f>
        <v>1</v>
      </c>
      <c r="L9" s="103">
        <f>COUNTIFS('Realised Conversions'!C:C,Report!A9,'Realised Conversions'!G:G,"&gt;15000")</f>
        <v>0</v>
      </c>
      <c r="M9" s="104">
        <f>SUMIFS('Realised Conversions'!G:G,'Realised Conversions'!C:C,Report!A9,'Realised Conversions'!G:G,"&gt;10000")</f>
        <v>12000</v>
      </c>
      <c r="N9" s="104">
        <f>SUMIFS('Realised Conversions'!G:G,'Realised Conversions'!C:C,Report!A9,'Realised Conversions'!G:G,"&gt;15000")</f>
        <v>0</v>
      </c>
      <c r="O9" s="103">
        <f>SUMIF('Realised Conversions'!C:C,Report!A9,'Realised Conversions'!H:H)</f>
        <v>11</v>
      </c>
      <c r="P9" s="104">
        <f t="shared" si="0"/>
        <v>180</v>
      </c>
      <c r="Q9" s="104">
        <f>SUMIF('Realised Conversions'!N:N,Report!A9,'Realised Conversions'!R:R)</f>
        <v>0</v>
      </c>
      <c r="R9" s="105">
        <f t="shared" si="1"/>
        <v>3920</v>
      </c>
      <c r="S9" s="101">
        <f t="shared" si="6"/>
        <v>0.46666666666666667</v>
      </c>
      <c r="T9" s="101">
        <f t="shared" si="2"/>
        <v>0.14285714285714285</v>
      </c>
      <c r="U9" s="101">
        <f>_xlfn.XLOOKUP(A9,QA!A:A,QA!D:D)</f>
        <v>0.625</v>
      </c>
      <c r="V9" s="101" t="str">
        <f>_xlfn.XLOOKUP(A9,'Call Tagging'!A:A,'Call Tagging'!F:F,"No Entry")</f>
        <v>No Entry</v>
      </c>
      <c r="W9" s="106">
        <f>_xlfn.XLOOKUP(A9,'Avg Dials'!A:A,'Avg Dials'!B:B)</f>
        <v>274.95999999999998</v>
      </c>
      <c r="X9" s="106">
        <f>_xlfn.XLOOKUP(A9,'Avg Dials'!A:A,'Avg Dials'!C:C)</f>
        <v>234.5</v>
      </c>
      <c r="Y9" s="107">
        <f t="shared" si="7"/>
        <v>0</v>
      </c>
      <c r="Z9" s="107">
        <f t="shared" si="8"/>
        <v>15</v>
      </c>
      <c r="AA9" s="107">
        <f t="shared" si="9"/>
        <v>35</v>
      </c>
      <c r="AB9" s="107">
        <f t="shared" si="10"/>
        <v>30</v>
      </c>
      <c r="AC9" s="107">
        <f t="shared" si="3"/>
        <v>0</v>
      </c>
      <c r="AD9" s="107">
        <f t="shared" si="4"/>
        <v>0</v>
      </c>
      <c r="AE9" s="107">
        <f t="shared" si="5"/>
        <v>15</v>
      </c>
      <c r="AF9" s="108">
        <f t="shared" si="11"/>
        <v>95</v>
      </c>
      <c r="AG9" s="104">
        <f t="shared" si="12"/>
        <v>3724</v>
      </c>
      <c r="AH9" s="109">
        <f>_xlfn.XLOOKUP(A9,SOP!A:A,SOP!D:D,0)</f>
        <v>150</v>
      </c>
      <c r="AI9" s="99">
        <f t="shared" si="13"/>
        <v>3574</v>
      </c>
      <c r="AJ9" s="111">
        <f>_xlfn.XLOOKUP(A9,Attendance!F:F,Attendance!BQ:BQ)</f>
        <v>1.5</v>
      </c>
      <c r="AK9" s="29" t="str">
        <f t="shared" si="14"/>
        <v>NOT ELIGIBLE</v>
      </c>
      <c r="AL9" s="29" t="str">
        <f t="shared" si="15"/>
        <v>NOT ELIGIBLE</v>
      </c>
      <c r="AM9" s="29" t="str">
        <f t="shared" si="16"/>
        <v>NOT ELIGIBLE</v>
      </c>
      <c r="AN9" s="29" t="str">
        <f>_xlfn.XLOOKUP(A9,'3 month performance'!A:A,'3 month performance'!H:H)</f>
        <v>ELIGIBLE</v>
      </c>
      <c r="AO9" s="29" t="str">
        <f t="shared" si="17"/>
        <v>ELIGIBLE</v>
      </c>
      <c r="AP9" s="29" t="str">
        <f t="shared" si="18"/>
        <v>NOT ELIGIBLE</v>
      </c>
    </row>
    <row r="10" spans="1:42" ht="27" customHeight="1" x14ac:dyDescent="0.25">
      <c r="A10" s="102" t="str">
        <v>divya.d@nexora.live</v>
      </c>
      <c r="B10" s="103" t="str">
        <f>_xlfn.XLOOKUP(A10,Attendance!F:F,Attendance!B:B)</f>
        <v>E-2236</v>
      </c>
      <c r="C10" s="103" t="str">
        <f>_xlfn.XLOOKUP(A10,Attendance!F:F,Attendance!K:K)</f>
        <v>Saif</v>
      </c>
      <c r="D10" s="103" t="str">
        <f>_xlfn.XLOOKUP(A10,Attendance!F:F,Attendance!J:J)</f>
        <v>New OJT</v>
      </c>
      <c r="E10" s="103">
        <f>_xlfn.XLOOKUP(A10,Attendance!F:F,Attendance!BM:BM)</f>
        <v>15</v>
      </c>
      <c r="F10" s="103">
        <f>_xlfn.XLOOKUP(A10,Attendance!F:F,Attendance!BO:BO)</f>
        <v>12</v>
      </c>
      <c r="G10" s="103">
        <f>_xlfn.XLOOKUP(A10,Attendance!F:F,Attendance!BP:BP)</f>
        <v>3</v>
      </c>
      <c r="H10" s="103">
        <f>COUNTIF('Realised Conversions'!C:C,Report!A10)</f>
        <v>16</v>
      </c>
      <c r="I10" s="103">
        <f>COUNTIFS('Realised Conversions'!C:C,Report!A10,'Realised Conversions'!F:F,"Referral (HOT)")</f>
        <v>2</v>
      </c>
      <c r="J10" s="100" t="str" cm="1">
        <f t="array" ref="J10">_xlfn.LET(_xlpm.own,TRIM('Realised Conversions'!$C$2:$C$5000),_xlpm.ls,TRIM('Realised Conversions'!$F$2:$F$5000),_xlpm.src,_xlfn._xlws.FILTER(_xlpm.ls,(_xlpm.own=TRIM(A10))*(_xlpm.ls&lt;&gt;""),""),IF(INDEX(_xlpm.src,1)="","",_xlfn.LET(_xlpm.u,_xlfn.UNIQUE(_xlpm.src),_xlpm.c,MMULT(--(_xlpm.u=TRANSPOSE(_xlpm.src)),_xlfn.SEQUENCE(ROWS(_xlpm.src),1,1,0)),_xlfn.TEXTJOIN(", ",TRUE,_xlfn.SORTBY(_xlpm.u&amp;": "&amp;_xlpm.c,_xlpm.c,-1)))))</f>
        <v>MAIN WEBSITE (HOT): 5, MAIN WEBSITE (HOT) 1: 4, Meta Crypto: 2, Referral (HOT): 2, META3: 1, Telegram: 1, META6: 1</v>
      </c>
      <c r="K10" s="103">
        <f>COUNTIFS('Realised Conversions'!C:C, Report!A10, 'Realised Conversions'!G:G, "&gt;10000")</f>
        <v>0</v>
      </c>
      <c r="L10" s="103">
        <f>COUNTIFS('Realised Conversions'!C:C,Report!A10,'Realised Conversions'!G:G,"&gt;15000")</f>
        <v>0</v>
      </c>
      <c r="M10" s="104">
        <f>SUMIFS('Realised Conversions'!G:G,'Realised Conversions'!C:C,Report!A10,'Realised Conversions'!G:G,"&gt;10000")</f>
        <v>0</v>
      </c>
      <c r="N10" s="104">
        <f>SUMIFS('Realised Conversions'!G:G,'Realised Conversions'!C:C,Report!A10,'Realised Conversions'!G:G,"&gt;15000")</f>
        <v>0</v>
      </c>
      <c r="O10" s="103">
        <f>SUMIF('Realised Conversions'!C:C,Report!A10,'Realised Conversions'!H:H)</f>
        <v>27</v>
      </c>
      <c r="P10" s="104">
        <f t="shared" si="0"/>
        <v>0</v>
      </c>
      <c r="Q10" s="104">
        <f>SUMIF('Realised Conversions'!N:N,Report!A10,'Realised Conversions'!R:R)</f>
        <v>0</v>
      </c>
      <c r="R10" s="105">
        <f t="shared" si="1"/>
        <v>4160</v>
      </c>
      <c r="S10" s="101">
        <f t="shared" si="6"/>
        <v>1.0666666666666667</v>
      </c>
      <c r="T10" s="101">
        <f t="shared" si="2"/>
        <v>0</v>
      </c>
      <c r="U10" s="101">
        <f>_xlfn.XLOOKUP(A10,QA!A:A,QA!D:D)</f>
        <v>0.876470588235294</v>
      </c>
      <c r="V10" s="101" t="str">
        <f>_xlfn.XLOOKUP(A10,'Call Tagging'!A:A,'Call Tagging'!F:F,"No Entry")</f>
        <v>No Entry</v>
      </c>
      <c r="W10" s="106">
        <f>_xlfn.XLOOKUP(A10,'Avg Dials'!A:A,'Avg Dials'!B:B)</f>
        <v>303.89</v>
      </c>
      <c r="X10" s="106">
        <f>_xlfn.XLOOKUP(A10,'Avg Dials'!A:A,'Avg Dials'!C:C)</f>
        <v>251.59</v>
      </c>
      <c r="Y10" s="107">
        <f t="shared" si="7"/>
        <v>45</v>
      </c>
      <c r="Z10" s="107">
        <f t="shared" si="8"/>
        <v>15</v>
      </c>
      <c r="AA10" s="107">
        <f t="shared" si="9"/>
        <v>35</v>
      </c>
      <c r="AB10" s="107">
        <f t="shared" si="10"/>
        <v>35</v>
      </c>
      <c r="AC10" s="107">
        <f t="shared" si="3"/>
        <v>0</v>
      </c>
      <c r="AD10" s="107">
        <f t="shared" si="4"/>
        <v>15</v>
      </c>
      <c r="AE10" s="107">
        <f t="shared" si="5"/>
        <v>15</v>
      </c>
      <c r="AF10" s="108">
        <f t="shared" si="11"/>
        <v>160</v>
      </c>
      <c r="AG10" s="104">
        <f t="shared" si="12"/>
        <v>6656</v>
      </c>
      <c r="AH10" s="109">
        <v>0</v>
      </c>
      <c r="AI10" s="99">
        <f t="shared" si="13"/>
        <v>6656</v>
      </c>
      <c r="AJ10" s="111">
        <f>_xlfn.XLOOKUP(A10,Attendance!F:F,Attendance!BQ:BQ)</f>
        <v>0</v>
      </c>
      <c r="AK10" s="29" t="str">
        <f t="shared" si="14"/>
        <v>ELIGIBLE</v>
      </c>
      <c r="AL10" s="29" t="str">
        <f t="shared" si="15"/>
        <v>ELIGIBLE</v>
      </c>
      <c r="AM10" s="29" t="str">
        <f t="shared" si="16"/>
        <v>NOT ELIGIBLE</v>
      </c>
      <c r="AN10" s="29" t="str">
        <f>_xlfn.XLOOKUP(A10,'3 month performance'!A:A,'3 month performance'!H:H)</f>
        <v>ELIGIBLE</v>
      </c>
      <c r="AO10" s="29" t="str">
        <f t="shared" si="17"/>
        <v>ELIGIBLE</v>
      </c>
      <c r="AP10" s="29" t="str">
        <f t="shared" si="18"/>
        <v>NOT ELIGIBLE</v>
      </c>
    </row>
    <row r="11" spans="1:42" ht="27" customHeight="1" x14ac:dyDescent="0.25">
      <c r="A11" s="102" t="str">
        <v>deepraj@nexora.live</v>
      </c>
      <c r="B11" s="103" t="str">
        <f>_xlfn.XLOOKUP(A11,Attendance!F:F,Attendance!B:B)</f>
        <v>E-2237</v>
      </c>
      <c r="C11" s="103" t="str">
        <f>_xlfn.XLOOKUP(A11,Attendance!F:F,Attendance!K:K)</f>
        <v>Saif</v>
      </c>
      <c r="D11" s="103" t="str">
        <f>_xlfn.XLOOKUP(A11,Attendance!F:F,Attendance!J:J)</f>
        <v>New OJT</v>
      </c>
      <c r="E11" s="103">
        <f>_xlfn.XLOOKUP(A11,Attendance!F:F,Attendance!BM:BM)</f>
        <v>15</v>
      </c>
      <c r="F11" s="103">
        <f>_xlfn.XLOOKUP(A11,Attendance!F:F,Attendance!BO:BO)</f>
        <v>12</v>
      </c>
      <c r="G11" s="103">
        <f>_xlfn.XLOOKUP(A11,Attendance!F:F,Attendance!BP:BP)</f>
        <v>3</v>
      </c>
      <c r="H11" s="103">
        <f>COUNTIF('Realised Conversions'!C:C,Report!A11)</f>
        <v>9</v>
      </c>
      <c r="I11" s="103">
        <f>COUNTIFS('Realised Conversions'!C:C,Report!A11,'Realised Conversions'!F:F,"Referral (HOT)")</f>
        <v>2</v>
      </c>
      <c r="J11" s="100" t="str" cm="1">
        <f t="array" ref="J11">_xlfn.LET(_xlpm.own,TRIM('Realised Conversions'!$C$2:$C$5000),_xlpm.ls,TRIM('Realised Conversions'!$F$2:$F$5000),_xlpm.src,_xlfn._xlws.FILTER(_xlpm.ls,(_xlpm.own=TRIM(A11))*(_xlpm.ls&lt;&gt;""),""),IF(INDEX(_xlpm.src,1)="","",_xlfn.LET(_xlpm.u,_xlfn.UNIQUE(_xlpm.src),_xlpm.c,MMULT(--(_xlpm.u=TRANSPOSE(_xlpm.src)),_xlfn.SEQUENCE(ROWS(_xlpm.src),1,1,0)),_xlfn.TEXTJOIN(", ",TRUE,_xlfn.SORTBY(_xlpm.u&amp;": "&amp;_xlpm.c,_xlpm.c,-1)))))</f>
        <v>MAIN WEBSITE (HOT): 3, MAIN WEBSITE (HOT) 1: 2, META3: 2, Referral (HOT): 2</v>
      </c>
      <c r="K11" s="103">
        <f>COUNTIFS('Realised Conversions'!C:C, Report!A11, 'Realised Conversions'!G:G, "&gt;10000")</f>
        <v>0</v>
      </c>
      <c r="L11" s="103">
        <f>COUNTIFS('Realised Conversions'!C:C,Report!A11,'Realised Conversions'!G:G,"&gt;15000")</f>
        <v>0</v>
      </c>
      <c r="M11" s="104">
        <f>SUMIFS('Realised Conversions'!G:G,'Realised Conversions'!C:C,Report!A11,'Realised Conversions'!G:G,"&gt;10000")</f>
        <v>0</v>
      </c>
      <c r="N11" s="104">
        <f>SUMIFS('Realised Conversions'!G:G,'Realised Conversions'!C:C,Report!A11,'Realised Conversions'!G:G,"&gt;15000")</f>
        <v>0</v>
      </c>
      <c r="O11" s="103">
        <f>SUMIF('Realised Conversions'!C:C,Report!A11,'Realised Conversions'!H:H)</f>
        <v>17</v>
      </c>
      <c r="P11" s="104">
        <f t="shared" si="0"/>
        <v>0</v>
      </c>
      <c r="Q11" s="104">
        <f>SUMIF('Realised Conversions'!N:N,Report!A11,'Realised Conversions'!R:R)</f>
        <v>500</v>
      </c>
      <c r="R11" s="105">
        <f t="shared" si="1"/>
        <v>4480</v>
      </c>
      <c r="S11" s="101">
        <f t="shared" si="6"/>
        <v>0.6</v>
      </c>
      <c r="T11" s="101">
        <f t="shared" si="2"/>
        <v>0</v>
      </c>
      <c r="U11" s="101">
        <f>_xlfn.XLOOKUP(A11,QA!A:A,QA!D:D)</f>
        <v>0.86249999999999982</v>
      </c>
      <c r="V11" s="101" t="str">
        <f>_xlfn.XLOOKUP(A11,'Call Tagging'!A:A,'Call Tagging'!F:F,"No Entry")</f>
        <v>No Entry</v>
      </c>
      <c r="W11" s="106">
        <f>_xlfn.XLOOKUP(A11,'Avg Dials'!A:A,'Avg Dials'!B:B)</f>
        <v>277.48</v>
      </c>
      <c r="X11" s="106">
        <f>_xlfn.XLOOKUP(A11,'Avg Dials'!A:A,'Avg Dials'!C:C)</f>
        <v>155.37</v>
      </c>
      <c r="Y11" s="107">
        <f t="shared" si="7"/>
        <v>0</v>
      </c>
      <c r="Z11" s="107">
        <f t="shared" si="8"/>
        <v>15</v>
      </c>
      <c r="AA11" s="107">
        <f t="shared" si="9"/>
        <v>10</v>
      </c>
      <c r="AB11" s="107">
        <f t="shared" si="10"/>
        <v>30</v>
      </c>
      <c r="AC11" s="107">
        <f t="shared" si="3"/>
        <v>25</v>
      </c>
      <c r="AD11" s="107">
        <f t="shared" si="4"/>
        <v>15</v>
      </c>
      <c r="AE11" s="107">
        <f t="shared" si="5"/>
        <v>15</v>
      </c>
      <c r="AF11" s="108">
        <f t="shared" si="11"/>
        <v>110</v>
      </c>
      <c r="AG11" s="104">
        <f t="shared" si="12"/>
        <v>4928</v>
      </c>
      <c r="AH11" s="109">
        <f>_xlfn.XLOOKUP(A11,SOP!A:A,SOP!D:D,0)</f>
        <v>450</v>
      </c>
      <c r="AI11" s="99">
        <f t="shared" si="13"/>
        <v>4478</v>
      </c>
      <c r="AJ11" s="111">
        <f>_xlfn.XLOOKUP(A11,Attendance!F:F,Attendance!BQ:BQ)</f>
        <v>0</v>
      </c>
      <c r="AK11" s="29" t="str">
        <f t="shared" si="14"/>
        <v>NOT ELIGIBLE</v>
      </c>
      <c r="AL11" s="29" t="str">
        <f t="shared" si="15"/>
        <v>NOT ELIGIBLE</v>
      </c>
      <c r="AM11" s="29" t="str">
        <f t="shared" si="16"/>
        <v>NOT ELIGIBLE</v>
      </c>
      <c r="AN11" s="29" t="str">
        <f>_xlfn.XLOOKUP(A11,'3 month performance'!A:A,'3 month performance'!H:H)</f>
        <v>ELIGIBLE</v>
      </c>
      <c r="AO11" s="29" t="str">
        <f t="shared" si="17"/>
        <v>ELIGIBLE</v>
      </c>
      <c r="AP11" s="29" t="str">
        <f t="shared" si="18"/>
        <v>NOT ELIGIBLE</v>
      </c>
    </row>
    <row r="12" spans="1:42" ht="27" customHeight="1" x14ac:dyDescent="0.25">
      <c r="A12" s="102" t="str">
        <v>nitish@nexora.live</v>
      </c>
      <c r="B12" s="103" t="str">
        <f>_xlfn.XLOOKUP(A12,Attendance!F:F,Attendance!B:B)</f>
        <v>E-2238</v>
      </c>
      <c r="C12" s="103" t="str">
        <f>_xlfn.XLOOKUP(A12,Attendance!F:F,Attendance!K:K)</f>
        <v>Saif</v>
      </c>
      <c r="D12" s="103" t="str">
        <f>_xlfn.XLOOKUP(A12,Attendance!F:F,Attendance!J:J)</f>
        <v>New OJT</v>
      </c>
      <c r="E12" s="103">
        <f>_xlfn.XLOOKUP(A12,Attendance!F:F,Attendance!BM:BM)</f>
        <v>15</v>
      </c>
      <c r="F12" s="103">
        <f>_xlfn.XLOOKUP(A12,Attendance!F:F,Attendance!BO:BO)</f>
        <v>12</v>
      </c>
      <c r="G12" s="103">
        <f>_xlfn.XLOOKUP(A12,Attendance!F:F,Attendance!BP:BP)</f>
        <v>3</v>
      </c>
      <c r="H12" s="103">
        <f>COUNTIF('Realised Conversions'!C:C,Report!A12)</f>
        <v>12</v>
      </c>
      <c r="I12" s="103">
        <f>COUNTIFS('Realised Conversions'!C:C,Report!A12,'Realised Conversions'!F:F,"Referral (HOT)")</f>
        <v>0</v>
      </c>
      <c r="J12" s="100" t="str" cm="1">
        <f t="array" ref="J12">_xlfn.LET(_xlpm.own,TRIM('Realised Conversions'!$C$2:$C$5000),_xlpm.ls,TRIM('Realised Conversions'!$F$2:$F$5000),_xlpm.src,_xlfn._xlws.FILTER(_xlpm.ls,(_xlpm.own=TRIM(A12))*(_xlpm.ls&lt;&gt;""),""),IF(INDEX(_xlpm.src,1)="","",_xlfn.LET(_xlpm.u,_xlfn.UNIQUE(_xlpm.src),_xlpm.c,MMULT(--(_xlpm.u=TRANSPOSE(_xlpm.src)),_xlfn.SEQUENCE(ROWS(_xlpm.src),1,1,0)),_xlfn.TEXTJOIN(", ",TRUE,_xlfn.SORTBY(_xlpm.u&amp;": "&amp;_xlpm.c,_xlpm.c,-1)))))</f>
        <v>MAIN WEBSITE (HOT): 8, META3: 3, MAIN WEBSITE (HOT) 1: 1</v>
      </c>
      <c r="K12" s="103">
        <f>COUNTIFS('Realised Conversions'!C:C, Report!A12, 'Realised Conversions'!G:G, "&gt;10000")</f>
        <v>1</v>
      </c>
      <c r="L12" s="103">
        <f>COUNTIFS('Realised Conversions'!C:C,Report!A12,'Realised Conversions'!G:G,"&gt;15000")</f>
        <v>1</v>
      </c>
      <c r="M12" s="104">
        <f>SUMIFS('Realised Conversions'!G:G,'Realised Conversions'!C:C,Report!A12,'Realised Conversions'!G:G,"&gt;10000")</f>
        <v>100048</v>
      </c>
      <c r="N12" s="104">
        <f>SUMIFS('Realised Conversions'!G:G,'Realised Conversions'!C:C,Report!A12,'Realised Conversions'!G:G,"&gt;15000")</f>
        <v>100048</v>
      </c>
      <c r="O12" s="103">
        <f>SUMIF('Realised Conversions'!C:C,Report!A12,'Realised Conversions'!H:H)</f>
        <v>18</v>
      </c>
      <c r="P12" s="104">
        <f t="shared" si="0"/>
        <v>1500.72</v>
      </c>
      <c r="Q12" s="104">
        <f>SUMIF('Realised Conversions'!N:N,Report!A12,'Realised Conversions'!R:R)</f>
        <v>500</v>
      </c>
      <c r="R12" s="105">
        <f t="shared" si="1"/>
        <v>5860.72</v>
      </c>
      <c r="S12" s="101">
        <f t="shared" si="6"/>
        <v>0.8</v>
      </c>
      <c r="T12" s="101">
        <f t="shared" si="2"/>
        <v>8.3333333333333329E-2</v>
      </c>
      <c r="U12" s="101">
        <f>_xlfn.XLOOKUP(A12,QA!A:A,QA!D:D)</f>
        <v>0.83235294117647052</v>
      </c>
      <c r="V12" s="101" t="str">
        <f>_xlfn.XLOOKUP(A12,'Call Tagging'!A:A,'Call Tagging'!F:F,"No Entry")</f>
        <v>No Entry</v>
      </c>
      <c r="W12" s="106">
        <f>_xlfn.XLOOKUP(A12,'Avg Dials'!A:A,'Avg Dials'!B:B)</f>
        <v>282.08</v>
      </c>
      <c r="X12" s="106">
        <f>_xlfn.XLOOKUP(A12,'Avg Dials'!A:A,'Avg Dials'!C:C)</f>
        <v>220.88</v>
      </c>
      <c r="Y12" s="107">
        <f t="shared" si="7"/>
        <v>25</v>
      </c>
      <c r="Z12" s="107">
        <f t="shared" si="8"/>
        <v>0</v>
      </c>
      <c r="AA12" s="107">
        <f t="shared" si="9"/>
        <v>35</v>
      </c>
      <c r="AB12" s="107">
        <f t="shared" si="10"/>
        <v>35</v>
      </c>
      <c r="AC12" s="107">
        <f t="shared" si="3"/>
        <v>25</v>
      </c>
      <c r="AD12" s="107">
        <f t="shared" si="4"/>
        <v>10</v>
      </c>
      <c r="AE12" s="107">
        <f t="shared" si="5"/>
        <v>15</v>
      </c>
      <c r="AF12" s="108">
        <f t="shared" si="11"/>
        <v>145</v>
      </c>
      <c r="AG12" s="104">
        <f t="shared" si="12"/>
        <v>8498.0439999999999</v>
      </c>
      <c r="AH12" s="109">
        <f>_xlfn.XLOOKUP(A12,SOP!A:A,SOP!D:D,0)</f>
        <v>150</v>
      </c>
      <c r="AI12" s="99">
        <f t="shared" si="13"/>
        <v>8348.0439999999999</v>
      </c>
      <c r="AJ12" s="111">
        <f>_xlfn.XLOOKUP(A12,Attendance!F:F,Attendance!BQ:BQ)</f>
        <v>2.5</v>
      </c>
      <c r="AK12" s="29" t="str">
        <f t="shared" si="14"/>
        <v>ELIGIBLE</v>
      </c>
      <c r="AL12" s="29" t="str">
        <f t="shared" si="15"/>
        <v>ELIGIBLE</v>
      </c>
      <c r="AM12" s="29" t="str">
        <f t="shared" si="16"/>
        <v>NOT ELIGIBLE</v>
      </c>
      <c r="AN12" s="29" t="str">
        <f>_xlfn.XLOOKUP(A12,'3 month performance'!A:A,'3 month performance'!H:H)</f>
        <v>ELIGIBLE</v>
      </c>
      <c r="AO12" s="29" t="str">
        <f t="shared" si="17"/>
        <v>NOT ELIGIBLE</v>
      </c>
      <c r="AP12" s="29" t="str">
        <f t="shared" si="18"/>
        <v>NOT ELIGIBLE</v>
      </c>
    </row>
    <row r="13" spans="1:42" ht="27" customHeight="1" x14ac:dyDescent="0.25">
      <c r="A13" s="102" t="str">
        <v>akhil@nexora.live</v>
      </c>
      <c r="B13" s="103" t="str">
        <f>_xlfn.XLOOKUP(A13,Attendance!F:F,Attendance!B:B)</f>
        <v>E-2239</v>
      </c>
      <c r="C13" s="103" t="str">
        <f>_xlfn.XLOOKUP(A13,Attendance!F:F,Attendance!K:K)</f>
        <v>Saif</v>
      </c>
      <c r="D13" s="103" t="str">
        <f>_xlfn.XLOOKUP(A13,Attendance!F:F,Attendance!J:J)</f>
        <v>New OJT</v>
      </c>
      <c r="E13" s="103">
        <f>_xlfn.XLOOKUP(A13,Attendance!F:F,Attendance!BM:BM)</f>
        <v>15</v>
      </c>
      <c r="F13" s="103">
        <f>_xlfn.XLOOKUP(A13,Attendance!F:F,Attendance!BO:BO)</f>
        <v>12</v>
      </c>
      <c r="G13" s="103">
        <f>_xlfn.XLOOKUP(A13,Attendance!F:F,Attendance!BP:BP)</f>
        <v>3</v>
      </c>
      <c r="H13" s="103">
        <f>COUNTIF('Realised Conversions'!C:C,Report!A13)</f>
        <v>9</v>
      </c>
      <c r="I13" s="103">
        <f>COUNTIFS('Realised Conversions'!C:C,Report!A13,'Realised Conversions'!F:F,"Referral (HOT)")</f>
        <v>1</v>
      </c>
      <c r="J13" s="100" t="str" cm="1">
        <f t="array" ref="J13">_xlfn.LET(_xlpm.own,TRIM('Realised Conversions'!$C$2:$C$5000),_xlpm.ls,TRIM('Realised Conversions'!$F$2:$F$5000),_xlpm.src,_xlfn._xlws.FILTER(_xlpm.ls,(_xlpm.own=TRIM(A13))*(_xlpm.ls&lt;&gt;""),""),IF(INDEX(_xlpm.src,1)="","",_xlfn.LET(_xlpm.u,_xlfn.UNIQUE(_xlpm.src),_xlpm.c,MMULT(--(_xlpm.u=TRANSPOSE(_xlpm.src)),_xlfn.SEQUENCE(ROWS(_xlpm.src),1,1,0)),_xlfn.TEXTJOIN(", ",TRUE,_xlfn.SORTBY(_xlpm.u&amp;": "&amp;_xlpm.c,_xlpm.c,-1)))))</f>
        <v>META3: 3, MAIN WEBSITE (HOT): 2, Telegram: 1, Referral (HOT): 1, Premium: 1, META2: 1</v>
      </c>
      <c r="K13" s="103">
        <f>COUNTIFS('Realised Conversions'!C:C, Report!A13, 'Realised Conversions'!G:G, "&gt;10000")</f>
        <v>0</v>
      </c>
      <c r="L13" s="103">
        <f>COUNTIFS('Realised Conversions'!C:C,Report!A13,'Realised Conversions'!G:G,"&gt;15000")</f>
        <v>0</v>
      </c>
      <c r="M13" s="104">
        <f>SUMIFS('Realised Conversions'!G:G,'Realised Conversions'!C:C,Report!A13,'Realised Conversions'!G:G,"&gt;10000")</f>
        <v>0</v>
      </c>
      <c r="N13" s="104">
        <f>SUMIFS('Realised Conversions'!G:G,'Realised Conversions'!C:C,Report!A13,'Realised Conversions'!G:G,"&gt;15000")</f>
        <v>0</v>
      </c>
      <c r="O13" s="103">
        <f>SUMIF('Realised Conversions'!C:C,Report!A13,'Realised Conversions'!H:H)</f>
        <v>21</v>
      </c>
      <c r="P13" s="104">
        <f t="shared" si="0"/>
        <v>0</v>
      </c>
      <c r="Q13" s="104">
        <f>SUMIF('Realised Conversions'!N:N,Report!A13,'Realised Conversions'!R:R)</f>
        <v>700</v>
      </c>
      <c r="R13" s="105">
        <f t="shared" si="1"/>
        <v>4920</v>
      </c>
      <c r="S13" s="101">
        <f t="shared" si="6"/>
        <v>0.6</v>
      </c>
      <c r="T13" s="101">
        <f t="shared" si="2"/>
        <v>0</v>
      </c>
      <c r="U13" s="101">
        <f>_xlfn.XLOOKUP(A13,QA!A:A,QA!D:D)</f>
        <v>0.58529411764705874</v>
      </c>
      <c r="V13" s="101" t="str">
        <f>_xlfn.XLOOKUP(A13,'Call Tagging'!A:A,'Call Tagging'!F:F,"No Entry")</f>
        <v>No Entry</v>
      </c>
      <c r="W13" s="106">
        <f>_xlfn.XLOOKUP(A13,'Avg Dials'!A:A,'Avg Dials'!B:B)</f>
        <v>286.13</v>
      </c>
      <c r="X13" s="106">
        <f>_xlfn.XLOOKUP(A13,'Avg Dials'!A:A,'Avg Dials'!C:C)</f>
        <v>230.96</v>
      </c>
      <c r="Y13" s="107">
        <f t="shared" si="7"/>
        <v>0</v>
      </c>
      <c r="Z13" s="107">
        <f t="shared" si="8"/>
        <v>15</v>
      </c>
      <c r="AA13" s="107">
        <f t="shared" si="9"/>
        <v>35</v>
      </c>
      <c r="AB13" s="107">
        <f t="shared" si="10"/>
        <v>35</v>
      </c>
      <c r="AC13" s="107">
        <f t="shared" si="3"/>
        <v>25</v>
      </c>
      <c r="AD13" s="107">
        <f t="shared" si="4"/>
        <v>0</v>
      </c>
      <c r="AE13" s="107">
        <f t="shared" si="5"/>
        <v>15</v>
      </c>
      <c r="AF13" s="108">
        <f t="shared" si="11"/>
        <v>125</v>
      </c>
      <c r="AG13" s="104">
        <f t="shared" si="12"/>
        <v>6150</v>
      </c>
      <c r="AH13" s="109">
        <f>_xlfn.XLOOKUP(A13,SOP!A:A,SOP!D:D,0)</f>
        <v>0</v>
      </c>
      <c r="AI13" s="99">
        <f t="shared" si="13"/>
        <v>6150</v>
      </c>
      <c r="AJ13" s="111">
        <f>_xlfn.XLOOKUP(A13,Attendance!F:F,Attendance!BQ:BQ)</f>
        <v>0</v>
      </c>
      <c r="AK13" s="29" t="str">
        <f t="shared" si="14"/>
        <v>ELIGIBLE</v>
      </c>
      <c r="AL13" s="29" t="str">
        <f t="shared" si="15"/>
        <v>NOT ELIGIBLE</v>
      </c>
      <c r="AM13" s="29" t="str">
        <f t="shared" si="16"/>
        <v>NOT ELIGIBLE</v>
      </c>
      <c r="AN13" s="29" t="str">
        <f>_xlfn.XLOOKUP(A13,'3 month performance'!A:A,'3 month performance'!H:H)</f>
        <v>ELIGIBLE</v>
      </c>
      <c r="AO13" s="29" t="str">
        <f t="shared" si="17"/>
        <v>ELIGIBLE</v>
      </c>
      <c r="AP13" s="29" t="str">
        <f t="shared" si="18"/>
        <v>NOT ELIGIBLE</v>
      </c>
    </row>
    <row r="14" spans="1:42" ht="27" customHeight="1" x14ac:dyDescent="0.25">
      <c r="A14" s="102" t="str">
        <v>sumanth@nexora.live</v>
      </c>
      <c r="B14" s="103" t="str">
        <f>_xlfn.XLOOKUP(A14,Attendance!F:F,Attendance!B:B)</f>
        <v>E-2241</v>
      </c>
      <c r="C14" s="103" t="str">
        <f>_xlfn.XLOOKUP(A14,Attendance!F:F,Attendance!K:K)</f>
        <v>Saif</v>
      </c>
      <c r="D14" s="103" t="str">
        <f>_xlfn.XLOOKUP(A14,Attendance!F:F,Attendance!J:J)</f>
        <v>New OJT</v>
      </c>
      <c r="E14" s="103">
        <f>_xlfn.XLOOKUP(A14,Attendance!F:F,Attendance!BM:BM)</f>
        <v>15</v>
      </c>
      <c r="F14" s="103">
        <f>_xlfn.XLOOKUP(A14,Attendance!F:F,Attendance!BO:BO)</f>
        <v>12</v>
      </c>
      <c r="G14" s="103">
        <f>_xlfn.XLOOKUP(A14,Attendance!F:F,Attendance!BP:BP)</f>
        <v>3</v>
      </c>
      <c r="H14" s="103">
        <f>COUNTIF('Realised Conversions'!C:C,Report!A14)</f>
        <v>8</v>
      </c>
      <c r="I14" s="103">
        <f>COUNTIFS('Realised Conversions'!C:C,Report!A14,'Realised Conversions'!F:F,"Referral (HOT)")</f>
        <v>0</v>
      </c>
      <c r="J14" s="100" t="str" cm="1">
        <f t="array" ref="J14">_xlfn.LET(_xlpm.own,TRIM('Realised Conversions'!$C$2:$C$5000),_xlpm.ls,TRIM('Realised Conversions'!$F$2:$F$5000),_xlpm.src,_xlfn._xlws.FILTER(_xlpm.ls,(_xlpm.own=TRIM(A14))*(_xlpm.ls&lt;&gt;""),""),IF(INDEX(_xlpm.src,1)="","",_xlfn.LET(_xlpm.u,_xlfn.UNIQUE(_xlpm.src),_xlpm.c,MMULT(--(_xlpm.u=TRANSPOSE(_xlpm.src)),_xlfn.SEQUENCE(ROWS(_xlpm.src),1,1,0)),_xlfn.TEXTJOIN(", ",TRUE,_xlfn.SORTBY(_xlpm.u&amp;": "&amp;_xlpm.c,_xlpm.c,-1)))))</f>
        <v>MAIN WEBSITE (HOT): 2, Instagram: 2, MAIN WEBSITE (HOT) 1: 2, META3: 1, Telegram: 1</v>
      </c>
      <c r="K14" s="103">
        <f>COUNTIFS('Realised Conversions'!C:C, Report!A14, 'Realised Conversions'!G:G, "&gt;10000")</f>
        <v>0</v>
      </c>
      <c r="L14" s="103">
        <f>COUNTIFS('Realised Conversions'!C:C,Report!A14,'Realised Conversions'!G:G,"&gt;15000")</f>
        <v>0</v>
      </c>
      <c r="M14" s="104">
        <f>SUMIFS('Realised Conversions'!G:G,'Realised Conversions'!C:C,Report!A14,'Realised Conversions'!G:G,"&gt;10000")</f>
        <v>0</v>
      </c>
      <c r="N14" s="104">
        <f>SUMIFS('Realised Conversions'!G:G,'Realised Conversions'!C:C,Report!A14,'Realised Conversions'!G:G,"&gt;15000")</f>
        <v>0</v>
      </c>
      <c r="O14" s="103">
        <f>SUMIF('Realised Conversions'!C:C,Report!A14,'Realised Conversions'!H:H)</f>
        <v>13</v>
      </c>
      <c r="P14" s="104">
        <f t="shared" si="0"/>
        <v>0</v>
      </c>
      <c r="Q14" s="104">
        <f>SUMIF('Realised Conversions'!N:N,Report!A14,'Realised Conversions'!R:R)</f>
        <v>0</v>
      </c>
      <c r="R14" s="105">
        <f t="shared" si="1"/>
        <v>3800</v>
      </c>
      <c r="S14" s="101">
        <f t="shared" si="6"/>
        <v>0.53333333333333333</v>
      </c>
      <c r="T14" s="101">
        <f t="shared" si="2"/>
        <v>0</v>
      </c>
      <c r="U14" s="101">
        <f>_xlfn.XLOOKUP(A14,QA!A:A,QA!D:D)</f>
        <v>0.86764705882352955</v>
      </c>
      <c r="V14" s="101" t="str">
        <f>_xlfn.XLOOKUP(A14,'Call Tagging'!A:A,'Call Tagging'!F:F,"No Entry")</f>
        <v>No Entry</v>
      </c>
      <c r="W14" s="106">
        <f>_xlfn.XLOOKUP(A14,'Avg Dials'!A:A,'Avg Dials'!B:B)</f>
        <v>265.95999999999998</v>
      </c>
      <c r="X14" s="106">
        <f>_xlfn.XLOOKUP(A14,'Avg Dials'!A:A,'Avg Dials'!C:C)</f>
        <v>207.38</v>
      </c>
      <c r="Y14" s="107">
        <f t="shared" si="7"/>
        <v>0</v>
      </c>
      <c r="Z14" s="107">
        <f t="shared" si="8"/>
        <v>0</v>
      </c>
      <c r="AA14" s="107">
        <f t="shared" si="9"/>
        <v>35</v>
      </c>
      <c r="AB14" s="107">
        <f t="shared" si="10"/>
        <v>30</v>
      </c>
      <c r="AC14" s="107">
        <f t="shared" si="3"/>
        <v>0</v>
      </c>
      <c r="AD14" s="107">
        <f t="shared" si="4"/>
        <v>15</v>
      </c>
      <c r="AE14" s="107">
        <f t="shared" si="5"/>
        <v>15</v>
      </c>
      <c r="AF14" s="108">
        <f t="shared" si="11"/>
        <v>95</v>
      </c>
      <c r="AG14" s="104">
        <f t="shared" si="12"/>
        <v>3610</v>
      </c>
      <c r="AH14" s="109">
        <f>_xlfn.XLOOKUP(A14,SOP!A:A,SOP!D:D,0)</f>
        <v>0</v>
      </c>
      <c r="AI14" s="99">
        <f t="shared" si="13"/>
        <v>3610</v>
      </c>
      <c r="AJ14" s="111">
        <f>_xlfn.XLOOKUP(A14,Attendance!F:F,Attendance!BQ:BQ)</f>
        <v>0</v>
      </c>
      <c r="AK14" s="29" t="str">
        <f t="shared" si="14"/>
        <v>NOT ELIGIBLE</v>
      </c>
      <c r="AL14" s="29" t="str">
        <f t="shared" si="15"/>
        <v>NOT ELIGIBLE</v>
      </c>
      <c r="AM14" s="29" t="str">
        <f t="shared" si="16"/>
        <v>NOT ELIGIBLE</v>
      </c>
      <c r="AN14" s="29" t="str">
        <f>_xlfn.XLOOKUP(A14,'3 month performance'!A:A,'3 month performance'!H:H)</f>
        <v>ELIGIBLE</v>
      </c>
      <c r="AO14" s="29" t="str">
        <f t="shared" si="17"/>
        <v>ELIGIBLE</v>
      </c>
      <c r="AP14" s="29" t="str">
        <f t="shared" si="18"/>
        <v>NOT ELIGIBLE</v>
      </c>
    </row>
    <row r="15" spans="1:42" ht="27" customHeight="1" x14ac:dyDescent="0.25">
      <c r="A15" s="102" t="str">
        <v>vedant@nexora.live</v>
      </c>
      <c r="B15" s="103" t="str">
        <f>_xlfn.XLOOKUP(A15,Attendance!F:F,Attendance!B:B)</f>
        <v>E-2204</v>
      </c>
      <c r="C15" s="103" t="str">
        <f>_xlfn.XLOOKUP(A15,Attendance!F:F,Attendance!K:K)</f>
        <v>Saif</v>
      </c>
      <c r="D15" s="103" t="str">
        <f>_xlfn.XLOOKUP(A15,Attendance!F:F,Attendance!J:J)</f>
        <v>OLD OJT</v>
      </c>
      <c r="E15" s="103">
        <f>_xlfn.XLOOKUP(A15,Attendance!F:F,Attendance!BM:BM)</f>
        <v>26</v>
      </c>
      <c r="F15" s="103">
        <f>_xlfn.XLOOKUP(A15,Attendance!F:F,Attendance!BO:BO)</f>
        <v>21</v>
      </c>
      <c r="G15" s="103">
        <f>_xlfn.XLOOKUP(A15,Attendance!F:F,Attendance!BP:BP)</f>
        <v>4</v>
      </c>
      <c r="H15" s="103">
        <f>COUNTIF('Realised Conversions'!C:C,Report!A15)</f>
        <v>18</v>
      </c>
      <c r="I15" s="103">
        <f>COUNTIFS('Realised Conversions'!C:C,Report!A15,'Realised Conversions'!F:F,"Referral (HOT)")</f>
        <v>0</v>
      </c>
      <c r="J15" s="100" t="str" cm="1">
        <f t="array" ref="J15">_xlfn.LET(_xlpm.own,TRIM('Realised Conversions'!$C$2:$C$5000),_xlpm.ls,TRIM('Realised Conversions'!$F$2:$F$5000),_xlpm.src,_xlfn._xlws.FILTER(_xlpm.ls,(_xlpm.own=TRIM(A15))*(_xlpm.ls&lt;&gt;""),""),IF(INDEX(_xlpm.src,1)="","",_xlfn.LET(_xlpm.u,_xlfn.UNIQUE(_xlpm.src),_xlpm.c,MMULT(--(_xlpm.u=TRANSPOSE(_xlpm.src)),_xlfn.SEQUENCE(ROWS(_xlpm.src),1,1,0)),_xlfn.TEXTJOIN(", ",TRUE,_xlfn.SORTBY(_xlpm.u&amp;": "&amp;_xlpm.c,_xlpm.c,-1)))))</f>
        <v>MAIN WEBSITE (HOT): 7, META3: 3, META2: 2, META6: 2, STOCKMEME: 1, APPLICATION: 1, SUNIL: 1, Meta Crypto: 1</v>
      </c>
      <c r="K15" s="103">
        <f>COUNTIFS('Realised Conversions'!C:C, Report!A15, 'Realised Conversions'!G:G, "&gt;10000")</f>
        <v>2</v>
      </c>
      <c r="L15" s="103">
        <f>COUNTIFS('Realised Conversions'!C:C,Report!A15,'Realised Conversions'!G:G,"&gt;15000")</f>
        <v>1</v>
      </c>
      <c r="M15" s="104">
        <f>SUMIFS('Realised Conversions'!G:G,'Realised Conversions'!C:C,Report!A15,'Realised Conversions'!G:G,"&gt;10000")</f>
        <v>34022</v>
      </c>
      <c r="N15" s="104">
        <f>SUMIFS('Realised Conversions'!G:G,'Realised Conversions'!C:C,Report!A15,'Realised Conversions'!G:G,"&gt;15000")</f>
        <v>20000</v>
      </c>
      <c r="O15" s="103">
        <f>SUMIF('Realised Conversions'!C:C,Report!A15,'Realised Conversions'!H:H)</f>
        <v>31</v>
      </c>
      <c r="P15" s="104">
        <f t="shared" si="0"/>
        <v>510.33</v>
      </c>
      <c r="Q15" s="104">
        <f>SUMIF('Realised Conversions'!N:N,Report!A15,'Realised Conversions'!R:R)</f>
        <v>500</v>
      </c>
      <c r="R15" s="105">
        <f t="shared" si="1"/>
        <v>5290.33</v>
      </c>
      <c r="S15" s="101">
        <f t="shared" si="6"/>
        <v>0.69230769230769229</v>
      </c>
      <c r="T15" s="101">
        <f t="shared" si="2"/>
        <v>0.1111111111111111</v>
      </c>
      <c r="U15" s="101">
        <f>_xlfn.XLOOKUP(A15,QA!A:A,QA!D:D)</f>
        <v>0.92941176470588227</v>
      </c>
      <c r="V15" s="101" t="str">
        <f>_xlfn.XLOOKUP(A15,'Call Tagging'!A:A,'Call Tagging'!F:F,"No Entry")</f>
        <v>No Entry</v>
      </c>
      <c r="W15" s="106">
        <f>_xlfn.XLOOKUP(A15,'Avg Dials'!A:A,'Avg Dials'!B:B)</f>
        <v>263.67</v>
      </c>
      <c r="X15" s="106">
        <f>_xlfn.XLOOKUP(A15,'Avg Dials'!A:A,'Avg Dials'!C:C)</f>
        <v>235.54</v>
      </c>
      <c r="Y15" s="107">
        <f t="shared" si="7"/>
        <v>0</v>
      </c>
      <c r="Z15" s="107">
        <f t="shared" si="8"/>
        <v>0</v>
      </c>
      <c r="AA15" s="107">
        <f t="shared" si="9"/>
        <v>35</v>
      </c>
      <c r="AB15" s="107">
        <f t="shared" si="10"/>
        <v>30</v>
      </c>
      <c r="AC15" s="107">
        <f t="shared" si="3"/>
        <v>25</v>
      </c>
      <c r="AD15" s="107">
        <f t="shared" si="4"/>
        <v>20</v>
      </c>
      <c r="AE15" s="107">
        <f t="shared" si="5"/>
        <v>15</v>
      </c>
      <c r="AF15" s="108">
        <f t="shared" si="11"/>
        <v>125</v>
      </c>
      <c r="AG15" s="104">
        <f t="shared" si="12"/>
        <v>6612.9125000000004</v>
      </c>
      <c r="AH15" s="109">
        <f>_xlfn.XLOOKUP(A15,SOP!A:A,SOP!D:D,0)</f>
        <v>450</v>
      </c>
      <c r="AI15" s="99">
        <f t="shared" si="13"/>
        <v>6162.9125000000004</v>
      </c>
      <c r="AJ15" s="111">
        <f>_xlfn.XLOOKUP(A15,Attendance!F:F,Attendance!BQ:BQ)</f>
        <v>1</v>
      </c>
      <c r="AK15" s="29" t="str">
        <f t="shared" si="14"/>
        <v>ELIGIBLE</v>
      </c>
      <c r="AL15" s="29" t="str">
        <f t="shared" si="15"/>
        <v>NOT ELIGIBLE</v>
      </c>
      <c r="AM15" s="29" t="str">
        <f t="shared" si="16"/>
        <v>NOT ELIGIBLE</v>
      </c>
      <c r="AN15" s="29" t="str">
        <f>_xlfn.XLOOKUP(A15,'3 month performance'!A:A,'3 month performance'!H:H)</f>
        <v>ELIGIBLE</v>
      </c>
      <c r="AO15" s="29" t="str">
        <f t="shared" si="17"/>
        <v>ELIGIBLE</v>
      </c>
      <c r="AP15" s="29" t="str">
        <f t="shared" si="18"/>
        <v>NOT ELIGIBLE</v>
      </c>
    </row>
    <row r="16" spans="1:42" ht="27" customHeight="1" x14ac:dyDescent="0.25">
      <c r="A16" s="102" t="str">
        <v>mohan@nexora.live</v>
      </c>
      <c r="B16" s="103" t="str">
        <f>_xlfn.XLOOKUP(A16,Attendance!F:F,Attendance!B:B)</f>
        <v>E-2205</v>
      </c>
      <c r="C16" s="103" t="str">
        <f>_xlfn.XLOOKUP(A16,Attendance!F:F,Attendance!K:K)</f>
        <v>Saif</v>
      </c>
      <c r="D16" s="103" t="str">
        <f>_xlfn.XLOOKUP(A16,Attendance!F:F,Attendance!J:J)</f>
        <v>OLD OJT</v>
      </c>
      <c r="E16" s="103">
        <f>_xlfn.XLOOKUP(A16,Attendance!F:F,Attendance!BM:BM)</f>
        <v>26</v>
      </c>
      <c r="F16" s="103">
        <f>_xlfn.XLOOKUP(A16,Attendance!F:F,Attendance!BO:BO)</f>
        <v>21</v>
      </c>
      <c r="G16" s="103">
        <f>_xlfn.XLOOKUP(A16,Attendance!F:F,Attendance!BP:BP)</f>
        <v>4</v>
      </c>
      <c r="H16" s="103">
        <f>COUNTIF('Realised Conversions'!C:C,Report!A16)</f>
        <v>6</v>
      </c>
      <c r="I16" s="103">
        <f>COUNTIFS('Realised Conversions'!C:C,Report!A16,'Realised Conversions'!F:F,"Referral (HOT)")</f>
        <v>0</v>
      </c>
      <c r="J16" s="100" t="str" cm="1">
        <f t="array" ref="J16">_xlfn.LET(_xlpm.own,TRIM('Realised Conversions'!$C$2:$C$5000),_xlpm.ls,TRIM('Realised Conversions'!$F$2:$F$5000),_xlpm.src,_xlfn._xlws.FILTER(_xlpm.ls,(_xlpm.own=TRIM(A16))*(_xlpm.ls&lt;&gt;""),""),IF(INDEX(_xlpm.src,1)="","",_xlfn.LET(_xlpm.u,_xlfn.UNIQUE(_xlpm.src),_xlpm.c,MMULT(--(_xlpm.u=TRANSPOSE(_xlpm.src)),_xlfn.SEQUENCE(ROWS(_xlpm.src),1,1,0)),_xlfn.TEXTJOIN(", ",TRUE,_xlfn.SORTBY(_xlpm.u&amp;": "&amp;_xlpm.c,_xlpm.c,-1)))))</f>
        <v>META6: 2, MAIN WEBSITE (HOT): 2, META3: 2</v>
      </c>
      <c r="K16" s="103">
        <f>COUNTIFS('Realised Conversions'!C:C, Report!A16, 'Realised Conversions'!G:G, "&gt;10000")</f>
        <v>1</v>
      </c>
      <c r="L16" s="103">
        <f>COUNTIFS('Realised Conversions'!C:C,Report!A16,'Realised Conversions'!G:G,"&gt;15000")</f>
        <v>1</v>
      </c>
      <c r="M16" s="104">
        <f>SUMIFS('Realised Conversions'!G:G,'Realised Conversions'!C:C,Report!A16,'Realised Conversions'!G:G,"&gt;10000")</f>
        <v>25000</v>
      </c>
      <c r="N16" s="104">
        <f>SUMIFS('Realised Conversions'!G:G,'Realised Conversions'!C:C,Report!A16,'Realised Conversions'!G:G,"&gt;15000")</f>
        <v>25000</v>
      </c>
      <c r="O16" s="103">
        <f>SUMIF('Realised Conversions'!C:C,Report!A16,'Realised Conversions'!H:H)</f>
        <v>10</v>
      </c>
      <c r="P16" s="104">
        <f t="shared" si="0"/>
        <v>375</v>
      </c>
      <c r="Q16" s="104">
        <f>SUMIF('Realised Conversions'!N:N,Report!A16,'Realised Conversions'!R:R)</f>
        <v>0</v>
      </c>
      <c r="R16" s="105">
        <f t="shared" si="1"/>
        <v>4115</v>
      </c>
      <c r="S16" s="101">
        <f t="shared" si="6"/>
        <v>0.23076923076923078</v>
      </c>
      <c r="T16" s="101">
        <f t="shared" si="2"/>
        <v>0.16666666666666666</v>
      </c>
      <c r="U16" s="101">
        <f>_xlfn.XLOOKUP(A16,QA!A:A,QA!D:D)</f>
        <v>0.81911764705882362</v>
      </c>
      <c r="V16" s="101" t="str">
        <f>_xlfn.XLOOKUP(A16,'Call Tagging'!A:A,'Call Tagging'!F:F,"No Entry")</f>
        <v>No Entry</v>
      </c>
      <c r="W16" s="106">
        <f>_xlfn.XLOOKUP(A16,'Avg Dials'!A:A,'Avg Dials'!B:B)</f>
        <v>281.14999999999998</v>
      </c>
      <c r="X16" s="106">
        <f>_xlfn.XLOOKUP(A16,'Avg Dials'!A:A,'Avg Dials'!C:C)</f>
        <v>244.93</v>
      </c>
      <c r="Y16" s="107">
        <f t="shared" si="7"/>
        <v>0</v>
      </c>
      <c r="Z16" s="107">
        <f t="shared" si="8"/>
        <v>0</v>
      </c>
      <c r="AA16" s="107">
        <f t="shared" si="9"/>
        <v>35</v>
      </c>
      <c r="AB16" s="107">
        <f t="shared" si="10"/>
        <v>35</v>
      </c>
      <c r="AC16" s="107">
        <f t="shared" si="3"/>
        <v>0</v>
      </c>
      <c r="AD16" s="107">
        <f t="shared" si="4"/>
        <v>10</v>
      </c>
      <c r="AE16" s="107">
        <f t="shared" si="5"/>
        <v>15</v>
      </c>
      <c r="AF16" s="108">
        <f t="shared" si="11"/>
        <v>95</v>
      </c>
      <c r="AG16" s="104">
        <f t="shared" si="12"/>
        <v>3909.25</v>
      </c>
      <c r="AH16" s="109">
        <f>_xlfn.XLOOKUP(A16,SOP!A:A,SOP!D:D,0)</f>
        <v>150</v>
      </c>
      <c r="AI16" s="99">
        <f t="shared" si="13"/>
        <v>3759.25</v>
      </c>
      <c r="AJ16" s="111">
        <f>_xlfn.XLOOKUP(A16,Attendance!F:F,Attendance!BQ:BQ)</f>
        <v>0</v>
      </c>
      <c r="AK16" s="29" t="str">
        <f t="shared" si="14"/>
        <v>NOT ELIGIBLE</v>
      </c>
      <c r="AL16" s="29" t="str">
        <f t="shared" si="15"/>
        <v>NOT ELIGIBLE</v>
      </c>
      <c r="AM16" s="29" t="str">
        <f t="shared" si="16"/>
        <v>NOT ELIGIBLE</v>
      </c>
      <c r="AN16" s="29" t="str">
        <f>_xlfn.XLOOKUP(A16,'3 month performance'!A:A,'3 month performance'!H:H)</f>
        <v>ELIGIBLE</v>
      </c>
      <c r="AO16" s="29" t="str">
        <f t="shared" si="17"/>
        <v>ELIGIBLE</v>
      </c>
      <c r="AP16" s="29" t="str">
        <f t="shared" si="18"/>
        <v>NOT ELIGIBLE</v>
      </c>
    </row>
    <row r="17" spans="1:42" ht="27" customHeight="1" x14ac:dyDescent="0.25">
      <c r="A17" s="102" t="str">
        <v>supriya@nexora.live</v>
      </c>
      <c r="B17" s="103" t="str">
        <f>_xlfn.XLOOKUP(A17,Attendance!F:F,Attendance!B:B)</f>
        <v>E-2211</v>
      </c>
      <c r="C17" s="103" t="str">
        <f>_xlfn.XLOOKUP(A17,Attendance!F:F,Attendance!K:K)</f>
        <v>Saif</v>
      </c>
      <c r="D17" s="103" t="str">
        <f>_xlfn.XLOOKUP(A17,Attendance!F:F,Attendance!J:J)</f>
        <v>OLD OJT</v>
      </c>
      <c r="E17" s="103">
        <f>_xlfn.XLOOKUP(A17,Attendance!F:F,Attendance!BM:BM)</f>
        <v>26</v>
      </c>
      <c r="F17" s="103">
        <f>_xlfn.XLOOKUP(A17,Attendance!F:F,Attendance!BO:BO)</f>
        <v>21</v>
      </c>
      <c r="G17" s="103">
        <f>_xlfn.XLOOKUP(A17,Attendance!F:F,Attendance!BP:BP)</f>
        <v>4</v>
      </c>
      <c r="H17" s="103">
        <f>COUNTIF('Realised Conversions'!C:C,Report!A17)</f>
        <v>3</v>
      </c>
      <c r="I17" s="103">
        <f>COUNTIFS('Realised Conversions'!C:C,Report!A17,'Realised Conversions'!F:F,"Referral (HOT)")</f>
        <v>0</v>
      </c>
      <c r="J17" s="100" t="str" cm="1">
        <f t="array" ref="J17">_xlfn.LET(_xlpm.own,TRIM('Realised Conversions'!$C$2:$C$5000),_xlpm.ls,TRIM('Realised Conversions'!$F$2:$F$5000),_xlpm.src,_xlfn._xlws.FILTER(_xlpm.ls,(_xlpm.own=TRIM(A17))*(_xlpm.ls&lt;&gt;""),""),IF(INDEX(_xlpm.src,1)="","",_xlfn.LET(_xlpm.u,_xlfn.UNIQUE(_xlpm.src),_xlpm.c,MMULT(--(_xlpm.u=TRANSPOSE(_xlpm.src)),_xlfn.SEQUENCE(ROWS(_xlpm.src),1,1,0)),_xlfn.TEXTJOIN(", ",TRUE,_xlfn.SORTBY(_xlpm.u&amp;": "&amp;_xlpm.c,_xlpm.c,-1)))))</f>
        <v>META6: 1, META3: 1, META2: 1</v>
      </c>
      <c r="K17" s="103">
        <f>COUNTIFS('Realised Conversions'!C:C, Report!A17, 'Realised Conversions'!G:G, "&gt;10000")</f>
        <v>0</v>
      </c>
      <c r="L17" s="103">
        <f>COUNTIFS('Realised Conversions'!C:C,Report!A17,'Realised Conversions'!G:G,"&gt;15000")</f>
        <v>0</v>
      </c>
      <c r="M17" s="104">
        <f>SUMIFS('Realised Conversions'!G:G,'Realised Conversions'!C:C,Report!A17,'Realised Conversions'!G:G,"&gt;10000")</f>
        <v>0</v>
      </c>
      <c r="N17" s="104">
        <f>SUMIFS('Realised Conversions'!G:G,'Realised Conversions'!C:C,Report!A17,'Realised Conversions'!G:G,"&gt;15000")</f>
        <v>0</v>
      </c>
      <c r="O17" s="103">
        <f>SUMIF('Realised Conversions'!C:C,Report!A17,'Realised Conversions'!H:H)</f>
        <v>7</v>
      </c>
      <c r="P17" s="104">
        <f t="shared" si="0"/>
        <v>0</v>
      </c>
      <c r="Q17" s="104">
        <f>SUMIF('Realised Conversions'!N:N,Report!A17,'Realised Conversions'!R:R)</f>
        <v>0</v>
      </c>
      <c r="R17" s="105">
        <f t="shared" si="1"/>
        <v>3740</v>
      </c>
      <c r="S17" s="101">
        <f t="shared" si="6"/>
        <v>0.11538461538461539</v>
      </c>
      <c r="T17" s="101">
        <f t="shared" si="2"/>
        <v>0</v>
      </c>
      <c r="U17" s="101">
        <f>_xlfn.XLOOKUP(A17,QA!A:A,QA!D:D)</f>
        <v>0.92307692307692313</v>
      </c>
      <c r="V17" s="101" t="str">
        <f>_xlfn.XLOOKUP(A17,'Call Tagging'!A:A,'Call Tagging'!F:F,"No Entry")</f>
        <v>No Entry</v>
      </c>
      <c r="W17" s="106">
        <f>_xlfn.XLOOKUP(A17,'Avg Dials'!A:A,'Avg Dials'!B:B)</f>
        <v>216.25</v>
      </c>
      <c r="X17" s="106">
        <f>_xlfn.XLOOKUP(A17,'Avg Dials'!A:A,'Avg Dials'!C:C)</f>
        <v>149.38</v>
      </c>
      <c r="Y17" s="107">
        <f t="shared" si="7"/>
        <v>0</v>
      </c>
      <c r="Z17" s="107">
        <f t="shared" si="8"/>
        <v>0</v>
      </c>
      <c r="AA17" s="107">
        <f t="shared" si="9"/>
        <v>10</v>
      </c>
      <c r="AB17" s="107">
        <f t="shared" si="10"/>
        <v>0</v>
      </c>
      <c r="AC17" s="107">
        <f t="shared" si="3"/>
        <v>0</v>
      </c>
      <c r="AD17" s="107">
        <f t="shared" si="4"/>
        <v>20</v>
      </c>
      <c r="AE17" s="107">
        <f t="shared" si="5"/>
        <v>15</v>
      </c>
      <c r="AF17" s="108">
        <f t="shared" si="11"/>
        <v>45</v>
      </c>
      <c r="AG17" s="104">
        <f t="shared" si="12"/>
        <v>1683</v>
      </c>
      <c r="AH17" s="109">
        <f>_xlfn.XLOOKUP(A17,SOP!A:A,SOP!D:D,0)</f>
        <v>0</v>
      </c>
      <c r="AI17" s="99">
        <f t="shared" si="13"/>
        <v>1683</v>
      </c>
      <c r="AJ17" s="111">
        <f>_xlfn.XLOOKUP(A17,Attendance!F:F,Attendance!BQ:BQ)</f>
        <v>0</v>
      </c>
      <c r="AK17" s="29" t="str">
        <f t="shared" si="14"/>
        <v>NOT ELIGIBLE</v>
      </c>
      <c r="AL17" s="29" t="str">
        <f t="shared" si="15"/>
        <v>NOT ELIGIBLE</v>
      </c>
      <c r="AM17" s="29" t="str">
        <f t="shared" si="16"/>
        <v>NOT ELIGIBLE</v>
      </c>
      <c r="AN17" s="29" t="str">
        <f>_xlfn.XLOOKUP(A17,'3 month performance'!A:A,'3 month performance'!H:H)</f>
        <v>ELIGIBLE</v>
      </c>
      <c r="AO17" s="29" t="str">
        <f t="shared" si="17"/>
        <v>ELIGIBLE</v>
      </c>
      <c r="AP17" s="29" t="str">
        <f t="shared" si="18"/>
        <v>NOT ELIGIBLE</v>
      </c>
    </row>
    <row r="18" spans="1:42" ht="27" customHeight="1" x14ac:dyDescent="0.25">
      <c r="A18" s="102" t="str">
        <v>oreen@nexora.live</v>
      </c>
      <c r="B18" s="103" t="str">
        <f>_xlfn.XLOOKUP(A18,Attendance!F:F,Attendance!B:B)</f>
        <v>E-2216</v>
      </c>
      <c r="C18" s="103" t="str">
        <f>_xlfn.XLOOKUP(A18,Attendance!F:F,Attendance!K:K)</f>
        <v>Saif</v>
      </c>
      <c r="D18" s="103" t="str">
        <f>_xlfn.XLOOKUP(A18,Attendance!F:F,Attendance!J:J)</f>
        <v>OLD OJT</v>
      </c>
      <c r="E18" s="103">
        <f>_xlfn.XLOOKUP(A18,Attendance!F:F,Attendance!BM:BM)</f>
        <v>26</v>
      </c>
      <c r="F18" s="103">
        <f>_xlfn.XLOOKUP(A18,Attendance!F:F,Attendance!BO:BO)</f>
        <v>21</v>
      </c>
      <c r="G18" s="103">
        <f>_xlfn.XLOOKUP(A18,Attendance!F:F,Attendance!BP:BP)</f>
        <v>4</v>
      </c>
      <c r="H18" s="103">
        <f>COUNTIF('Realised Conversions'!C:C,Report!A18)</f>
        <v>13</v>
      </c>
      <c r="I18" s="103">
        <f>COUNTIFS('Realised Conversions'!C:C,Report!A18,'Realised Conversions'!F:F,"Referral (HOT)")</f>
        <v>2</v>
      </c>
      <c r="J18" s="100" t="str" cm="1">
        <f t="array" ref="J18">_xlfn.LET(_xlpm.own,TRIM('Realised Conversions'!$C$2:$C$5000),_xlpm.ls,TRIM('Realised Conversions'!$F$2:$F$5000),_xlpm.src,_xlfn._xlws.FILTER(_xlpm.ls,(_xlpm.own=TRIM(A18))*(_xlpm.ls&lt;&gt;""),""),IF(INDEX(_xlpm.src,1)="","",_xlfn.LET(_xlpm.u,_xlfn.UNIQUE(_xlpm.src),_xlpm.c,MMULT(--(_xlpm.u=TRANSPOSE(_xlpm.src)),_xlfn.SEQUENCE(ROWS(_xlpm.src),1,1,0)),_xlfn.TEXTJOIN(", ",TRUE,_xlfn.SORTBY(_xlpm.u&amp;": "&amp;_xlpm.c,_xlpm.c,-1)))))</f>
        <v>MAIN WEBSITE (HOT): 4, MAIN WEBSITE (HOT) 1: 2, META3: 2, Referral (HOT): 2, Telegram: 2, META6: 1</v>
      </c>
      <c r="K18" s="103">
        <f>COUNTIFS('Realised Conversions'!C:C, Report!A18, 'Realised Conversions'!G:G, "&gt;10000")</f>
        <v>0</v>
      </c>
      <c r="L18" s="103">
        <f>COUNTIFS('Realised Conversions'!C:C,Report!A18,'Realised Conversions'!G:G,"&gt;15000")</f>
        <v>0</v>
      </c>
      <c r="M18" s="104">
        <f>SUMIFS('Realised Conversions'!G:G,'Realised Conversions'!C:C,Report!A18,'Realised Conversions'!G:G,"&gt;10000")</f>
        <v>0</v>
      </c>
      <c r="N18" s="104">
        <f>SUMIFS('Realised Conversions'!G:G,'Realised Conversions'!C:C,Report!A18,'Realised Conversions'!G:G,"&gt;15000")</f>
        <v>0</v>
      </c>
      <c r="O18" s="103">
        <f>SUMIF('Realised Conversions'!C:C,Report!A18,'Realised Conversions'!H:H)</f>
        <v>23</v>
      </c>
      <c r="P18" s="104">
        <f t="shared" si="0"/>
        <v>0</v>
      </c>
      <c r="Q18" s="104">
        <f>SUMIF('Realised Conversions'!N:N,Report!A18,'Realised Conversions'!R:R)</f>
        <v>500</v>
      </c>
      <c r="R18" s="105">
        <f t="shared" si="1"/>
        <v>4600</v>
      </c>
      <c r="S18" s="101">
        <f t="shared" si="6"/>
        <v>0.5</v>
      </c>
      <c r="T18" s="101">
        <f t="shared" si="2"/>
        <v>0</v>
      </c>
      <c r="U18" s="101">
        <f>_xlfn.XLOOKUP(A18,QA!A:A,QA!D:D)</f>
        <v>0.94117647058823528</v>
      </c>
      <c r="V18" s="101" t="str">
        <f>_xlfn.XLOOKUP(A18,'Call Tagging'!A:A,'Call Tagging'!F:F,"No Entry")</f>
        <v>No Entry</v>
      </c>
      <c r="W18" s="106">
        <f>_xlfn.XLOOKUP(A18,'Avg Dials'!A:A,'Avg Dials'!B:B)</f>
        <v>183.41</v>
      </c>
      <c r="X18" s="106">
        <f>_xlfn.XLOOKUP(A18,'Avg Dials'!A:A,'Avg Dials'!C:C)</f>
        <v>153.33000000000001</v>
      </c>
      <c r="Y18" s="107">
        <f t="shared" si="7"/>
        <v>0</v>
      </c>
      <c r="Z18" s="107">
        <f t="shared" si="8"/>
        <v>15</v>
      </c>
      <c r="AA18" s="107">
        <f t="shared" si="9"/>
        <v>10</v>
      </c>
      <c r="AB18" s="107">
        <f t="shared" si="10"/>
        <v>0</v>
      </c>
      <c r="AC18" s="107">
        <f t="shared" si="3"/>
        <v>25</v>
      </c>
      <c r="AD18" s="107">
        <f t="shared" si="4"/>
        <v>20</v>
      </c>
      <c r="AE18" s="107">
        <f t="shared" si="5"/>
        <v>15</v>
      </c>
      <c r="AF18" s="108">
        <f t="shared" si="11"/>
        <v>85</v>
      </c>
      <c r="AG18" s="104">
        <f t="shared" si="12"/>
        <v>3910</v>
      </c>
      <c r="AH18" s="109">
        <f>_xlfn.XLOOKUP(A18,SOP!A:A,SOP!D:D,0)</f>
        <v>150</v>
      </c>
      <c r="AI18" s="99">
        <f t="shared" si="13"/>
        <v>3760</v>
      </c>
      <c r="AJ18" s="111">
        <f>_xlfn.XLOOKUP(A18,Attendance!F:F,Attendance!BQ:BQ)</f>
        <v>0</v>
      </c>
      <c r="AK18" s="29" t="str">
        <f t="shared" si="14"/>
        <v>NOT ELIGIBLE</v>
      </c>
      <c r="AL18" s="29" t="str">
        <f t="shared" si="15"/>
        <v>NOT ELIGIBLE</v>
      </c>
      <c r="AM18" s="29" t="str">
        <f t="shared" si="16"/>
        <v>NOT ELIGIBLE</v>
      </c>
      <c r="AN18" s="29" t="str">
        <f>_xlfn.XLOOKUP(A18,'3 month performance'!A:A,'3 month performance'!H:H)</f>
        <v>ELIGIBLE</v>
      </c>
      <c r="AO18" s="29" t="str">
        <f t="shared" si="17"/>
        <v>ELIGIBLE</v>
      </c>
      <c r="AP18" s="29" t="str">
        <f t="shared" si="18"/>
        <v>NOT ELIGIBLE</v>
      </c>
    </row>
    <row r="19" spans="1:42" ht="27" customHeight="1" x14ac:dyDescent="0.25">
      <c r="A19" s="102" t="str">
        <v>aslam.k@nexora.live</v>
      </c>
      <c r="B19" s="103" t="str">
        <f>_xlfn.XLOOKUP(A19,Attendance!F:F,Attendance!B:B)</f>
        <v>E-1875</v>
      </c>
      <c r="C19" s="103" t="str">
        <f>_xlfn.XLOOKUP(A19,Attendance!F:F,Attendance!K:K)</f>
        <v>Roshni</v>
      </c>
      <c r="D19" s="103" t="str">
        <f>_xlfn.XLOOKUP(A19,Attendance!F:F,Attendance!J:J)</f>
        <v>Dialer</v>
      </c>
      <c r="E19" s="103">
        <f>_xlfn.XLOOKUP(A19,Attendance!F:F,Attendance!BM:BM)</f>
        <v>28</v>
      </c>
      <c r="F19" s="103">
        <f>_xlfn.XLOOKUP(A19,Attendance!F:F,Attendance!BO:BO)</f>
        <v>22</v>
      </c>
      <c r="G19" s="103">
        <f>_xlfn.XLOOKUP(A19,Attendance!F:F,Attendance!BP:BP)</f>
        <v>5</v>
      </c>
      <c r="H19" s="103">
        <f>COUNTIF('Realised Conversions'!C:C,Report!A19)</f>
        <v>21</v>
      </c>
      <c r="I19" s="103">
        <f>COUNTIFS('Realised Conversions'!C:C,Report!A19,'Realised Conversions'!F:F,"Referral (HOT)")</f>
        <v>0</v>
      </c>
      <c r="J19" s="100" t="str" cm="1">
        <f t="array" ref="J19">_xlfn.LET(_xlpm.own,TRIM('Realised Conversions'!$C$2:$C$5000),_xlpm.ls,TRIM('Realised Conversions'!$F$2:$F$5000),_xlpm.src,_xlfn._xlws.FILTER(_xlpm.ls,(_xlpm.own=TRIM(A19))*(_xlpm.ls&lt;&gt;""),""),IF(INDEX(_xlpm.src,1)="","",_xlfn.LET(_xlpm.u,_xlfn.UNIQUE(_xlpm.src),_xlpm.c,MMULT(--(_xlpm.u=TRANSPOSE(_xlpm.src)),_xlfn.SEQUENCE(ROWS(_xlpm.src),1,1,0)),_xlfn.TEXTJOIN(", ",TRUE,_xlfn.SORTBY(_xlpm.u&amp;": "&amp;_xlpm.c,_xlpm.c,-1)))))</f>
        <v>MAIN WEBSITE (HOT): 13, Meta6: 5, Premium: 1, META3: 1, STOCKMEME: 1</v>
      </c>
      <c r="K19" s="103">
        <f>COUNTIFS('Realised Conversions'!C:C, Report!A19, 'Realised Conversions'!G:G, "&gt;10000")</f>
        <v>0</v>
      </c>
      <c r="L19" s="103">
        <f>COUNTIFS('Realised Conversions'!C:C,Report!A19,'Realised Conversions'!G:G,"&gt;15000")</f>
        <v>0</v>
      </c>
      <c r="M19" s="104">
        <f>SUMIFS('Realised Conversions'!G:G,'Realised Conversions'!C:C,Report!A19,'Realised Conversions'!G:G,"&gt;10000")</f>
        <v>0</v>
      </c>
      <c r="N19" s="104">
        <f>SUMIFS('Realised Conversions'!G:G,'Realised Conversions'!C:C,Report!A19,'Realised Conversions'!G:G,"&gt;15000")</f>
        <v>0</v>
      </c>
      <c r="O19" s="103">
        <f>SUMIF('Realised Conversions'!C:C,Report!A19,'Realised Conversions'!H:H)</f>
        <v>25</v>
      </c>
      <c r="P19" s="104">
        <f t="shared" si="0"/>
        <v>0</v>
      </c>
      <c r="Q19" s="104">
        <f>SUMIF('Realised Conversions'!N:N,Report!A19,'Realised Conversions'!R:R)</f>
        <v>1000</v>
      </c>
      <c r="R19" s="105">
        <f t="shared" si="1"/>
        <v>4740</v>
      </c>
      <c r="S19" s="101">
        <f t="shared" si="6"/>
        <v>0.75</v>
      </c>
      <c r="T19" s="101">
        <f t="shared" si="2"/>
        <v>0</v>
      </c>
      <c r="U19" s="101">
        <f>_xlfn.XLOOKUP(A19,QA!A:A,QA!D:D)</f>
        <v>0.93857142857142861</v>
      </c>
      <c r="V19" s="101" t="str">
        <f>_xlfn.XLOOKUP(A19,'Call Tagging'!A:A,'Call Tagging'!F:F,"No Entry")</f>
        <v>No Entry</v>
      </c>
      <c r="W19" s="106">
        <f>_xlfn.XLOOKUP(A19,'Avg Dials'!A:A,'Avg Dials'!B:B)</f>
        <v>215.88</v>
      </c>
      <c r="X19" s="106">
        <f>_xlfn.XLOOKUP(A19,'Avg Dials'!A:A,'Avg Dials'!C:C)</f>
        <v>192</v>
      </c>
      <c r="Y19" s="107">
        <f t="shared" si="7"/>
        <v>0</v>
      </c>
      <c r="Z19" s="107">
        <f t="shared" si="8"/>
        <v>0</v>
      </c>
      <c r="AA19" s="107">
        <f t="shared" si="9"/>
        <v>35</v>
      </c>
      <c r="AB19" s="107">
        <f t="shared" si="10"/>
        <v>0</v>
      </c>
      <c r="AC19" s="107">
        <f t="shared" si="3"/>
        <v>25</v>
      </c>
      <c r="AD19" s="107">
        <f t="shared" si="4"/>
        <v>20</v>
      </c>
      <c r="AE19" s="107">
        <f t="shared" si="5"/>
        <v>15</v>
      </c>
      <c r="AF19" s="108">
        <f t="shared" si="11"/>
        <v>95</v>
      </c>
      <c r="AG19" s="104">
        <f t="shared" si="12"/>
        <v>4503</v>
      </c>
      <c r="AH19" s="109">
        <f>_xlfn.XLOOKUP(A19,SOP!A:A,SOP!D:D,0)</f>
        <v>0</v>
      </c>
      <c r="AI19" s="99">
        <f t="shared" si="13"/>
        <v>4503</v>
      </c>
      <c r="AJ19" s="111">
        <f>_xlfn.XLOOKUP(A19,Attendance!F:F,Attendance!BQ:BQ)</f>
        <v>0.5</v>
      </c>
      <c r="AK19" s="29" t="str">
        <f t="shared" si="14"/>
        <v>NOT ELIGIBLE</v>
      </c>
      <c r="AL19" s="29" t="str">
        <f t="shared" si="15"/>
        <v>NOT ELIGIBLE</v>
      </c>
      <c r="AM19" s="29" t="str">
        <f t="shared" si="16"/>
        <v>NOT ELIGIBLE</v>
      </c>
      <c r="AN19" s="29" t="str">
        <f>_xlfn.XLOOKUP(A19,'3 month performance'!A:A,'3 month performance'!H:H)</f>
        <v>NOT ELIGIBLE</v>
      </c>
      <c r="AO19" s="29" t="str">
        <f t="shared" si="17"/>
        <v>ELIGIBLE</v>
      </c>
      <c r="AP19" s="29" t="str">
        <f t="shared" si="18"/>
        <v>NOT ELIGIBLE</v>
      </c>
    </row>
    <row r="20" spans="1:42" ht="27" customHeight="1" x14ac:dyDescent="0.25">
      <c r="A20" s="102" t="str">
        <v>suresh@nexora.live</v>
      </c>
      <c r="B20" s="103" t="str">
        <f>_xlfn.XLOOKUP(A20,Attendance!F:F,Attendance!B:B)</f>
        <v>E-1900</v>
      </c>
      <c r="C20" s="103" t="str">
        <f>_xlfn.XLOOKUP(A20,Attendance!F:F,Attendance!K:K)</f>
        <v>Roshni</v>
      </c>
      <c r="D20" s="103" t="str">
        <f>_xlfn.XLOOKUP(A20,Attendance!F:F,Attendance!J:J)</f>
        <v>Dialer</v>
      </c>
      <c r="E20" s="103">
        <f>_xlfn.XLOOKUP(A20,Attendance!F:F,Attendance!BM:BM)</f>
        <v>28</v>
      </c>
      <c r="F20" s="103">
        <f>_xlfn.XLOOKUP(A20,Attendance!F:F,Attendance!BO:BO)</f>
        <v>22</v>
      </c>
      <c r="G20" s="103">
        <f>_xlfn.XLOOKUP(A20,Attendance!F:F,Attendance!BP:BP)</f>
        <v>5</v>
      </c>
      <c r="H20" s="103">
        <f>COUNTIF('Realised Conversions'!C:C,Report!A20)</f>
        <v>25</v>
      </c>
      <c r="I20" s="103">
        <f>COUNTIFS('Realised Conversions'!C:C,Report!A20,'Realised Conversions'!F:F,"Referral (HOT)")</f>
        <v>3</v>
      </c>
      <c r="J20" s="100" t="str" cm="1">
        <f t="array" ref="J20">_xlfn.LET(_xlpm.own,TRIM('Realised Conversions'!$C$2:$C$5000),_xlpm.ls,TRIM('Realised Conversions'!$F$2:$F$5000),_xlpm.src,_xlfn._xlws.FILTER(_xlpm.ls,(_xlpm.own=TRIM(A20))*(_xlpm.ls&lt;&gt;""),""),IF(INDEX(_xlpm.src,1)="","",_xlfn.LET(_xlpm.u,_xlfn.UNIQUE(_xlpm.src),_xlpm.c,MMULT(--(_xlpm.u=TRANSPOSE(_xlpm.src)),_xlfn.SEQUENCE(ROWS(_xlpm.src),1,1,0)),_xlfn.TEXTJOIN(", ",TRUE,_xlfn.SORTBY(_xlpm.u&amp;": "&amp;_xlpm.c,_xlpm.c,-1)))))</f>
        <v>MAIN WEBSITE (HOT): 8, META6: 4, Referral (HOT): 3, STOCKMEME: 2, MAIN WEBSITE (HOT) 1: 1, META-E: 1, Meta Crypto: 1, META2: 1, NHL: 1, Telegram: 1, Instagram: 1, META3: 1</v>
      </c>
      <c r="K20" s="103">
        <f>COUNTIFS('Realised Conversions'!C:C, Report!A20, 'Realised Conversions'!G:G, "&gt;10000")</f>
        <v>0</v>
      </c>
      <c r="L20" s="103">
        <f>COUNTIFS('Realised Conversions'!C:C,Report!A20,'Realised Conversions'!G:G,"&gt;15000")</f>
        <v>0</v>
      </c>
      <c r="M20" s="104">
        <f>SUMIFS('Realised Conversions'!G:G,'Realised Conversions'!C:C,Report!A20,'Realised Conversions'!G:G,"&gt;10000")</f>
        <v>0</v>
      </c>
      <c r="N20" s="104">
        <f>SUMIFS('Realised Conversions'!G:G,'Realised Conversions'!C:C,Report!A20,'Realised Conversions'!G:G,"&gt;15000")</f>
        <v>0</v>
      </c>
      <c r="O20" s="103">
        <f>SUMIF('Realised Conversions'!C:C,Report!A20,'Realised Conversions'!H:H)</f>
        <v>44</v>
      </c>
      <c r="P20" s="104">
        <f t="shared" si="0"/>
        <v>0</v>
      </c>
      <c r="Q20" s="104">
        <f>SUMIF('Realised Conversions'!N:N,Report!A20,'Realised Conversions'!R:R)</f>
        <v>1500</v>
      </c>
      <c r="R20" s="105">
        <f t="shared" si="1"/>
        <v>6140</v>
      </c>
      <c r="S20" s="101">
        <f t="shared" si="6"/>
        <v>0.8928571428571429</v>
      </c>
      <c r="T20" s="101">
        <f t="shared" si="2"/>
        <v>0</v>
      </c>
      <c r="U20" s="101">
        <f>_xlfn.XLOOKUP(A20,QA!A:A,QA!D:D)</f>
        <v>0.91250000000000009</v>
      </c>
      <c r="V20" s="101">
        <f>_xlfn.XLOOKUP(A20,'Call Tagging'!A:A,'Call Tagging'!F:F,"No Entry")</f>
        <v>1</v>
      </c>
      <c r="W20" s="106">
        <f>_xlfn.XLOOKUP(A20,'Avg Dials'!A:A,'Avg Dials'!B:B)</f>
        <v>258.35000000000002</v>
      </c>
      <c r="X20" s="106">
        <f>_xlfn.XLOOKUP(A20,'Avg Dials'!A:A,'Avg Dials'!C:C)</f>
        <v>212.46</v>
      </c>
      <c r="Y20" s="107">
        <f t="shared" si="7"/>
        <v>40</v>
      </c>
      <c r="Z20" s="107">
        <f t="shared" si="8"/>
        <v>20</v>
      </c>
      <c r="AA20" s="107">
        <f t="shared" si="9"/>
        <v>35</v>
      </c>
      <c r="AB20" s="107">
        <f t="shared" si="10"/>
        <v>30</v>
      </c>
      <c r="AC20" s="107">
        <f t="shared" si="3"/>
        <v>25</v>
      </c>
      <c r="AD20" s="107">
        <f t="shared" si="4"/>
        <v>20</v>
      </c>
      <c r="AE20" s="107">
        <f t="shared" si="5"/>
        <v>20</v>
      </c>
      <c r="AF20" s="108">
        <f t="shared" si="11"/>
        <v>190</v>
      </c>
      <c r="AG20" s="104">
        <f t="shared" si="12"/>
        <v>11666</v>
      </c>
      <c r="AH20" s="109">
        <f>_xlfn.XLOOKUP(A20,SOP!A:A,SOP!D:D,0)</f>
        <v>150</v>
      </c>
      <c r="AI20" s="99">
        <f t="shared" si="13"/>
        <v>11516</v>
      </c>
      <c r="AJ20" s="111">
        <f>_xlfn.XLOOKUP(A20,Attendance!F:F,Attendance!BQ:BQ)</f>
        <v>1</v>
      </c>
      <c r="AK20" s="29" t="str">
        <f t="shared" si="14"/>
        <v>ELIGIBLE</v>
      </c>
      <c r="AL20" s="29" t="str">
        <f t="shared" si="15"/>
        <v>ELIGIBLE</v>
      </c>
      <c r="AM20" s="29" t="str">
        <f t="shared" si="16"/>
        <v>NOT ELIGIBLE</v>
      </c>
      <c r="AN20" s="29" t="str">
        <f>_xlfn.XLOOKUP(A20,'3 month performance'!A:A,'3 month performance'!H:H)</f>
        <v>NOT ELIGIBLE</v>
      </c>
      <c r="AO20" s="29" t="str">
        <f t="shared" si="17"/>
        <v>ELIGIBLE</v>
      </c>
      <c r="AP20" s="29" t="str">
        <f t="shared" si="18"/>
        <v>NOT ELIGIBLE</v>
      </c>
    </row>
    <row r="21" spans="1:42" ht="27" customHeight="1" x14ac:dyDescent="0.25">
      <c r="A21" s="102" t="str">
        <v>aamir@nexora.live</v>
      </c>
      <c r="B21" s="103" t="str">
        <f>_xlfn.XLOOKUP(A21,Attendance!F:F,Attendance!B:B)</f>
        <v>E-1911</v>
      </c>
      <c r="C21" s="103" t="str">
        <f>_xlfn.XLOOKUP(A21,Attendance!F:F,Attendance!K:K)</f>
        <v>Roshni</v>
      </c>
      <c r="D21" s="103" t="str">
        <f>_xlfn.XLOOKUP(A21,Attendance!F:F,Attendance!J:J)</f>
        <v>Dialer</v>
      </c>
      <c r="E21" s="103">
        <f>_xlfn.XLOOKUP(A21,Attendance!F:F,Attendance!BM:BM)</f>
        <v>28</v>
      </c>
      <c r="F21" s="103">
        <f>_xlfn.XLOOKUP(A21,Attendance!F:F,Attendance!BO:BO)</f>
        <v>22</v>
      </c>
      <c r="G21" s="103">
        <f>_xlfn.XLOOKUP(A21,Attendance!F:F,Attendance!BP:BP)</f>
        <v>5</v>
      </c>
      <c r="H21" s="103">
        <f>COUNTIF('Realised Conversions'!C:C,Report!A21)</f>
        <v>31</v>
      </c>
      <c r="I21" s="103">
        <f>COUNTIFS('Realised Conversions'!C:C,Report!A21,'Realised Conversions'!F:F,"Referral (HOT)")</f>
        <v>7</v>
      </c>
      <c r="J21" s="100" t="str" cm="1">
        <f t="array" ref="J21">_xlfn.LET(_xlpm.own,TRIM('Realised Conversions'!$C$2:$C$5000),_xlpm.ls,TRIM('Realised Conversions'!$F$2:$F$5000),_xlpm.src,_xlfn._xlws.FILTER(_xlpm.ls,(_xlpm.own=TRIM(A21))*(_xlpm.ls&lt;&gt;""),""),IF(INDEX(_xlpm.src,1)="","",_xlfn.LET(_xlpm.u,_xlfn.UNIQUE(_xlpm.src),_xlpm.c,MMULT(--(_xlpm.u=TRANSPOSE(_xlpm.src)),_xlfn.SEQUENCE(ROWS(_xlpm.src),1,1,0)),_xlfn.TEXTJOIN(", ",TRUE,_xlfn.SORTBY(_xlpm.u&amp;": "&amp;_xlpm.c,_xlpm.c,-1)))))</f>
        <v>MAIN WEBSITE (HOT): 15, Referral (HOT): 7, META6: 3, META3: 3, META2: 1, Instagram: 1, WA: 1</v>
      </c>
      <c r="K21" s="103">
        <f>COUNTIFS('Realised Conversions'!C:C, Report!A21, 'Realised Conversions'!G:G, "&gt;10000")</f>
        <v>2</v>
      </c>
      <c r="L21" s="103">
        <f>COUNTIFS('Realised Conversions'!C:C,Report!A21,'Realised Conversions'!G:G,"&gt;15000")</f>
        <v>2</v>
      </c>
      <c r="M21" s="104">
        <f>SUMIFS('Realised Conversions'!G:G,'Realised Conversions'!C:C,Report!A21,'Realised Conversions'!G:G,"&gt;10000")</f>
        <v>80000</v>
      </c>
      <c r="N21" s="104">
        <f>SUMIFS('Realised Conversions'!G:G,'Realised Conversions'!C:C,Report!A21,'Realised Conversions'!G:G,"&gt;15000")</f>
        <v>80000</v>
      </c>
      <c r="O21" s="103">
        <f>SUMIF('Realised Conversions'!C:C,Report!A21,'Realised Conversions'!H:H)</f>
        <v>55</v>
      </c>
      <c r="P21" s="104">
        <f t="shared" si="0"/>
        <v>1200</v>
      </c>
      <c r="Q21" s="104">
        <f>SUMIF('Realised Conversions'!N:N,Report!A21,'Realised Conversions'!R:R)</f>
        <v>1500</v>
      </c>
      <c r="R21" s="105">
        <f t="shared" si="1"/>
        <v>7640</v>
      </c>
      <c r="S21" s="101">
        <f t="shared" si="6"/>
        <v>1.1071428571428572</v>
      </c>
      <c r="T21" s="101">
        <f t="shared" si="2"/>
        <v>6.4516129032258063E-2</v>
      </c>
      <c r="U21" s="101">
        <f>_xlfn.XLOOKUP(A21,QA!A:A,QA!D:D)</f>
        <v>0.88235294117647056</v>
      </c>
      <c r="V21" s="101" t="str">
        <f>_xlfn.XLOOKUP(A21,'Call Tagging'!A:A,'Call Tagging'!F:F,"No Entry")</f>
        <v>No Entry</v>
      </c>
      <c r="W21" s="106">
        <f>_xlfn.XLOOKUP(A21,'Avg Dials'!A:A,'Avg Dials'!B:B)</f>
        <v>233.25</v>
      </c>
      <c r="X21" s="106">
        <f>_xlfn.XLOOKUP(A21,'Avg Dials'!A:A,'Avg Dials'!C:C)</f>
        <v>180.71</v>
      </c>
      <c r="Y21" s="107">
        <f t="shared" si="7"/>
        <v>45</v>
      </c>
      <c r="Z21" s="107">
        <f t="shared" si="8"/>
        <v>25</v>
      </c>
      <c r="AA21" s="107">
        <f t="shared" si="9"/>
        <v>35</v>
      </c>
      <c r="AB21" s="107">
        <f t="shared" si="10"/>
        <v>20</v>
      </c>
      <c r="AC21" s="107">
        <f t="shared" si="3"/>
        <v>25</v>
      </c>
      <c r="AD21" s="107">
        <f t="shared" si="4"/>
        <v>15</v>
      </c>
      <c r="AE21" s="107">
        <f t="shared" si="5"/>
        <v>15</v>
      </c>
      <c r="AF21" s="108">
        <f t="shared" si="11"/>
        <v>180</v>
      </c>
      <c r="AG21" s="104">
        <f t="shared" si="12"/>
        <v>13752</v>
      </c>
      <c r="AH21" s="109">
        <f>_xlfn.XLOOKUP(A21,SOP!A:A,SOP!D:D,0)</f>
        <v>150</v>
      </c>
      <c r="AI21" s="99">
        <f t="shared" si="13"/>
        <v>13602</v>
      </c>
      <c r="AJ21" s="111">
        <f>_xlfn.XLOOKUP(A21,Attendance!F:F,Attendance!BQ:BQ)</f>
        <v>1</v>
      </c>
      <c r="AK21" s="29" t="str">
        <f t="shared" si="14"/>
        <v>ELIGIBLE</v>
      </c>
      <c r="AL21" s="29" t="str">
        <f t="shared" si="15"/>
        <v>ELIGIBLE</v>
      </c>
      <c r="AM21" s="29" t="str">
        <f t="shared" si="16"/>
        <v>ELIGIBLE</v>
      </c>
      <c r="AN21" s="29" t="str">
        <f>_xlfn.XLOOKUP(A21,'3 month performance'!A:A,'3 month performance'!H:H)</f>
        <v>ELIGIBLE</v>
      </c>
      <c r="AO21" s="29" t="str">
        <f t="shared" si="17"/>
        <v>ELIGIBLE</v>
      </c>
      <c r="AP21" s="29" t="str">
        <f t="shared" si="18"/>
        <v>ELIGIBLE</v>
      </c>
    </row>
    <row r="22" spans="1:42" ht="27" customHeight="1" x14ac:dyDescent="0.25">
      <c r="A22" s="102" t="str">
        <v>sandeep@nexora.live</v>
      </c>
      <c r="B22" s="103" t="str">
        <f>_xlfn.XLOOKUP(A22,Attendance!F:F,Attendance!B:B)</f>
        <v>E-1910</v>
      </c>
      <c r="C22" s="103" t="str">
        <f>_xlfn.XLOOKUP(A22,Attendance!F:F,Attendance!K:K)</f>
        <v>Roshni</v>
      </c>
      <c r="D22" s="103" t="str">
        <f>_xlfn.XLOOKUP(A22,Attendance!F:F,Attendance!J:J)</f>
        <v>Dialer</v>
      </c>
      <c r="E22" s="103">
        <f>_xlfn.XLOOKUP(A22,Attendance!F:F,Attendance!BM:BM)</f>
        <v>28</v>
      </c>
      <c r="F22" s="103">
        <f>_xlfn.XLOOKUP(A22,Attendance!F:F,Attendance!BO:BO)</f>
        <v>22</v>
      </c>
      <c r="G22" s="103">
        <f>_xlfn.XLOOKUP(A22,Attendance!F:F,Attendance!BP:BP)</f>
        <v>5</v>
      </c>
      <c r="H22" s="103">
        <f>COUNTIF('Realised Conversions'!C:C,Report!A22)</f>
        <v>31</v>
      </c>
      <c r="I22" s="103">
        <f>COUNTIFS('Realised Conversions'!C:C,Report!A22,'Realised Conversions'!F:F,"Referral (HOT)")</f>
        <v>7</v>
      </c>
      <c r="J22" s="100" t="str" cm="1">
        <f t="array" ref="J22">_xlfn.LET(_xlpm.own,TRIM('Realised Conversions'!$C$2:$C$5000),_xlpm.ls,TRIM('Realised Conversions'!$F$2:$F$5000),_xlpm.src,_xlfn._xlws.FILTER(_xlpm.ls,(_xlpm.own=TRIM(A22))*(_xlpm.ls&lt;&gt;""),""),IF(INDEX(_xlpm.src,1)="","",_xlfn.LET(_xlpm.u,_xlfn.UNIQUE(_xlpm.src),_xlpm.c,MMULT(--(_xlpm.u=TRANSPOSE(_xlpm.src)),_xlfn.SEQUENCE(ROWS(_xlpm.src),1,1,0)),_xlfn.TEXTJOIN(", ",TRUE,_xlfn.SORTBY(_xlpm.u&amp;": "&amp;_xlpm.c,_xlpm.c,-1)))))</f>
        <v>MAIN WEBSITE (HOT): 10, Referral (HOT): 7, META6: 6, MAIN WEBSITE (HOT) 1: 4, META3: 1, Telegram: 1, Direct (HOT): 1, STOCKMEME: 1</v>
      </c>
      <c r="K22" s="103">
        <f>COUNTIFS('Realised Conversions'!C:C, Report!A22, 'Realised Conversions'!G:G, "&gt;10000")</f>
        <v>2</v>
      </c>
      <c r="L22" s="103">
        <f>COUNTIFS('Realised Conversions'!C:C,Report!A22,'Realised Conversions'!G:G,"&gt;15000")</f>
        <v>2</v>
      </c>
      <c r="M22" s="104">
        <f>SUMIFS('Realised Conversions'!G:G,'Realised Conversions'!C:C,Report!A22,'Realised Conversions'!G:G,"&gt;10000")</f>
        <v>38000</v>
      </c>
      <c r="N22" s="104">
        <f>SUMIFS('Realised Conversions'!G:G,'Realised Conversions'!C:C,Report!A22,'Realised Conversions'!G:G,"&gt;15000")</f>
        <v>38000</v>
      </c>
      <c r="O22" s="103">
        <f>SUMIF('Realised Conversions'!C:C,Report!A22,'Realised Conversions'!H:H)</f>
        <v>49</v>
      </c>
      <c r="P22" s="104">
        <f t="shared" si="0"/>
        <v>570</v>
      </c>
      <c r="Q22" s="104">
        <f>SUMIF('Realised Conversions'!N:N,Report!A22,'Realised Conversions'!R:R)</f>
        <v>2000</v>
      </c>
      <c r="R22" s="105">
        <f t="shared" si="1"/>
        <v>7150</v>
      </c>
      <c r="S22" s="101">
        <f t="shared" si="6"/>
        <v>1.1071428571428572</v>
      </c>
      <c r="T22" s="101">
        <f t="shared" si="2"/>
        <v>6.4516129032258063E-2</v>
      </c>
      <c r="U22" s="101">
        <f>_xlfn.XLOOKUP(A22,QA!A:A,QA!D:D)</f>
        <v>0.751470588235294</v>
      </c>
      <c r="V22" s="101" t="str">
        <f>_xlfn.XLOOKUP(A22,'Call Tagging'!A:A,'Call Tagging'!F:F,"No Entry")</f>
        <v>No Entry</v>
      </c>
      <c r="W22" s="106">
        <f>_xlfn.XLOOKUP(A22,'Avg Dials'!A:A,'Avg Dials'!B:B)</f>
        <v>272.52</v>
      </c>
      <c r="X22" s="106">
        <f>_xlfn.XLOOKUP(A22,'Avg Dials'!A:A,'Avg Dials'!C:C)</f>
        <v>235.43</v>
      </c>
      <c r="Y22" s="107">
        <f t="shared" si="7"/>
        <v>45</v>
      </c>
      <c r="Z22" s="107">
        <f t="shared" si="8"/>
        <v>25</v>
      </c>
      <c r="AA22" s="107">
        <f t="shared" si="9"/>
        <v>35</v>
      </c>
      <c r="AB22" s="107">
        <f t="shared" si="10"/>
        <v>30</v>
      </c>
      <c r="AC22" s="107">
        <f t="shared" si="3"/>
        <v>25</v>
      </c>
      <c r="AD22" s="107">
        <f t="shared" si="4"/>
        <v>0</v>
      </c>
      <c r="AE22" s="107">
        <f t="shared" si="5"/>
        <v>15</v>
      </c>
      <c r="AF22" s="108">
        <f t="shared" si="11"/>
        <v>175</v>
      </c>
      <c r="AG22" s="104">
        <f t="shared" si="12"/>
        <v>12512.5</v>
      </c>
      <c r="AH22" s="109">
        <f>_xlfn.XLOOKUP(A22,SOP!A:A,SOP!D:D,0)</f>
        <v>0</v>
      </c>
      <c r="AI22" s="99">
        <f t="shared" si="13"/>
        <v>12512.5</v>
      </c>
      <c r="AJ22" s="111">
        <f>_xlfn.XLOOKUP(A22,Attendance!F:F,Attendance!BQ:BQ)</f>
        <v>3</v>
      </c>
      <c r="AK22" s="29" t="str">
        <f t="shared" si="14"/>
        <v>ELIGIBLE</v>
      </c>
      <c r="AL22" s="29" t="str">
        <f t="shared" si="15"/>
        <v>ELIGIBLE</v>
      </c>
      <c r="AM22" s="29" t="str">
        <f t="shared" si="16"/>
        <v>ELIGIBLE</v>
      </c>
      <c r="AN22" s="29" t="str">
        <f>_xlfn.XLOOKUP(A22,'3 month performance'!A:A,'3 month performance'!H:H)</f>
        <v>ELIGIBLE</v>
      </c>
      <c r="AO22" s="29" t="str">
        <f t="shared" si="17"/>
        <v>NOT ELIGIBLE</v>
      </c>
      <c r="AP22" s="29" t="str">
        <f t="shared" si="18"/>
        <v>NOT ELIGIBLE</v>
      </c>
    </row>
    <row r="23" spans="1:42" ht="27" customHeight="1" x14ac:dyDescent="0.25">
      <c r="A23" s="102" t="str">
        <v>sangita.m@nexora.live</v>
      </c>
      <c r="B23" s="103" t="str">
        <f>_xlfn.XLOOKUP(A23,Attendance!F:F,Attendance!B:B)</f>
        <v>E-1284</v>
      </c>
      <c r="C23" s="103" t="str">
        <f>_xlfn.XLOOKUP(A23,Attendance!F:F,Attendance!K:K)</f>
        <v>Roshni</v>
      </c>
      <c r="D23" s="103" t="str">
        <f>_xlfn.XLOOKUP(A23,Attendance!F:F,Attendance!J:J)</f>
        <v>Dialer</v>
      </c>
      <c r="E23" s="103">
        <f>_xlfn.XLOOKUP(A23,Attendance!F:F,Attendance!BM:BM)</f>
        <v>28</v>
      </c>
      <c r="F23" s="103">
        <f>_xlfn.XLOOKUP(A23,Attendance!F:F,Attendance!BO:BO)</f>
        <v>22</v>
      </c>
      <c r="G23" s="103">
        <f>_xlfn.XLOOKUP(A23,Attendance!F:F,Attendance!BP:BP)</f>
        <v>5</v>
      </c>
      <c r="H23" s="103">
        <f>COUNTIF('Realised Conversions'!C:C,Report!A23)</f>
        <v>17</v>
      </c>
      <c r="I23" s="103">
        <f>COUNTIFS('Realised Conversions'!C:C,Report!A23,'Realised Conversions'!F:F,"Referral (HOT)")</f>
        <v>4</v>
      </c>
      <c r="J23" s="100" t="str" cm="1">
        <f t="array" ref="J23">_xlfn.LET(_xlpm.own,TRIM('Realised Conversions'!$C$2:$C$5000),_xlpm.ls,TRIM('Realised Conversions'!$F$2:$F$5000),_xlpm.src,_xlfn._xlws.FILTER(_xlpm.ls,(_xlpm.own=TRIM(A23))*(_xlpm.ls&lt;&gt;""),""),IF(INDEX(_xlpm.src,1)="","",_xlfn.LET(_xlpm.u,_xlfn.UNIQUE(_xlpm.src),_xlpm.c,MMULT(--(_xlpm.u=TRANSPOSE(_xlpm.src)),_xlfn.SEQUENCE(ROWS(_xlpm.src),1,1,0)),_xlfn.TEXTJOIN(", ",TRUE,_xlfn.SORTBY(_xlpm.u&amp;": "&amp;_xlpm.c,_xlpm.c,-1)))))</f>
        <v>MAIN WEBSITE (HOT): 7, Referral (HOT): 4, META3: 2, MAIN WEBSITE (HOT) 1: 2, Meta6: 2</v>
      </c>
      <c r="K23" s="103">
        <f>COUNTIFS('Realised Conversions'!C:C, Report!A23, 'Realised Conversions'!G:G, "&gt;10000")</f>
        <v>2</v>
      </c>
      <c r="L23" s="103">
        <f>COUNTIFS('Realised Conversions'!C:C,Report!A23,'Realised Conversions'!G:G,"&gt;15000")</f>
        <v>2</v>
      </c>
      <c r="M23" s="104">
        <f>SUMIFS('Realised Conversions'!G:G,'Realised Conversions'!C:C,Report!A23,'Realised Conversions'!G:G,"&gt;10000")</f>
        <v>60000</v>
      </c>
      <c r="N23" s="104">
        <f>SUMIFS('Realised Conversions'!G:G,'Realised Conversions'!C:C,Report!A23,'Realised Conversions'!G:G,"&gt;15000")</f>
        <v>60000</v>
      </c>
      <c r="O23" s="103">
        <f>SUMIF('Realised Conversions'!C:C,Report!A23,'Realised Conversions'!H:H)</f>
        <v>29</v>
      </c>
      <c r="P23" s="104">
        <f t="shared" si="0"/>
        <v>900</v>
      </c>
      <c r="Q23" s="104">
        <f>SUMIF('Realised Conversions'!N:N,Report!A23,'Realised Conversions'!R:R)</f>
        <v>1200</v>
      </c>
      <c r="R23" s="105">
        <f t="shared" si="1"/>
        <v>6320</v>
      </c>
      <c r="S23" s="101">
        <f t="shared" si="6"/>
        <v>0.6071428571428571</v>
      </c>
      <c r="T23" s="101">
        <f t="shared" si="2"/>
        <v>0.11764705882352941</v>
      </c>
      <c r="U23" s="101">
        <f>_xlfn.XLOOKUP(A23,QA!A:A,QA!D:D)</f>
        <v>0.91999999999999993</v>
      </c>
      <c r="V23" s="101">
        <f>_xlfn.XLOOKUP(A23,'Call Tagging'!A:A,'Call Tagging'!F:F,"No Entry")</f>
        <v>0.8</v>
      </c>
      <c r="W23" s="106">
        <f>_xlfn.XLOOKUP(A23,'Avg Dials'!A:A,'Avg Dials'!B:B)</f>
        <v>250.57</v>
      </c>
      <c r="X23" s="106">
        <f>_xlfn.XLOOKUP(A23,'Avg Dials'!A:A,'Avg Dials'!C:C)</f>
        <v>203.48</v>
      </c>
      <c r="Y23" s="107">
        <f t="shared" si="7"/>
        <v>0</v>
      </c>
      <c r="Z23" s="107">
        <f t="shared" si="8"/>
        <v>20</v>
      </c>
      <c r="AA23" s="107">
        <f t="shared" si="9"/>
        <v>35</v>
      </c>
      <c r="AB23" s="107">
        <f t="shared" si="10"/>
        <v>30</v>
      </c>
      <c r="AC23" s="107">
        <f t="shared" si="3"/>
        <v>25</v>
      </c>
      <c r="AD23" s="107">
        <f t="shared" si="4"/>
        <v>20</v>
      </c>
      <c r="AE23" s="107">
        <f t="shared" si="5"/>
        <v>0</v>
      </c>
      <c r="AF23" s="108">
        <f t="shared" si="11"/>
        <v>130</v>
      </c>
      <c r="AG23" s="104">
        <f t="shared" si="12"/>
        <v>8216</v>
      </c>
      <c r="AH23" s="109">
        <f>_xlfn.XLOOKUP(A23,SOP!A:A,SOP!D:D,0)</f>
        <v>150</v>
      </c>
      <c r="AI23" s="99">
        <f t="shared" si="13"/>
        <v>8066</v>
      </c>
      <c r="AJ23" s="111">
        <f>_xlfn.XLOOKUP(A23,Attendance!F:F,Attendance!BQ:BQ)</f>
        <v>0</v>
      </c>
      <c r="AK23" s="29" t="str">
        <f t="shared" si="14"/>
        <v>ELIGIBLE</v>
      </c>
      <c r="AL23" s="29" t="str">
        <f t="shared" si="15"/>
        <v>NOT ELIGIBLE</v>
      </c>
      <c r="AM23" s="29" t="str">
        <f t="shared" si="16"/>
        <v>NOT ELIGIBLE</v>
      </c>
      <c r="AN23" s="29" t="str">
        <f>_xlfn.XLOOKUP(A23,'3 month performance'!A:A,'3 month performance'!H:H)</f>
        <v>ELIGIBLE</v>
      </c>
      <c r="AO23" s="29" t="str">
        <f t="shared" si="17"/>
        <v>ELIGIBLE</v>
      </c>
      <c r="AP23" s="29" t="str">
        <f t="shared" si="18"/>
        <v>NOT ELIGIBLE</v>
      </c>
    </row>
    <row r="24" spans="1:42" ht="27" customHeight="1" x14ac:dyDescent="0.25">
      <c r="A24" s="102" t="str">
        <v>shiv@nexora.live</v>
      </c>
      <c r="B24" s="103" t="str">
        <f>_xlfn.XLOOKUP(A24,Attendance!F:F,Attendance!B:B)</f>
        <v>E-2121</v>
      </c>
      <c r="C24" s="103" t="str">
        <f>_xlfn.XLOOKUP(A24,Attendance!F:F,Attendance!K:K)</f>
        <v>Roshni</v>
      </c>
      <c r="D24" s="103" t="str">
        <f>_xlfn.XLOOKUP(A24,Attendance!F:F,Attendance!J:J)</f>
        <v>OJT 1</v>
      </c>
      <c r="E24" s="103">
        <f>_xlfn.XLOOKUP(A24,Attendance!F:F,Attendance!BM:BM)</f>
        <v>26</v>
      </c>
      <c r="F24" s="103">
        <f>_xlfn.XLOOKUP(A24,Attendance!F:F,Attendance!BO:BO)</f>
        <v>21</v>
      </c>
      <c r="G24" s="103">
        <f>_xlfn.XLOOKUP(A24,Attendance!F:F,Attendance!BP:BP)</f>
        <v>3</v>
      </c>
      <c r="H24" s="103">
        <f>COUNTIF('Realised Conversions'!C:C,Report!A24)</f>
        <v>13</v>
      </c>
      <c r="I24" s="103">
        <f>COUNTIFS('Realised Conversions'!C:C,Report!A24,'Realised Conversions'!F:F,"Referral (HOT)")</f>
        <v>2</v>
      </c>
      <c r="J24" s="100" t="str" cm="1">
        <f t="array" ref="J24">_xlfn.LET(_xlpm.own,TRIM('Realised Conversions'!$C$2:$C$5000),_xlpm.ls,TRIM('Realised Conversions'!$F$2:$F$5000),_xlpm.src,_xlfn._xlws.FILTER(_xlpm.ls,(_xlpm.own=TRIM(A24))*(_xlpm.ls&lt;&gt;""),""),IF(INDEX(_xlpm.src,1)="","",_xlfn.LET(_xlpm.u,_xlfn.UNIQUE(_xlpm.src),_xlpm.c,MMULT(--(_xlpm.u=TRANSPOSE(_xlpm.src)),_xlfn.SEQUENCE(ROWS(_xlpm.src),1,1,0)),_xlfn.TEXTJOIN(", ",TRUE,_xlfn.SORTBY(_xlpm.u&amp;": "&amp;_xlpm.c,_xlpm.c,-1)))))</f>
        <v>META3: 3, Meta6: 2, MAIN WEBSITE (HOT): 2, Referral (HOT): 2, DV1: 1, Telegram: 1, APPLICATION: 1, Meta(Murtaza-E): 1</v>
      </c>
      <c r="K24" s="103">
        <f>COUNTIFS('Realised Conversions'!C:C, Report!A24, 'Realised Conversions'!G:G, "&gt;10000")</f>
        <v>0</v>
      </c>
      <c r="L24" s="103">
        <f>COUNTIFS('Realised Conversions'!C:C,Report!A24,'Realised Conversions'!G:G,"&gt;15000")</f>
        <v>0</v>
      </c>
      <c r="M24" s="104">
        <f>SUMIFS('Realised Conversions'!G:G,'Realised Conversions'!C:C,Report!A24,'Realised Conversions'!G:G,"&gt;10000")</f>
        <v>0</v>
      </c>
      <c r="N24" s="104">
        <f>SUMIFS('Realised Conversions'!G:G,'Realised Conversions'!C:C,Report!A24,'Realised Conversions'!G:G,"&gt;15000")</f>
        <v>0</v>
      </c>
      <c r="O24" s="103">
        <f>SUMIF('Realised Conversions'!C:C,Report!A24,'Realised Conversions'!H:H)</f>
        <v>27</v>
      </c>
      <c r="P24" s="104">
        <f t="shared" si="0"/>
        <v>0</v>
      </c>
      <c r="Q24" s="104">
        <f>SUMIF('Realised Conversions'!N:N,Report!A24,'Realised Conversions'!R:R)</f>
        <v>500</v>
      </c>
      <c r="R24" s="105">
        <f t="shared" si="1"/>
        <v>4840</v>
      </c>
      <c r="S24" s="101">
        <f t="shared" si="6"/>
        <v>0.5</v>
      </c>
      <c r="T24" s="101">
        <f t="shared" si="2"/>
        <v>0</v>
      </c>
      <c r="U24" s="101">
        <f>_xlfn.XLOOKUP(A24,QA!A:A,QA!D:D)</f>
        <v>0.94117647058823528</v>
      </c>
      <c r="V24" s="101" t="str">
        <f>_xlfn.XLOOKUP(A24,'Call Tagging'!A:A,'Call Tagging'!F:F,"No Entry")</f>
        <v>No Entry</v>
      </c>
      <c r="W24" s="106">
        <f>_xlfn.XLOOKUP(A24,'Avg Dials'!A:A,'Avg Dials'!B:B)</f>
        <v>307.58</v>
      </c>
      <c r="X24" s="106">
        <f>_xlfn.XLOOKUP(A24,'Avg Dials'!A:A,'Avg Dials'!C:C)</f>
        <v>193.67</v>
      </c>
      <c r="Y24" s="107">
        <f t="shared" si="7"/>
        <v>0</v>
      </c>
      <c r="Z24" s="107">
        <f t="shared" si="8"/>
        <v>15</v>
      </c>
      <c r="AA24" s="107">
        <f t="shared" si="9"/>
        <v>35</v>
      </c>
      <c r="AB24" s="107">
        <f t="shared" si="10"/>
        <v>35</v>
      </c>
      <c r="AC24" s="107">
        <f t="shared" si="3"/>
        <v>25</v>
      </c>
      <c r="AD24" s="107">
        <f t="shared" si="4"/>
        <v>20</v>
      </c>
      <c r="AE24" s="107">
        <f t="shared" si="5"/>
        <v>15</v>
      </c>
      <c r="AF24" s="108">
        <f t="shared" si="11"/>
        <v>145</v>
      </c>
      <c r="AG24" s="104">
        <f t="shared" si="12"/>
        <v>7018</v>
      </c>
      <c r="AH24" s="109">
        <f>_xlfn.XLOOKUP(A24,SOP!A:A,SOP!D:D,0)</f>
        <v>0</v>
      </c>
      <c r="AI24" s="99">
        <f t="shared" si="13"/>
        <v>7018</v>
      </c>
      <c r="AJ24" s="111">
        <f>_xlfn.XLOOKUP(A24,Attendance!F:F,Attendance!BQ:BQ)</f>
        <v>2</v>
      </c>
      <c r="AK24" s="29" t="str">
        <f t="shared" si="14"/>
        <v>ELIGIBLE</v>
      </c>
      <c r="AL24" s="29" t="str">
        <f t="shared" si="15"/>
        <v>NOT ELIGIBLE</v>
      </c>
      <c r="AM24" s="29" t="str">
        <f t="shared" si="16"/>
        <v>NOT ELIGIBLE</v>
      </c>
      <c r="AN24" s="29" t="str">
        <f>_xlfn.XLOOKUP(A24,'3 month performance'!A:A,'3 month performance'!H:H)</f>
        <v>ELIGIBLE</v>
      </c>
      <c r="AO24" s="29" t="str">
        <f t="shared" si="17"/>
        <v>ELIGIBLE</v>
      </c>
      <c r="AP24" s="29" t="str">
        <f t="shared" si="18"/>
        <v>NOT ELIGIBLE</v>
      </c>
    </row>
    <row r="25" spans="1:42" ht="27" customHeight="1" x14ac:dyDescent="0.25">
      <c r="A25" s="102" t="str">
        <v>vaibhav@nexora.live</v>
      </c>
      <c r="B25" s="103" t="str">
        <f>_xlfn.XLOOKUP(A25,Attendance!F:F,Attendance!B:B)</f>
        <v>E-2125</v>
      </c>
      <c r="C25" s="103" t="str">
        <f>_xlfn.XLOOKUP(A25,Attendance!F:F,Attendance!K:K)</f>
        <v>Roshni</v>
      </c>
      <c r="D25" s="103" t="str">
        <f>_xlfn.XLOOKUP(A25,Attendance!F:F,Attendance!J:J)</f>
        <v>OJT 1</v>
      </c>
      <c r="E25" s="103">
        <f>_xlfn.XLOOKUP(A25,Attendance!F:F,Attendance!BM:BM)</f>
        <v>26</v>
      </c>
      <c r="F25" s="103">
        <f>_xlfn.XLOOKUP(A25,Attendance!F:F,Attendance!BO:BO)</f>
        <v>21</v>
      </c>
      <c r="G25" s="103">
        <f>_xlfn.XLOOKUP(A25,Attendance!F:F,Attendance!BP:BP)</f>
        <v>3</v>
      </c>
      <c r="H25" s="103">
        <f>COUNTIF('Realised Conversions'!C:C,Report!A25)</f>
        <v>25</v>
      </c>
      <c r="I25" s="103">
        <f>COUNTIFS('Realised Conversions'!C:C,Report!A25,'Realised Conversions'!F:F,"Referral (HOT)")</f>
        <v>3</v>
      </c>
      <c r="J25" s="100" t="str" cm="1">
        <f t="array" ref="J25">_xlfn.LET(_xlpm.own,TRIM('Realised Conversions'!$C$2:$C$5000),_xlpm.ls,TRIM('Realised Conversions'!$F$2:$F$5000),_xlpm.src,_xlfn._xlws.FILTER(_xlpm.ls,(_xlpm.own=TRIM(A25))*(_xlpm.ls&lt;&gt;""),""),IF(INDEX(_xlpm.src,1)="","",_xlfn.LET(_xlpm.u,_xlfn.UNIQUE(_xlpm.src),_xlpm.c,MMULT(--(_xlpm.u=TRANSPOSE(_xlpm.src)),_xlfn.SEQUENCE(ROWS(_xlpm.src),1,1,0)),_xlfn.TEXTJOIN(", ",TRUE,_xlfn.SORTBY(_xlpm.u&amp;": "&amp;_xlpm.c,_xlpm.c,-1)))))</f>
        <v>MAIN WEBSITE (HOT): 10, Referral (HOT): 3, MAIN WEBSITE (HOT) 1: 3, META3: 2, META6: 2, Telegram ads: 1, Instagram: 1, Telegram: 1, Premium: 1, META2: 1</v>
      </c>
      <c r="K25" s="103">
        <f>COUNTIFS('Realised Conversions'!C:C, Report!A25, 'Realised Conversions'!G:G, "&gt;10000")</f>
        <v>0</v>
      </c>
      <c r="L25" s="103">
        <f>COUNTIFS('Realised Conversions'!C:C,Report!A25,'Realised Conversions'!G:G,"&gt;15000")</f>
        <v>0</v>
      </c>
      <c r="M25" s="104">
        <f>SUMIFS('Realised Conversions'!G:G,'Realised Conversions'!C:C,Report!A25,'Realised Conversions'!G:G,"&gt;10000")</f>
        <v>0</v>
      </c>
      <c r="N25" s="104">
        <f>SUMIFS('Realised Conversions'!G:G,'Realised Conversions'!C:C,Report!A25,'Realised Conversions'!G:G,"&gt;15000")</f>
        <v>0</v>
      </c>
      <c r="O25" s="103">
        <f>SUMIF('Realised Conversions'!C:C,Report!A25,'Realised Conversions'!H:H)</f>
        <v>41</v>
      </c>
      <c r="P25" s="104">
        <f t="shared" si="0"/>
        <v>0</v>
      </c>
      <c r="Q25" s="104">
        <f>SUMIF('Realised Conversions'!N:N,Report!A25,'Realised Conversions'!R:R)</f>
        <v>1000</v>
      </c>
      <c r="R25" s="105">
        <f t="shared" si="1"/>
        <v>5460</v>
      </c>
      <c r="S25" s="101">
        <f t="shared" si="6"/>
        <v>0.96153846153846156</v>
      </c>
      <c r="T25" s="101">
        <f t="shared" si="2"/>
        <v>0</v>
      </c>
      <c r="U25" s="101">
        <f>_xlfn.XLOOKUP(A25,QA!A:A,QA!D:D)</f>
        <v>0.79117647058823526</v>
      </c>
      <c r="V25" s="101" t="str">
        <f>_xlfn.XLOOKUP(A25,'Call Tagging'!A:A,'Call Tagging'!F:F,"No Entry")</f>
        <v>No Entry</v>
      </c>
      <c r="W25" s="106">
        <f>_xlfn.XLOOKUP(A25,'Avg Dials'!A:A,'Avg Dials'!B:B)</f>
        <v>203.79</v>
      </c>
      <c r="X25" s="106">
        <f>_xlfn.XLOOKUP(A25,'Avg Dials'!A:A,'Avg Dials'!C:C)</f>
        <v>157.11000000000001</v>
      </c>
      <c r="Y25" s="107">
        <f t="shared" si="7"/>
        <v>45</v>
      </c>
      <c r="Z25" s="107">
        <f t="shared" si="8"/>
        <v>20</v>
      </c>
      <c r="AA25" s="107">
        <f t="shared" si="9"/>
        <v>10</v>
      </c>
      <c r="AB25" s="107">
        <f t="shared" si="10"/>
        <v>0</v>
      </c>
      <c r="AC25" s="107">
        <f t="shared" si="3"/>
        <v>25</v>
      </c>
      <c r="AD25" s="107">
        <f t="shared" si="4"/>
        <v>0</v>
      </c>
      <c r="AE25" s="107">
        <f t="shared" si="5"/>
        <v>15</v>
      </c>
      <c r="AF25" s="108">
        <f t="shared" si="11"/>
        <v>115</v>
      </c>
      <c r="AG25" s="104">
        <f t="shared" si="12"/>
        <v>6279</v>
      </c>
      <c r="AH25" s="109">
        <f>_xlfn.XLOOKUP(A25,SOP!A:A,SOP!D:D,0)</f>
        <v>300</v>
      </c>
      <c r="AI25" s="99">
        <f t="shared" si="13"/>
        <v>5979</v>
      </c>
      <c r="AJ25" s="111">
        <f>_xlfn.XLOOKUP(A25,Attendance!F:F,Attendance!BQ:BQ)</f>
        <v>0</v>
      </c>
      <c r="AK25" s="29" t="str">
        <f t="shared" si="14"/>
        <v>ELIGIBLE</v>
      </c>
      <c r="AL25" s="29" t="str">
        <f t="shared" si="15"/>
        <v>ELIGIBLE</v>
      </c>
      <c r="AM25" s="29" t="str">
        <f t="shared" si="16"/>
        <v>ELIGIBLE</v>
      </c>
      <c r="AN25" s="29" t="str">
        <f>_xlfn.XLOOKUP(A25,'3 month performance'!A:A,'3 month performance'!H:H)</f>
        <v>ELIGIBLE</v>
      </c>
      <c r="AO25" s="29" t="str">
        <f t="shared" si="17"/>
        <v>ELIGIBLE</v>
      </c>
      <c r="AP25" s="29" t="str">
        <f t="shared" si="18"/>
        <v>ELIGIBLE</v>
      </c>
    </row>
    <row r="26" spans="1:42" ht="27" customHeight="1" x14ac:dyDescent="0.25">
      <c r="A26" s="102" t="str">
        <v>sana@nexora.live</v>
      </c>
      <c r="B26" s="103" t="str">
        <f>_xlfn.XLOOKUP(A26,Attendance!F:F,Attendance!B:B)</f>
        <v>E-2130</v>
      </c>
      <c r="C26" s="103" t="str">
        <f>_xlfn.XLOOKUP(A26,Attendance!F:F,Attendance!K:K)</f>
        <v>Roshni</v>
      </c>
      <c r="D26" s="103" t="str">
        <f>_xlfn.XLOOKUP(A26,Attendance!F:F,Attendance!J:J)</f>
        <v>OJT 1</v>
      </c>
      <c r="E26" s="103">
        <f>_xlfn.XLOOKUP(A26,Attendance!F:F,Attendance!BM:BM)</f>
        <v>26</v>
      </c>
      <c r="F26" s="103">
        <f>_xlfn.XLOOKUP(A26,Attendance!F:F,Attendance!BO:BO)</f>
        <v>21</v>
      </c>
      <c r="G26" s="103">
        <f>_xlfn.XLOOKUP(A26,Attendance!F:F,Attendance!BP:BP)</f>
        <v>3</v>
      </c>
      <c r="H26" s="103">
        <f>COUNTIF('Realised Conversions'!C:C,Report!A26)</f>
        <v>15</v>
      </c>
      <c r="I26" s="103">
        <f>COUNTIFS('Realised Conversions'!C:C,Report!A26,'Realised Conversions'!F:F,"Referral (HOT)")</f>
        <v>3</v>
      </c>
      <c r="J26" s="100" t="str" cm="1">
        <f t="array" ref="J26">_xlfn.LET(_xlpm.own,TRIM('Realised Conversions'!$C$2:$C$5000),_xlpm.ls,TRIM('Realised Conversions'!$F$2:$F$5000),_xlpm.src,_xlfn._xlws.FILTER(_xlpm.ls,(_xlpm.own=TRIM(A26))*(_xlpm.ls&lt;&gt;""),""),IF(INDEX(_xlpm.src,1)="","",_xlfn.LET(_xlpm.u,_xlfn.UNIQUE(_xlpm.src),_xlpm.c,MMULT(--(_xlpm.u=TRANSPOSE(_xlpm.src)),_xlfn.SEQUENCE(ROWS(_xlpm.src),1,1,0)),_xlfn.TEXTJOIN(", ",TRUE,_xlfn.SORTBY(_xlpm.u&amp;": "&amp;_xlpm.c,_xlpm.c,-1)))))</f>
        <v>MAIN WEBSITE (HOT): 4, META6: 4, Referral (HOT): 3, NHL: 1, Instagram: 1, SUNIL: 1, STOCKMEME: 1</v>
      </c>
      <c r="K26" s="103">
        <f>COUNTIFS('Realised Conversions'!C:C, Report!A26, 'Realised Conversions'!G:G, "&gt;10000")</f>
        <v>0</v>
      </c>
      <c r="L26" s="103">
        <f>COUNTIFS('Realised Conversions'!C:C,Report!A26,'Realised Conversions'!G:G,"&gt;15000")</f>
        <v>0</v>
      </c>
      <c r="M26" s="104">
        <f>SUMIFS('Realised Conversions'!G:G,'Realised Conversions'!C:C,Report!A26,'Realised Conversions'!G:G,"&gt;10000")</f>
        <v>0</v>
      </c>
      <c r="N26" s="104">
        <f>SUMIFS('Realised Conversions'!G:G,'Realised Conversions'!C:C,Report!A26,'Realised Conversions'!G:G,"&gt;15000")</f>
        <v>0</v>
      </c>
      <c r="O26" s="103">
        <f>SUMIF('Realised Conversions'!C:C,Report!A26,'Realised Conversions'!H:H)</f>
        <v>24</v>
      </c>
      <c r="P26" s="104">
        <f t="shared" si="0"/>
        <v>0</v>
      </c>
      <c r="Q26" s="104">
        <f>SUMIF('Realised Conversions'!N:N,Report!A26,'Realised Conversions'!R:R)</f>
        <v>0</v>
      </c>
      <c r="R26" s="105">
        <f t="shared" si="1"/>
        <v>4040</v>
      </c>
      <c r="S26" s="101">
        <f t="shared" si="6"/>
        <v>0.57692307692307687</v>
      </c>
      <c r="T26" s="101">
        <f t="shared" si="2"/>
        <v>0</v>
      </c>
      <c r="U26" s="101">
        <f>_xlfn.XLOOKUP(A26,QA!A:A,QA!D:D)</f>
        <v>0.96764705882352942</v>
      </c>
      <c r="V26" s="101" t="str">
        <f>_xlfn.XLOOKUP(A26,'Call Tagging'!A:A,'Call Tagging'!F:F,"No Entry")</f>
        <v>No Entry</v>
      </c>
      <c r="W26" s="106">
        <f>_xlfn.XLOOKUP(A26,'Avg Dials'!A:A,'Avg Dials'!B:B)</f>
        <v>274.26</v>
      </c>
      <c r="X26" s="106">
        <f>_xlfn.XLOOKUP(A26,'Avg Dials'!A:A,'Avg Dials'!C:C)</f>
        <v>237.48</v>
      </c>
      <c r="Y26" s="107">
        <f t="shared" si="7"/>
        <v>0</v>
      </c>
      <c r="Z26" s="107">
        <f t="shared" si="8"/>
        <v>20</v>
      </c>
      <c r="AA26" s="107">
        <f t="shared" si="9"/>
        <v>35</v>
      </c>
      <c r="AB26" s="107">
        <f t="shared" si="10"/>
        <v>30</v>
      </c>
      <c r="AC26" s="107">
        <f t="shared" si="3"/>
        <v>0</v>
      </c>
      <c r="AD26" s="107">
        <f t="shared" si="4"/>
        <v>20</v>
      </c>
      <c r="AE26" s="107">
        <f t="shared" si="5"/>
        <v>15</v>
      </c>
      <c r="AF26" s="108">
        <f t="shared" si="11"/>
        <v>120</v>
      </c>
      <c r="AG26" s="104">
        <f t="shared" si="12"/>
        <v>4848</v>
      </c>
      <c r="AH26" s="109">
        <f>_xlfn.XLOOKUP(A26,SOP!A:A,SOP!D:D,0)</f>
        <v>150</v>
      </c>
      <c r="AI26" s="99">
        <f t="shared" si="13"/>
        <v>4698</v>
      </c>
      <c r="AJ26" s="111">
        <f>_xlfn.XLOOKUP(A26,Attendance!F:F,Attendance!BQ:BQ)</f>
        <v>0</v>
      </c>
      <c r="AK26" s="29" t="str">
        <f t="shared" si="14"/>
        <v>ELIGIBLE</v>
      </c>
      <c r="AL26" s="29" t="str">
        <f t="shared" si="15"/>
        <v>NOT ELIGIBLE</v>
      </c>
      <c r="AM26" s="29" t="str">
        <f t="shared" si="16"/>
        <v>ELIGIBLE</v>
      </c>
      <c r="AN26" s="29" t="str">
        <f>_xlfn.XLOOKUP(A26,'3 month performance'!A:A,'3 month performance'!H:H)</f>
        <v>ELIGIBLE</v>
      </c>
      <c r="AO26" s="29" t="str">
        <f t="shared" si="17"/>
        <v>ELIGIBLE</v>
      </c>
      <c r="AP26" s="29" t="str">
        <f t="shared" si="18"/>
        <v>NOT ELIGIBLE</v>
      </c>
    </row>
    <row r="27" spans="1:42" ht="27" customHeight="1" x14ac:dyDescent="0.25">
      <c r="A27" s="102" t="str">
        <v>siddhesh@nexora.live</v>
      </c>
      <c r="B27" s="103" t="str">
        <f>_xlfn.XLOOKUP(A27,Attendance!F:F,Attendance!B:B)</f>
        <v>E-2137</v>
      </c>
      <c r="C27" s="103" t="str">
        <f>_xlfn.XLOOKUP(A27,Attendance!F:F,Attendance!K:K)</f>
        <v>Roshni</v>
      </c>
      <c r="D27" s="103" t="str">
        <f>_xlfn.XLOOKUP(A27,Attendance!F:F,Attendance!J:J)</f>
        <v>OJT 1</v>
      </c>
      <c r="E27" s="103">
        <f>_xlfn.XLOOKUP(A27,Attendance!F:F,Attendance!BM:BM)</f>
        <v>26</v>
      </c>
      <c r="F27" s="103">
        <f>_xlfn.XLOOKUP(A27,Attendance!F:F,Attendance!BO:BO)</f>
        <v>21</v>
      </c>
      <c r="G27" s="103">
        <f>_xlfn.XLOOKUP(A27,Attendance!F:F,Attendance!BP:BP)</f>
        <v>3</v>
      </c>
      <c r="H27" s="103">
        <f>COUNTIF('Realised Conversions'!C:C,Report!A27)</f>
        <v>11</v>
      </c>
      <c r="I27" s="103">
        <f>COUNTIFS('Realised Conversions'!C:C,Report!A27,'Realised Conversions'!F:F,"Referral (HOT)")</f>
        <v>7</v>
      </c>
      <c r="J27" s="100" t="str" cm="1">
        <f t="array" ref="J27">_xlfn.LET(_xlpm.own,TRIM('Realised Conversions'!$C$2:$C$5000),_xlpm.ls,TRIM('Realised Conversions'!$F$2:$F$5000),_xlpm.src,_xlfn._xlws.FILTER(_xlpm.ls,(_xlpm.own=TRIM(A27))*(_xlpm.ls&lt;&gt;""),""),IF(INDEX(_xlpm.src,1)="","",_xlfn.LET(_xlpm.u,_xlfn.UNIQUE(_xlpm.src),_xlpm.c,MMULT(--(_xlpm.u=TRANSPOSE(_xlpm.src)),_xlfn.SEQUENCE(ROWS(_xlpm.src),1,1,0)),_xlfn.TEXTJOIN(", ",TRUE,_xlfn.SORTBY(_xlpm.u&amp;": "&amp;_xlpm.c,_xlpm.c,-1)))))</f>
        <v>Referral (HOT): 7, MAIN WEBSITE (HOT): 2, Instagram: 1, Telegram: 1</v>
      </c>
      <c r="K27" s="103">
        <f>COUNTIFS('Realised Conversions'!C:C, Report!A27, 'Realised Conversions'!G:G, "&gt;10000")</f>
        <v>1</v>
      </c>
      <c r="L27" s="103">
        <f>COUNTIFS('Realised Conversions'!C:C,Report!A27,'Realised Conversions'!G:G,"&gt;15000")</f>
        <v>1</v>
      </c>
      <c r="M27" s="104">
        <f>SUMIFS('Realised Conversions'!G:G,'Realised Conversions'!C:C,Report!A27,'Realised Conversions'!G:G,"&gt;10000")</f>
        <v>20000</v>
      </c>
      <c r="N27" s="104">
        <f>SUMIFS('Realised Conversions'!G:G,'Realised Conversions'!C:C,Report!A27,'Realised Conversions'!G:G,"&gt;15000")</f>
        <v>20000</v>
      </c>
      <c r="O27" s="103">
        <f>SUMIF('Realised Conversions'!C:C,Report!A27,'Realised Conversions'!H:H)</f>
        <v>27</v>
      </c>
      <c r="P27" s="104">
        <f t="shared" si="0"/>
        <v>300</v>
      </c>
      <c r="Q27" s="104">
        <f>SUMIF('Realised Conversions'!N:N,Report!A27,'Realised Conversions'!R:R)</f>
        <v>0</v>
      </c>
      <c r="R27" s="105">
        <f t="shared" si="1"/>
        <v>4760</v>
      </c>
      <c r="S27" s="101">
        <f t="shared" si="6"/>
        <v>0.42307692307692307</v>
      </c>
      <c r="T27" s="101">
        <f t="shared" si="2"/>
        <v>9.0909090909090912E-2</v>
      </c>
      <c r="U27" s="101">
        <f>_xlfn.XLOOKUP(A27,QA!A:A,QA!D:D)</f>
        <v>0.86944444444444446</v>
      </c>
      <c r="V27" s="101" t="str">
        <f>_xlfn.XLOOKUP(A27,'Call Tagging'!A:A,'Call Tagging'!F:F,"No Entry")</f>
        <v>No Entry</v>
      </c>
      <c r="W27" s="106">
        <f>_xlfn.XLOOKUP(A27,'Avg Dials'!A:A,'Avg Dials'!B:B)</f>
        <v>379.04</v>
      </c>
      <c r="X27" s="106">
        <f>_xlfn.XLOOKUP(A27,'Avg Dials'!A:A,'Avg Dials'!C:C)</f>
        <v>265.08</v>
      </c>
      <c r="Y27" s="107">
        <f t="shared" si="7"/>
        <v>0</v>
      </c>
      <c r="Z27" s="107">
        <f t="shared" si="8"/>
        <v>25</v>
      </c>
      <c r="AA27" s="107">
        <f t="shared" si="9"/>
        <v>35</v>
      </c>
      <c r="AB27" s="107">
        <f t="shared" si="10"/>
        <v>35</v>
      </c>
      <c r="AC27" s="107">
        <f t="shared" si="3"/>
        <v>0</v>
      </c>
      <c r="AD27" s="107">
        <f t="shared" si="4"/>
        <v>15</v>
      </c>
      <c r="AE27" s="107">
        <f t="shared" si="5"/>
        <v>15</v>
      </c>
      <c r="AF27" s="108">
        <f t="shared" si="11"/>
        <v>125</v>
      </c>
      <c r="AG27" s="104">
        <f t="shared" si="12"/>
        <v>5950</v>
      </c>
      <c r="AH27" s="109">
        <f>_xlfn.XLOOKUP(A27,SOP!A:A,SOP!D:D,0)</f>
        <v>0</v>
      </c>
      <c r="AI27" s="99">
        <f t="shared" si="13"/>
        <v>5950</v>
      </c>
      <c r="AJ27" s="111">
        <f>_xlfn.XLOOKUP(A27,Attendance!F:F,Attendance!BQ:BQ)</f>
        <v>0</v>
      </c>
      <c r="AK27" s="29" t="str">
        <f t="shared" si="14"/>
        <v>ELIGIBLE</v>
      </c>
      <c r="AL27" s="29" t="str">
        <f t="shared" si="15"/>
        <v>NOT ELIGIBLE</v>
      </c>
      <c r="AM27" s="29" t="str">
        <f t="shared" si="16"/>
        <v>ELIGIBLE</v>
      </c>
      <c r="AN27" s="29" t="str">
        <f>_xlfn.XLOOKUP(A27,'3 month performance'!A:A,'3 month performance'!H:H)</f>
        <v>ELIGIBLE</v>
      </c>
      <c r="AO27" s="29" t="str">
        <f t="shared" si="17"/>
        <v>ELIGIBLE</v>
      </c>
      <c r="AP27" s="29" t="str">
        <f t="shared" si="18"/>
        <v>NOT ELIGIBLE</v>
      </c>
    </row>
    <row r="28" spans="1:42" ht="27" customHeight="1" x14ac:dyDescent="0.25">
      <c r="A28" s="102" t="str">
        <v>kanika@nexora.live</v>
      </c>
      <c r="B28" s="103" t="str">
        <f>_xlfn.XLOOKUP(A28,Attendance!F:F,Attendance!B:B)</f>
        <v>E-2132</v>
      </c>
      <c r="C28" s="103" t="str">
        <f>_xlfn.XLOOKUP(A28,Attendance!F:F,Attendance!K:K)</f>
        <v>Roshni</v>
      </c>
      <c r="D28" s="103" t="str">
        <f>_xlfn.XLOOKUP(A28,Attendance!F:F,Attendance!J:J)</f>
        <v>OJT 1</v>
      </c>
      <c r="E28" s="103">
        <f>_xlfn.XLOOKUP(A28,Attendance!F:F,Attendance!BM:BM)</f>
        <v>26</v>
      </c>
      <c r="F28" s="103">
        <f>_xlfn.XLOOKUP(A28,Attendance!F:F,Attendance!BO:BO)</f>
        <v>21</v>
      </c>
      <c r="G28" s="103">
        <f>_xlfn.XLOOKUP(A28,Attendance!F:F,Attendance!BP:BP)</f>
        <v>3</v>
      </c>
      <c r="H28" s="103">
        <f>COUNTIF('Realised Conversions'!C:C,Report!A28)</f>
        <v>14</v>
      </c>
      <c r="I28" s="103">
        <f>COUNTIFS('Realised Conversions'!C:C,Report!A28,'Realised Conversions'!F:F,"Referral (HOT)")</f>
        <v>3</v>
      </c>
      <c r="J28" s="100" t="str" cm="1">
        <f t="array" ref="J28">_xlfn.LET(_xlpm.own,TRIM('Realised Conversions'!$C$2:$C$5000),_xlpm.ls,TRIM('Realised Conversions'!$F$2:$F$5000),_xlpm.src,_xlfn._xlws.FILTER(_xlpm.ls,(_xlpm.own=TRIM(A28))*(_xlpm.ls&lt;&gt;""),""),IF(INDEX(_xlpm.src,1)="","",_xlfn.LET(_xlpm.u,_xlfn.UNIQUE(_xlpm.src),_xlpm.c,MMULT(--(_xlpm.u=TRANSPOSE(_xlpm.src)),_xlfn.SEQUENCE(ROWS(_xlpm.src),1,1,0)),_xlfn.TEXTJOIN(", ",TRUE,_xlfn.SORTBY(_xlpm.u&amp;": "&amp;_xlpm.c,_xlpm.c,-1)))))</f>
        <v>MAIN WEBSITE (HOT): 5, Referral (HOT): 3, META3: 3, Instagram: 2, Meta6: 1</v>
      </c>
      <c r="K28" s="103">
        <f>COUNTIFS('Realised Conversions'!C:C, Report!A28, 'Realised Conversions'!G:G, "&gt;10000")</f>
        <v>1</v>
      </c>
      <c r="L28" s="103">
        <f>COUNTIFS('Realised Conversions'!C:C,Report!A28,'Realised Conversions'!G:G,"&gt;15000")</f>
        <v>1</v>
      </c>
      <c r="M28" s="104">
        <f>SUMIFS('Realised Conversions'!G:G,'Realised Conversions'!C:C,Report!A28,'Realised Conversions'!G:G,"&gt;10000")</f>
        <v>35000</v>
      </c>
      <c r="N28" s="104">
        <f>SUMIFS('Realised Conversions'!G:G,'Realised Conversions'!C:C,Report!A28,'Realised Conversions'!G:G,"&gt;15000")</f>
        <v>35000</v>
      </c>
      <c r="O28" s="103">
        <f>SUMIF('Realised Conversions'!C:C,Report!A28,'Realised Conversions'!H:H)</f>
        <v>28</v>
      </c>
      <c r="P28" s="104">
        <f t="shared" si="0"/>
        <v>525</v>
      </c>
      <c r="Q28" s="104">
        <f>SUMIF('Realised Conversions'!N:N,Report!A28,'Realised Conversions'!R:R)</f>
        <v>500</v>
      </c>
      <c r="R28" s="105">
        <f t="shared" si="1"/>
        <v>5365</v>
      </c>
      <c r="S28" s="101">
        <f t="shared" si="6"/>
        <v>0.53846153846153844</v>
      </c>
      <c r="T28" s="101">
        <f t="shared" si="2"/>
        <v>7.1428571428571425E-2</v>
      </c>
      <c r="U28" s="101">
        <f>_xlfn.XLOOKUP(A28,QA!A:A,QA!D:D)</f>
        <v>0.79411764705882348</v>
      </c>
      <c r="V28" s="101" t="str">
        <f>_xlfn.XLOOKUP(A28,'Call Tagging'!A:A,'Call Tagging'!F:F,"No Entry")</f>
        <v>No Entry</v>
      </c>
      <c r="W28" s="106">
        <f>_xlfn.XLOOKUP(A28,'Avg Dials'!A:A,'Avg Dials'!B:B)</f>
        <v>307.32</v>
      </c>
      <c r="X28" s="106">
        <f>_xlfn.XLOOKUP(A28,'Avg Dials'!A:A,'Avg Dials'!C:C)</f>
        <v>245.68</v>
      </c>
      <c r="Y28" s="107">
        <f t="shared" si="7"/>
        <v>0</v>
      </c>
      <c r="Z28" s="107">
        <f t="shared" si="8"/>
        <v>20</v>
      </c>
      <c r="AA28" s="107">
        <f t="shared" si="9"/>
        <v>35</v>
      </c>
      <c r="AB28" s="107">
        <f t="shared" si="10"/>
        <v>35</v>
      </c>
      <c r="AC28" s="107">
        <f t="shared" si="3"/>
        <v>25</v>
      </c>
      <c r="AD28" s="107">
        <f t="shared" si="4"/>
        <v>0</v>
      </c>
      <c r="AE28" s="107">
        <f t="shared" si="5"/>
        <v>15</v>
      </c>
      <c r="AF28" s="108">
        <f t="shared" si="11"/>
        <v>130</v>
      </c>
      <c r="AG28" s="104">
        <f t="shared" si="12"/>
        <v>6974.5</v>
      </c>
      <c r="AH28" s="109">
        <f>_xlfn.XLOOKUP(A28,SOP!A:A,SOP!D:D,0)</f>
        <v>300</v>
      </c>
      <c r="AI28" s="99">
        <f t="shared" si="13"/>
        <v>6674.5</v>
      </c>
      <c r="AJ28" s="111">
        <f>_xlfn.XLOOKUP(A28,Attendance!F:F,Attendance!BQ:BQ)</f>
        <v>0</v>
      </c>
      <c r="AK28" s="29" t="str">
        <f t="shared" si="14"/>
        <v>ELIGIBLE</v>
      </c>
      <c r="AL28" s="29" t="str">
        <f t="shared" si="15"/>
        <v>NOT ELIGIBLE</v>
      </c>
      <c r="AM28" s="29" t="str">
        <f t="shared" si="16"/>
        <v>ELIGIBLE</v>
      </c>
      <c r="AN28" s="29" t="str">
        <f>_xlfn.XLOOKUP(A28,'3 month performance'!A:A,'3 month performance'!H:H)</f>
        <v>ELIGIBLE</v>
      </c>
      <c r="AO28" s="29" t="str">
        <f t="shared" si="17"/>
        <v>ELIGIBLE</v>
      </c>
      <c r="AP28" s="29" t="str">
        <f t="shared" si="18"/>
        <v>NOT ELIGIBLE</v>
      </c>
    </row>
    <row r="29" spans="1:42" ht="27" customHeight="1" x14ac:dyDescent="0.25">
      <c r="A29" s="102" t="str">
        <v>renu@nexora.live</v>
      </c>
      <c r="B29" s="103" t="str">
        <f>_xlfn.XLOOKUP(A29,Attendance!F:F,Attendance!B:B)</f>
        <v>E-2206</v>
      </c>
      <c r="C29" s="103" t="str">
        <f>_xlfn.XLOOKUP(A29,Attendance!F:F,Attendance!K:K)</f>
        <v>Roshni</v>
      </c>
      <c r="D29" s="103" t="str">
        <f>_xlfn.XLOOKUP(A29,Attendance!F:F,Attendance!J:J)</f>
        <v>OJT 2</v>
      </c>
      <c r="E29" s="103">
        <f>_xlfn.XLOOKUP(A29,Attendance!F:F,Attendance!BM:BM)</f>
        <v>26</v>
      </c>
      <c r="F29" s="103">
        <f>_xlfn.XLOOKUP(A29,Attendance!F:F,Attendance!BO:BO)</f>
        <v>21</v>
      </c>
      <c r="G29" s="103">
        <f>_xlfn.XLOOKUP(A29,Attendance!F:F,Attendance!BP:BP)</f>
        <v>3</v>
      </c>
      <c r="H29" s="103">
        <f>COUNTIF('Realised Conversions'!C:C,Report!A29)</f>
        <v>8</v>
      </c>
      <c r="I29" s="103">
        <f>COUNTIFS('Realised Conversions'!C:C,Report!A29,'Realised Conversions'!F:F,"Referral (HOT)")</f>
        <v>0</v>
      </c>
      <c r="J29" s="100" t="str" cm="1">
        <f t="array" ref="J29">_xlfn.LET(_xlpm.own,TRIM('Realised Conversions'!$C$2:$C$5000),_xlpm.ls,TRIM('Realised Conversions'!$F$2:$F$5000),_xlpm.src,_xlfn._xlws.FILTER(_xlpm.ls,(_xlpm.own=TRIM(A29))*(_xlpm.ls&lt;&gt;""),""),IF(INDEX(_xlpm.src,1)="","",_xlfn.LET(_xlpm.u,_xlfn.UNIQUE(_xlpm.src),_xlpm.c,MMULT(--(_xlpm.u=TRANSPOSE(_xlpm.src)),_xlfn.SEQUENCE(ROWS(_xlpm.src),1,1,0)),_xlfn.TEXTJOIN(", ",TRUE,_xlfn.SORTBY(_xlpm.u&amp;": "&amp;_xlpm.c,_xlpm.c,-1)))))</f>
        <v>MAIN WEBSITE (HOT): 6, META3: 1, Meta6: 1</v>
      </c>
      <c r="K29" s="103">
        <f>COUNTIFS('Realised Conversions'!C:C, Report!A29, 'Realised Conversions'!G:G, "&gt;10000")</f>
        <v>0</v>
      </c>
      <c r="L29" s="103">
        <f>COUNTIFS('Realised Conversions'!C:C,Report!A29,'Realised Conversions'!G:G,"&gt;15000")</f>
        <v>0</v>
      </c>
      <c r="M29" s="104">
        <f>SUMIFS('Realised Conversions'!G:G,'Realised Conversions'!C:C,Report!A29,'Realised Conversions'!G:G,"&gt;10000")</f>
        <v>0</v>
      </c>
      <c r="N29" s="104">
        <f>SUMIFS('Realised Conversions'!G:G,'Realised Conversions'!C:C,Report!A29,'Realised Conversions'!G:G,"&gt;15000")</f>
        <v>0</v>
      </c>
      <c r="O29" s="103">
        <f>SUMIF('Realised Conversions'!C:C,Report!A29,'Realised Conversions'!H:H)</f>
        <v>10</v>
      </c>
      <c r="P29" s="104">
        <f t="shared" si="0"/>
        <v>0</v>
      </c>
      <c r="Q29" s="104">
        <f>SUMIF('Realised Conversions'!N:N,Report!A29,'Realised Conversions'!R:R)</f>
        <v>0</v>
      </c>
      <c r="R29" s="105">
        <f t="shared" si="1"/>
        <v>3620</v>
      </c>
      <c r="S29" s="101">
        <f t="shared" si="6"/>
        <v>0.30769230769230771</v>
      </c>
      <c r="T29" s="101">
        <f t="shared" si="2"/>
        <v>0</v>
      </c>
      <c r="U29" s="101">
        <f>_xlfn.XLOOKUP(A29,QA!A:A,QA!D:D)</f>
        <v>0.90625</v>
      </c>
      <c r="V29" s="101" t="str">
        <f>_xlfn.XLOOKUP(A29,'Call Tagging'!A:A,'Call Tagging'!F:F,"No Entry")</f>
        <v>No Entry</v>
      </c>
      <c r="W29" s="106">
        <f>_xlfn.XLOOKUP(A29,'Avg Dials'!A:A,'Avg Dials'!B:B)</f>
        <v>253.57</v>
      </c>
      <c r="X29" s="106">
        <f>_xlfn.XLOOKUP(A29,'Avg Dials'!A:A,'Avg Dials'!C:C)</f>
        <v>210.24</v>
      </c>
      <c r="Y29" s="107">
        <f t="shared" si="7"/>
        <v>0</v>
      </c>
      <c r="Z29" s="107">
        <f t="shared" si="8"/>
        <v>0</v>
      </c>
      <c r="AA29" s="107">
        <f t="shared" si="9"/>
        <v>35</v>
      </c>
      <c r="AB29" s="107">
        <f t="shared" si="10"/>
        <v>30</v>
      </c>
      <c r="AC29" s="107">
        <f t="shared" si="3"/>
        <v>0</v>
      </c>
      <c r="AD29" s="107">
        <f t="shared" si="4"/>
        <v>20</v>
      </c>
      <c r="AE29" s="107">
        <f t="shared" si="5"/>
        <v>15</v>
      </c>
      <c r="AF29" s="108">
        <f t="shared" si="11"/>
        <v>100</v>
      </c>
      <c r="AG29" s="104">
        <f t="shared" si="12"/>
        <v>3620</v>
      </c>
      <c r="AH29" s="109">
        <f>_xlfn.XLOOKUP(A29,SOP!A:A,SOP!D:D,0)</f>
        <v>0</v>
      </c>
      <c r="AI29" s="99">
        <f t="shared" si="13"/>
        <v>3620</v>
      </c>
      <c r="AJ29" s="111">
        <f>_xlfn.XLOOKUP(A29,Attendance!F:F,Attendance!BQ:BQ)</f>
        <v>0</v>
      </c>
      <c r="AK29" s="29" t="str">
        <f t="shared" si="14"/>
        <v>NOT ELIGIBLE</v>
      </c>
      <c r="AL29" s="29" t="str">
        <f t="shared" si="15"/>
        <v>NOT ELIGIBLE</v>
      </c>
      <c r="AM29" s="29" t="str">
        <f t="shared" si="16"/>
        <v>NOT ELIGIBLE</v>
      </c>
      <c r="AN29" s="29" t="str">
        <f>_xlfn.XLOOKUP(A29,'3 month performance'!A:A,'3 month performance'!H:H)</f>
        <v>ELIGIBLE</v>
      </c>
      <c r="AO29" s="29" t="str">
        <f t="shared" si="17"/>
        <v>ELIGIBLE</v>
      </c>
      <c r="AP29" s="29" t="str">
        <f t="shared" si="18"/>
        <v>NOT ELIGIBLE</v>
      </c>
    </row>
    <row r="30" spans="1:42" ht="27" customHeight="1" x14ac:dyDescent="0.25">
      <c r="A30" s="102" t="str">
        <v>ramya@nexora.live</v>
      </c>
      <c r="B30" s="103" t="str">
        <f>_xlfn.XLOOKUP(A30,Attendance!F:F,Attendance!B:B)</f>
        <v>E-2207</v>
      </c>
      <c r="C30" s="103" t="str">
        <f>_xlfn.XLOOKUP(A30,Attendance!F:F,Attendance!K:K)</f>
        <v>Roshni</v>
      </c>
      <c r="D30" s="103" t="str">
        <f>_xlfn.XLOOKUP(A30,Attendance!F:F,Attendance!J:J)</f>
        <v>OJT 2</v>
      </c>
      <c r="E30" s="103">
        <f>_xlfn.XLOOKUP(A30,Attendance!F:F,Attendance!BM:BM)</f>
        <v>26</v>
      </c>
      <c r="F30" s="103">
        <f>_xlfn.XLOOKUP(A30,Attendance!F:F,Attendance!BO:BO)</f>
        <v>21</v>
      </c>
      <c r="G30" s="103">
        <f>_xlfn.XLOOKUP(A30,Attendance!F:F,Attendance!BP:BP)</f>
        <v>3</v>
      </c>
      <c r="H30" s="103">
        <f>COUNTIF('Realised Conversions'!C:C,Report!A30)</f>
        <v>10</v>
      </c>
      <c r="I30" s="103">
        <f>COUNTIFS('Realised Conversions'!C:C,Report!A30,'Realised Conversions'!F:F,"Referral (HOT)")</f>
        <v>0</v>
      </c>
      <c r="J30" s="100" t="str" cm="1">
        <f t="array" ref="J30">_xlfn.LET(_xlpm.own,TRIM('Realised Conversions'!$C$2:$C$5000),_xlpm.ls,TRIM('Realised Conversions'!$F$2:$F$5000),_xlpm.src,_xlfn._xlws.FILTER(_xlpm.ls,(_xlpm.own=TRIM(A30))*(_xlpm.ls&lt;&gt;""),""),IF(INDEX(_xlpm.src,1)="","",_xlfn.LET(_xlpm.u,_xlfn.UNIQUE(_xlpm.src),_xlpm.c,MMULT(--(_xlpm.u=TRANSPOSE(_xlpm.src)),_xlfn.SEQUENCE(ROWS(_xlpm.src),1,1,0)),_xlfn.TEXTJOIN(", ",TRUE,_xlfn.SORTBY(_xlpm.u&amp;": "&amp;_xlpm.c,_xlpm.c,-1)))))</f>
        <v>MAIN WEBSITE (HOT): 6, META3: 3, META-E: 1</v>
      </c>
      <c r="K30" s="103">
        <f>COUNTIFS('Realised Conversions'!C:C, Report!A30, 'Realised Conversions'!G:G, "&gt;10000")</f>
        <v>0</v>
      </c>
      <c r="L30" s="103">
        <f>COUNTIFS('Realised Conversions'!C:C,Report!A30,'Realised Conversions'!G:G,"&gt;15000")</f>
        <v>0</v>
      </c>
      <c r="M30" s="104">
        <f>SUMIFS('Realised Conversions'!G:G,'Realised Conversions'!C:C,Report!A30,'Realised Conversions'!G:G,"&gt;10000")</f>
        <v>0</v>
      </c>
      <c r="N30" s="104">
        <f>SUMIFS('Realised Conversions'!G:G,'Realised Conversions'!C:C,Report!A30,'Realised Conversions'!G:G,"&gt;15000")</f>
        <v>0</v>
      </c>
      <c r="O30" s="103">
        <f>SUMIF('Realised Conversions'!C:C,Report!A30,'Realised Conversions'!H:H)</f>
        <v>18</v>
      </c>
      <c r="P30" s="104">
        <f t="shared" si="0"/>
        <v>0</v>
      </c>
      <c r="Q30" s="104">
        <f>SUMIF('Realised Conversions'!N:N,Report!A30,'Realised Conversions'!R:R)</f>
        <v>0</v>
      </c>
      <c r="R30" s="105">
        <f t="shared" si="1"/>
        <v>3980</v>
      </c>
      <c r="S30" s="101">
        <f t="shared" si="6"/>
        <v>0.38461538461538464</v>
      </c>
      <c r="T30" s="101">
        <f t="shared" si="2"/>
        <v>0</v>
      </c>
      <c r="U30" s="101">
        <f>_xlfn.XLOOKUP(A30,QA!A:A,QA!D:D)</f>
        <v>0.93235294117647061</v>
      </c>
      <c r="V30" s="101" t="str">
        <f>_xlfn.XLOOKUP(A30,'Call Tagging'!A:A,'Call Tagging'!F:F,"No Entry")</f>
        <v>No Entry</v>
      </c>
      <c r="W30" s="106">
        <f>_xlfn.XLOOKUP(A30,'Avg Dials'!A:A,'Avg Dials'!B:B)</f>
        <v>225.56</v>
      </c>
      <c r="X30" s="106">
        <f>_xlfn.XLOOKUP(A30,'Avg Dials'!A:A,'Avg Dials'!C:C)</f>
        <v>202.63</v>
      </c>
      <c r="Y30" s="107">
        <f t="shared" si="7"/>
        <v>0</v>
      </c>
      <c r="Z30" s="107">
        <f t="shared" si="8"/>
        <v>0</v>
      </c>
      <c r="AA30" s="107">
        <f t="shared" si="9"/>
        <v>35</v>
      </c>
      <c r="AB30" s="107">
        <f t="shared" si="10"/>
        <v>20</v>
      </c>
      <c r="AC30" s="107">
        <f t="shared" si="3"/>
        <v>0</v>
      </c>
      <c r="AD30" s="107">
        <f t="shared" si="4"/>
        <v>20</v>
      </c>
      <c r="AE30" s="107">
        <f t="shared" si="5"/>
        <v>15</v>
      </c>
      <c r="AF30" s="108">
        <f t="shared" si="11"/>
        <v>90</v>
      </c>
      <c r="AG30" s="104">
        <f t="shared" si="12"/>
        <v>3582</v>
      </c>
      <c r="AH30" s="109">
        <f>_xlfn.XLOOKUP(A30,SOP!A:A,SOP!D:D,0)</f>
        <v>150</v>
      </c>
      <c r="AI30" s="99">
        <f t="shared" si="13"/>
        <v>3432</v>
      </c>
      <c r="AJ30" s="111">
        <f>_xlfn.XLOOKUP(A30,Attendance!F:F,Attendance!BQ:BQ)</f>
        <v>0.5</v>
      </c>
      <c r="AK30" s="29" t="str">
        <f t="shared" si="14"/>
        <v>NOT ELIGIBLE</v>
      </c>
      <c r="AL30" s="29" t="str">
        <f t="shared" si="15"/>
        <v>NOT ELIGIBLE</v>
      </c>
      <c r="AM30" s="29" t="str">
        <f t="shared" si="16"/>
        <v>NOT ELIGIBLE</v>
      </c>
      <c r="AN30" s="29" t="str">
        <f>_xlfn.XLOOKUP(A30,'3 month performance'!A:A,'3 month performance'!H:H)</f>
        <v>ELIGIBLE</v>
      </c>
      <c r="AO30" s="29" t="str">
        <f t="shared" si="17"/>
        <v>ELIGIBLE</v>
      </c>
      <c r="AP30" s="29" t="str">
        <f t="shared" si="18"/>
        <v>NOT ELIGIBLE</v>
      </c>
    </row>
    <row r="31" spans="1:42" ht="27" customHeight="1" x14ac:dyDescent="0.25">
      <c r="A31" s="102" t="str">
        <v>ishika@nexora.live</v>
      </c>
      <c r="B31" s="103" t="str">
        <f>_xlfn.XLOOKUP(A31,Attendance!F:F,Attendance!B:B)</f>
        <v>E-2208</v>
      </c>
      <c r="C31" s="103" t="str">
        <f>_xlfn.XLOOKUP(A31,Attendance!F:F,Attendance!K:K)</f>
        <v>Roshni</v>
      </c>
      <c r="D31" s="103" t="str">
        <f>_xlfn.XLOOKUP(A31,Attendance!F:F,Attendance!J:J)</f>
        <v>OJT 2</v>
      </c>
      <c r="E31" s="103">
        <f>_xlfn.XLOOKUP(A31,Attendance!F:F,Attendance!BM:BM)</f>
        <v>26</v>
      </c>
      <c r="F31" s="103">
        <f>_xlfn.XLOOKUP(A31,Attendance!F:F,Attendance!BO:BO)</f>
        <v>21</v>
      </c>
      <c r="G31" s="103">
        <f>_xlfn.XLOOKUP(A31,Attendance!F:F,Attendance!BP:BP)</f>
        <v>3</v>
      </c>
      <c r="H31" s="103">
        <f>COUNTIF('Realised Conversions'!C:C,Report!A31)</f>
        <v>20</v>
      </c>
      <c r="I31" s="103">
        <f>COUNTIFS('Realised Conversions'!C:C,Report!A31,'Realised Conversions'!F:F,"Referral (HOT)")</f>
        <v>9</v>
      </c>
      <c r="J31" s="100" t="str" cm="1">
        <f t="array" ref="J31">_xlfn.LET(_xlpm.own,TRIM('Realised Conversions'!$C$2:$C$5000),_xlpm.ls,TRIM('Realised Conversions'!$F$2:$F$5000),_xlpm.src,_xlfn._xlws.FILTER(_xlpm.ls,(_xlpm.own=TRIM(A31))*(_xlpm.ls&lt;&gt;""),""),IF(INDEX(_xlpm.src,1)="","",_xlfn.LET(_xlpm.u,_xlfn.UNIQUE(_xlpm.src),_xlpm.c,MMULT(--(_xlpm.u=TRANSPOSE(_xlpm.src)),_xlfn.SEQUENCE(ROWS(_xlpm.src),1,1,0)),_xlfn.TEXTJOIN(", ",TRUE,_xlfn.SORTBY(_xlpm.u&amp;": "&amp;_xlpm.c,_xlpm.c,-1)))))</f>
        <v>Referral (HOT): 9, MAIN WEBSITE (HOT): 3, META3: 3, META6: 2, Meta(Murtaza-E): 1, META-E: 1, Telegram: 1</v>
      </c>
      <c r="K31" s="103">
        <f>COUNTIFS('Realised Conversions'!C:C, Report!A31, 'Realised Conversions'!G:G, "&gt;10000")</f>
        <v>0</v>
      </c>
      <c r="L31" s="103">
        <f>COUNTIFS('Realised Conversions'!C:C,Report!A31,'Realised Conversions'!G:G,"&gt;15000")</f>
        <v>0</v>
      </c>
      <c r="M31" s="104">
        <f>SUMIFS('Realised Conversions'!G:G,'Realised Conversions'!C:C,Report!A31,'Realised Conversions'!G:G,"&gt;10000")</f>
        <v>0</v>
      </c>
      <c r="N31" s="104">
        <f>SUMIFS('Realised Conversions'!G:G,'Realised Conversions'!C:C,Report!A31,'Realised Conversions'!G:G,"&gt;15000")</f>
        <v>0</v>
      </c>
      <c r="O31" s="103">
        <f>SUMIF('Realised Conversions'!C:C,Report!A31,'Realised Conversions'!H:H)</f>
        <v>49</v>
      </c>
      <c r="P31" s="104">
        <f t="shared" si="0"/>
        <v>0</v>
      </c>
      <c r="Q31" s="104">
        <f>SUMIF('Realised Conversions'!N:N,Report!A31,'Realised Conversions'!R:R)</f>
        <v>1000</v>
      </c>
      <c r="R31" s="105">
        <f t="shared" si="1"/>
        <v>6240</v>
      </c>
      <c r="S31" s="101">
        <f t="shared" si="6"/>
        <v>0.76923076923076927</v>
      </c>
      <c r="T31" s="101">
        <f t="shared" si="2"/>
        <v>0</v>
      </c>
      <c r="U31" s="101">
        <f>_xlfn.XLOOKUP(A31,QA!A:A,QA!D:D)</f>
        <v>1</v>
      </c>
      <c r="V31" s="101" t="str">
        <f>_xlfn.XLOOKUP(A31,'Call Tagging'!A:A,'Call Tagging'!F:F,"No Entry")</f>
        <v>No Entry</v>
      </c>
      <c r="W31" s="106">
        <f>_xlfn.XLOOKUP(A31,'Avg Dials'!A:A,'Avg Dials'!B:B)</f>
        <v>200.73</v>
      </c>
      <c r="X31" s="106">
        <f>_xlfn.XLOOKUP(A31,'Avg Dials'!A:A,'Avg Dials'!C:C)</f>
        <v>181.92</v>
      </c>
      <c r="Y31" s="107">
        <f t="shared" si="7"/>
        <v>0</v>
      </c>
      <c r="Z31" s="107">
        <f t="shared" si="8"/>
        <v>25</v>
      </c>
      <c r="AA31" s="107">
        <f t="shared" si="9"/>
        <v>35</v>
      </c>
      <c r="AB31" s="107">
        <f t="shared" si="10"/>
        <v>0</v>
      </c>
      <c r="AC31" s="107">
        <f t="shared" si="3"/>
        <v>25</v>
      </c>
      <c r="AD31" s="107">
        <f t="shared" si="4"/>
        <v>20</v>
      </c>
      <c r="AE31" s="107">
        <f t="shared" si="5"/>
        <v>15</v>
      </c>
      <c r="AF31" s="108">
        <f t="shared" si="11"/>
        <v>120</v>
      </c>
      <c r="AG31" s="104">
        <f t="shared" si="12"/>
        <v>7488</v>
      </c>
      <c r="AH31" s="109">
        <f>_xlfn.XLOOKUP(A31,SOP!A:A,SOP!D:D,0)</f>
        <v>0</v>
      </c>
      <c r="AI31" s="99">
        <f t="shared" si="13"/>
        <v>7488</v>
      </c>
      <c r="AJ31" s="111">
        <f>_xlfn.XLOOKUP(A31,Attendance!F:F,Attendance!BQ:BQ)</f>
        <v>0</v>
      </c>
      <c r="AK31" s="29" t="str">
        <f t="shared" si="14"/>
        <v>ELIGIBLE</v>
      </c>
      <c r="AL31" s="29" t="str">
        <f t="shared" si="15"/>
        <v>NOT ELIGIBLE</v>
      </c>
      <c r="AM31" s="29" t="str">
        <f t="shared" si="16"/>
        <v>ELIGIBLE</v>
      </c>
      <c r="AN31" s="29" t="str">
        <f>_xlfn.XLOOKUP(A31,'3 month performance'!A:A,'3 month performance'!H:H)</f>
        <v>ELIGIBLE</v>
      </c>
      <c r="AO31" s="29" t="str">
        <f t="shared" si="17"/>
        <v>ELIGIBLE</v>
      </c>
      <c r="AP31" s="29" t="str">
        <f t="shared" si="18"/>
        <v>NOT ELIGIBLE</v>
      </c>
    </row>
    <row r="32" spans="1:42" ht="27" customHeight="1" x14ac:dyDescent="0.25">
      <c r="A32" s="102" t="str">
        <v>vamshi@nexora.live</v>
      </c>
      <c r="B32" s="103" t="str">
        <f>_xlfn.XLOOKUP(A32,Attendance!F:F,Attendance!B:B)</f>
        <v>E-2297</v>
      </c>
      <c r="C32" s="103" t="str">
        <f>_xlfn.XLOOKUP(A32,Attendance!F:F,Attendance!K:K)</f>
        <v>Roshni</v>
      </c>
      <c r="D32" s="103" t="str">
        <f>_xlfn.XLOOKUP(A32,Attendance!F:F,Attendance!J:J)</f>
        <v>OJT4</v>
      </c>
      <c r="E32" s="103">
        <f>_xlfn.XLOOKUP(A32,Attendance!F:F,Attendance!BM:BM)</f>
        <v>26</v>
      </c>
      <c r="F32" s="103">
        <f>_xlfn.XLOOKUP(A32,Attendance!F:F,Attendance!BO:BO)</f>
        <v>21</v>
      </c>
      <c r="G32" s="103">
        <f>_xlfn.XLOOKUP(A32,Attendance!F:F,Attendance!BP:BP)</f>
        <v>3</v>
      </c>
      <c r="H32" s="103">
        <f>COUNTIF('Realised Conversions'!C:C,Report!A32)</f>
        <v>3</v>
      </c>
      <c r="I32" s="103">
        <f>COUNTIFS('Realised Conversions'!C:C,Report!A32,'Realised Conversions'!F:F,"Referral (HOT)")</f>
        <v>0</v>
      </c>
      <c r="J32" s="100" t="str" cm="1">
        <f t="array" ref="J32">_xlfn.LET(_xlpm.own,TRIM('Realised Conversions'!$C$2:$C$5000),_xlpm.ls,TRIM('Realised Conversions'!$F$2:$F$5000),_xlpm.src,_xlfn._xlws.FILTER(_xlpm.ls,(_xlpm.own=TRIM(A32))*(_xlpm.ls&lt;&gt;""),""),IF(INDEX(_xlpm.src,1)="","",_xlfn.LET(_xlpm.u,_xlfn.UNIQUE(_xlpm.src),_xlpm.c,MMULT(--(_xlpm.u=TRANSPOSE(_xlpm.src)),_xlfn.SEQUENCE(ROWS(_xlpm.src),1,1,0)),_xlfn.TEXTJOIN(", ",TRUE,_xlfn.SORTBY(_xlpm.u&amp;": "&amp;_xlpm.c,_xlpm.c,-1)))))</f>
        <v>META6: 2, MAIN WEBSITE (HOT): 1</v>
      </c>
      <c r="K32" s="103">
        <f>COUNTIFS('Realised Conversions'!C:C, Report!A32, 'Realised Conversions'!G:G, "&gt;10000")</f>
        <v>0</v>
      </c>
      <c r="L32" s="103">
        <f>COUNTIFS('Realised Conversions'!C:C,Report!A32,'Realised Conversions'!G:G,"&gt;15000")</f>
        <v>0</v>
      </c>
      <c r="M32" s="104">
        <f>SUMIFS('Realised Conversions'!G:G,'Realised Conversions'!C:C,Report!A32,'Realised Conversions'!G:G,"&gt;10000")</f>
        <v>0</v>
      </c>
      <c r="N32" s="104">
        <f>SUMIFS('Realised Conversions'!G:G,'Realised Conversions'!C:C,Report!A32,'Realised Conversions'!G:G,"&gt;15000")</f>
        <v>0</v>
      </c>
      <c r="O32" s="103">
        <f>SUMIF('Realised Conversions'!C:C,Report!A32,'Realised Conversions'!H:H)</f>
        <v>3</v>
      </c>
      <c r="P32" s="104">
        <f t="shared" si="0"/>
        <v>0</v>
      </c>
      <c r="Q32" s="104">
        <f>SUMIF('Realised Conversions'!N:N,Report!A32,'Realised Conversions'!R:R)</f>
        <v>0</v>
      </c>
      <c r="R32" s="105">
        <f t="shared" si="1"/>
        <v>3500</v>
      </c>
      <c r="S32" s="101">
        <f t="shared" si="6"/>
        <v>0.11538461538461539</v>
      </c>
      <c r="T32" s="101">
        <f t="shared" si="2"/>
        <v>0</v>
      </c>
      <c r="U32" s="101">
        <f>_xlfn.XLOOKUP(A32,QA!A:A,QA!D:D)</f>
        <v>0.98382352941176476</v>
      </c>
      <c r="V32" s="101" t="str">
        <f>_xlfn.XLOOKUP(A32,'Call Tagging'!A:A,'Call Tagging'!F:F,"No Entry")</f>
        <v>No Entry</v>
      </c>
      <c r="W32" s="106">
        <f>_xlfn.XLOOKUP(A32,'Avg Dials'!A:A,'Avg Dials'!B:B)</f>
        <v>194</v>
      </c>
      <c r="X32" s="106">
        <f>_xlfn.XLOOKUP(A32,'Avg Dials'!A:A,'Avg Dials'!C:C)</f>
        <v>173.3</v>
      </c>
      <c r="Y32" s="107">
        <f t="shared" si="7"/>
        <v>0</v>
      </c>
      <c r="Z32" s="107">
        <f t="shared" si="8"/>
        <v>0</v>
      </c>
      <c r="AA32" s="107">
        <f t="shared" si="9"/>
        <v>20</v>
      </c>
      <c r="AB32" s="107">
        <f t="shared" si="10"/>
        <v>0</v>
      </c>
      <c r="AC32" s="107">
        <f t="shared" si="3"/>
        <v>0</v>
      </c>
      <c r="AD32" s="107">
        <f t="shared" si="4"/>
        <v>20</v>
      </c>
      <c r="AE32" s="107">
        <f t="shared" si="5"/>
        <v>15</v>
      </c>
      <c r="AF32" s="108">
        <f t="shared" si="11"/>
        <v>55</v>
      </c>
      <c r="AG32" s="104">
        <f t="shared" si="12"/>
        <v>1925</v>
      </c>
      <c r="AH32" s="109">
        <f>_xlfn.XLOOKUP(A32,SOP!A:A,SOP!D:D,0)</f>
        <v>0</v>
      </c>
      <c r="AI32" s="99">
        <f t="shared" si="13"/>
        <v>1925</v>
      </c>
      <c r="AJ32" s="111">
        <f>_xlfn.XLOOKUP(A32,Attendance!F:F,Attendance!BQ:BQ)</f>
        <v>0</v>
      </c>
      <c r="AK32" s="29" t="str">
        <f t="shared" si="14"/>
        <v>NOT ELIGIBLE</v>
      </c>
      <c r="AL32" s="29" t="str">
        <f t="shared" si="15"/>
        <v>NOT ELIGIBLE</v>
      </c>
      <c r="AM32" s="29" t="str">
        <f t="shared" si="16"/>
        <v>NOT ELIGIBLE</v>
      </c>
      <c r="AN32" s="29" t="str">
        <f>_xlfn.XLOOKUP(A32,'3 month performance'!A:A,'3 month performance'!H:H)</f>
        <v>ELIGIBLE</v>
      </c>
      <c r="AO32" s="29" t="str">
        <f t="shared" si="17"/>
        <v>ELIGIBLE</v>
      </c>
      <c r="AP32" s="29" t="str">
        <f t="shared" si="18"/>
        <v>NOT ELIGIBLE</v>
      </c>
    </row>
    <row r="33" spans="1:42" ht="27" customHeight="1" x14ac:dyDescent="0.25">
      <c r="A33" s="102" t="str">
        <v>manpreet@nexora.live</v>
      </c>
      <c r="B33" s="103" t="str">
        <f>_xlfn.XLOOKUP(A33,Attendance!F:F,Attendance!B:B)</f>
        <v>E-2298</v>
      </c>
      <c r="C33" s="103" t="str">
        <f>_xlfn.XLOOKUP(A33,Attendance!F:F,Attendance!K:K)</f>
        <v>Roshni</v>
      </c>
      <c r="D33" s="103" t="str">
        <f>_xlfn.XLOOKUP(A33,Attendance!F:F,Attendance!J:J)</f>
        <v>OJT4</v>
      </c>
      <c r="E33" s="103">
        <f>_xlfn.XLOOKUP(A33,Attendance!F:F,Attendance!BM:BM)</f>
        <v>26</v>
      </c>
      <c r="F33" s="103">
        <f>_xlfn.XLOOKUP(A33,Attendance!F:F,Attendance!BO:BO)</f>
        <v>21</v>
      </c>
      <c r="G33" s="103">
        <f>_xlfn.XLOOKUP(A33,Attendance!F:F,Attendance!BP:BP)</f>
        <v>3</v>
      </c>
      <c r="H33" s="103">
        <f>COUNTIF('Realised Conversions'!C:C,Report!A33)</f>
        <v>3</v>
      </c>
      <c r="I33" s="103">
        <f>COUNTIFS('Realised Conversions'!C:C,Report!A33,'Realised Conversions'!F:F,"Referral (HOT)")</f>
        <v>0</v>
      </c>
      <c r="J33" s="100" t="str" cm="1">
        <f t="array" ref="J33">_xlfn.LET(_xlpm.own,TRIM('Realised Conversions'!$C$2:$C$5000),_xlpm.ls,TRIM('Realised Conversions'!$F$2:$F$5000),_xlpm.src,_xlfn._xlws.FILTER(_xlpm.ls,(_xlpm.own=TRIM(A33))*(_xlpm.ls&lt;&gt;""),""),IF(INDEX(_xlpm.src,1)="","",_xlfn.LET(_xlpm.u,_xlfn.UNIQUE(_xlpm.src),_xlpm.c,MMULT(--(_xlpm.u=TRANSPOSE(_xlpm.src)),_xlfn.SEQUENCE(ROWS(_xlpm.src),1,1,0)),_xlfn.TEXTJOIN(", ",TRUE,_xlfn.SORTBY(_xlpm.u&amp;": "&amp;_xlpm.c,_xlpm.c,-1)))))</f>
        <v>Meta6: 2, Premium: 1</v>
      </c>
      <c r="K33" s="103">
        <f>COUNTIFS('Realised Conversions'!C:C, Report!A33, 'Realised Conversions'!G:G, "&gt;10000")</f>
        <v>0</v>
      </c>
      <c r="L33" s="103">
        <f>COUNTIFS('Realised Conversions'!C:C,Report!A33,'Realised Conversions'!G:G,"&gt;15000")</f>
        <v>0</v>
      </c>
      <c r="M33" s="104">
        <f>SUMIFS('Realised Conversions'!G:G,'Realised Conversions'!C:C,Report!A33,'Realised Conversions'!G:G,"&gt;10000")</f>
        <v>0</v>
      </c>
      <c r="N33" s="104">
        <f>SUMIFS('Realised Conversions'!G:G,'Realised Conversions'!C:C,Report!A33,'Realised Conversions'!G:G,"&gt;15000")</f>
        <v>0</v>
      </c>
      <c r="O33" s="103">
        <f>SUMIF('Realised Conversions'!C:C,Report!A33,'Realised Conversions'!H:H)</f>
        <v>4</v>
      </c>
      <c r="P33" s="104">
        <f t="shared" si="0"/>
        <v>0</v>
      </c>
      <c r="Q33" s="104">
        <f>SUMIF('Realised Conversions'!N:N,Report!A33,'Realised Conversions'!R:R)</f>
        <v>0</v>
      </c>
      <c r="R33" s="105">
        <f t="shared" si="1"/>
        <v>3560</v>
      </c>
      <c r="S33" s="101">
        <f t="shared" si="6"/>
        <v>0.11538461538461539</v>
      </c>
      <c r="T33" s="101">
        <f t="shared" si="2"/>
        <v>0</v>
      </c>
      <c r="U33" s="101">
        <f>_xlfn.XLOOKUP(A33,QA!A:A,QA!D:D)</f>
        <v>0.80147058823529405</v>
      </c>
      <c r="V33" s="101" t="str">
        <f>_xlfn.XLOOKUP(A33,'Call Tagging'!A:A,'Call Tagging'!F:F,"No Entry")</f>
        <v>No Entry</v>
      </c>
      <c r="W33" s="106">
        <f>_xlfn.XLOOKUP(A33,'Avg Dials'!A:A,'Avg Dials'!B:B)</f>
        <v>123.4</v>
      </c>
      <c r="X33" s="106">
        <f>_xlfn.XLOOKUP(A33,'Avg Dials'!A:A,'Avg Dials'!C:C)</f>
        <v>79.8</v>
      </c>
      <c r="Y33" s="107">
        <f t="shared" si="7"/>
        <v>0</v>
      </c>
      <c r="Z33" s="107">
        <f t="shared" si="8"/>
        <v>0</v>
      </c>
      <c r="AA33" s="107">
        <f t="shared" si="9"/>
        <v>0</v>
      </c>
      <c r="AB33" s="107">
        <f t="shared" si="10"/>
        <v>0</v>
      </c>
      <c r="AC33" s="107">
        <f t="shared" si="3"/>
        <v>0</v>
      </c>
      <c r="AD33" s="107">
        <f t="shared" si="4"/>
        <v>10</v>
      </c>
      <c r="AE33" s="107">
        <f t="shared" si="5"/>
        <v>15</v>
      </c>
      <c r="AF33" s="108">
        <f t="shared" si="11"/>
        <v>25</v>
      </c>
      <c r="AG33" s="104">
        <f t="shared" si="12"/>
        <v>890</v>
      </c>
      <c r="AH33" s="109">
        <f>_xlfn.XLOOKUP(A33,SOP!A:A,SOP!D:D,0)</f>
        <v>0</v>
      </c>
      <c r="AI33" s="99">
        <f t="shared" si="13"/>
        <v>890</v>
      </c>
      <c r="AJ33" s="111">
        <f>_xlfn.XLOOKUP(A33,Attendance!F:F,Attendance!BQ:BQ)</f>
        <v>0.5</v>
      </c>
      <c r="AK33" s="29" t="str">
        <f t="shared" si="14"/>
        <v>NOT ELIGIBLE</v>
      </c>
      <c r="AL33" s="29" t="str">
        <f t="shared" si="15"/>
        <v>NOT ELIGIBLE</v>
      </c>
      <c r="AM33" s="29" t="str">
        <f t="shared" si="16"/>
        <v>NOT ELIGIBLE</v>
      </c>
      <c r="AN33" s="29" t="str">
        <f>_xlfn.XLOOKUP(A33,'3 month performance'!A:A,'3 month performance'!H:H)</f>
        <v>ELIGIBLE</v>
      </c>
      <c r="AO33" s="29" t="str">
        <f t="shared" si="17"/>
        <v>ELIGIBLE</v>
      </c>
      <c r="AP33" s="29" t="str">
        <f t="shared" si="18"/>
        <v>NOT ELIGIBLE</v>
      </c>
    </row>
    <row r="34" spans="1:42" ht="27" customHeight="1" x14ac:dyDescent="0.25">
      <c r="A34" s="102" t="str">
        <v>disha@nexora.live</v>
      </c>
      <c r="B34" s="103" t="str">
        <f>_xlfn.XLOOKUP(A34,Attendance!F:F,Attendance!B:B)</f>
        <v>E-2296</v>
      </c>
      <c r="C34" s="103" t="str">
        <f>_xlfn.XLOOKUP(A34,Attendance!F:F,Attendance!K:K)</f>
        <v>Roshni</v>
      </c>
      <c r="D34" s="103" t="str">
        <f>_xlfn.XLOOKUP(A34,Attendance!F:F,Attendance!J:J)</f>
        <v>OJT4</v>
      </c>
      <c r="E34" s="103">
        <f>_xlfn.XLOOKUP(A34,Attendance!F:F,Attendance!BM:BM)</f>
        <v>26</v>
      </c>
      <c r="F34" s="103">
        <f>_xlfn.XLOOKUP(A34,Attendance!F:F,Attendance!BO:BO)</f>
        <v>21</v>
      </c>
      <c r="G34" s="103">
        <f>_xlfn.XLOOKUP(A34,Attendance!F:F,Attendance!BP:BP)</f>
        <v>3</v>
      </c>
      <c r="H34" s="103">
        <f>COUNTIF('Realised Conversions'!C:C,Report!A34)</f>
        <v>3</v>
      </c>
      <c r="I34" s="103">
        <f>COUNTIFS('Realised Conversions'!C:C,Report!A34,'Realised Conversions'!F:F,"Referral (HOT)")</f>
        <v>1</v>
      </c>
      <c r="J34" s="100" t="str" cm="1">
        <f t="array" ref="J34">_xlfn.LET(_xlpm.own,TRIM('Realised Conversions'!$C$2:$C$5000),_xlpm.ls,TRIM('Realised Conversions'!$F$2:$F$5000),_xlpm.src,_xlfn._xlws.FILTER(_xlpm.ls,(_xlpm.own=TRIM(A34))*(_xlpm.ls&lt;&gt;""),""),IF(INDEX(_xlpm.src,1)="","",_xlfn.LET(_xlpm.u,_xlfn.UNIQUE(_xlpm.src),_xlpm.c,MMULT(--(_xlpm.u=TRANSPOSE(_xlpm.src)),_xlfn.SEQUENCE(ROWS(_xlpm.src),1,1,0)),_xlfn.TEXTJOIN(", ",TRUE,_xlfn.SORTBY(_xlpm.u&amp;": "&amp;_xlpm.c,_xlpm.c,-1)))))</f>
        <v>MAIN WEBSITE (HOT): 2, Referral (HOT): 1</v>
      </c>
      <c r="K34" s="103">
        <f>COUNTIFS('Realised Conversions'!C:C, Report!A34, 'Realised Conversions'!G:G, "&gt;10000")</f>
        <v>0</v>
      </c>
      <c r="L34" s="103">
        <f>COUNTIFS('Realised Conversions'!C:C,Report!A34,'Realised Conversions'!G:G,"&gt;15000")</f>
        <v>0</v>
      </c>
      <c r="M34" s="104">
        <f>SUMIFS('Realised Conversions'!G:G,'Realised Conversions'!C:C,Report!A34,'Realised Conversions'!G:G,"&gt;10000")</f>
        <v>0</v>
      </c>
      <c r="N34" s="104">
        <f>SUMIFS('Realised Conversions'!G:G,'Realised Conversions'!C:C,Report!A34,'Realised Conversions'!G:G,"&gt;15000")</f>
        <v>0</v>
      </c>
      <c r="O34" s="103">
        <f>SUMIF('Realised Conversions'!C:C,Report!A34,'Realised Conversions'!H:H)</f>
        <v>5</v>
      </c>
      <c r="P34" s="104">
        <f t="shared" si="0"/>
        <v>0</v>
      </c>
      <c r="Q34" s="104">
        <f>SUMIF('Realised Conversions'!N:N,Report!A34,'Realised Conversions'!R:R)</f>
        <v>0</v>
      </c>
      <c r="R34" s="105">
        <f t="shared" si="1"/>
        <v>3620</v>
      </c>
      <c r="S34" s="101">
        <f t="shared" si="6"/>
        <v>0.11538461538461539</v>
      </c>
      <c r="T34" s="101">
        <f t="shared" si="2"/>
        <v>0</v>
      </c>
      <c r="U34" s="101">
        <f>_xlfn.XLOOKUP(A34,QA!A:A,QA!D:D)</f>
        <v>0.84324324324324329</v>
      </c>
      <c r="V34" s="101" t="s">
        <v>1880</v>
      </c>
      <c r="W34" s="106">
        <f>_xlfn.XLOOKUP(A34,'Avg Dials'!A:A,'Avg Dials'!B:B)</f>
        <v>221.25</v>
      </c>
      <c r="X34" s="106">
        <f>_xlfn.XLOOKUP(A34,'Avg Dials'!A:A,'Avg Dials'!C:C)</f>
        <v>142.41999999999999</v>
      </c>
      <c r="Y34" s="107">
        <f t="shared" si="7"/>
        <v>0</v>
      </c>
      <c r="Z34" s="107">
        <f t="shared" si="8"/>
        <v>15</v>
      </c>
      <c r="AA34" s="107">
        <f t="shared" si="9"/>
        <v>10</v>
      </c>
      <c r="AB34" s="107">
        <f t="shared" si="10"/>
        <v>0</v>
      </c>
      <c r="AC34" s="107">
        <f t="shared" si="3"/>
        <v>0</v>
      </c>
      <c r="AD34" s="107">
        <f t="shared" si="4"/>
        <v>10</v>
      </c>
      <c r="AE34" s="107">
        <f t="shared" si="5"/>
        <v>15</v>
      </c>
      <c r="AF34" s="108">
        <f t="shared" si="11"/>
        <v>50</v>
      </c>
      <c r="AG34" s="104">
        <f t="shared" si="12"/>
        <v>1810</v>
      </c>
      <c r="AH34" s="109">
        <f>_xlfn.XLOOKUP(A34,SOP!A:A,SOP!D:D,0)</f>
        <v>600</v>
      </c>
      <c r="AI34" s="99">
        <f t="shared" si="13"/>
        <v>1210</v>
      </c>
      <c r="AJ34" s="111">
        <f>_xlfn.XLOOKUP(A34,Attendance!F:F,Attendance!BQ:BQ)</f>
        <v>0</v>
      </c>
      <c r="AK34" s="29" t="str">
        <f t="shared" si="14"/>
        <v>NOT ELIGIBLE</v>
      </c>
      <c r="AL34" s="29" t="str">
        <f t="shared" si="15"/>
        <v>NOT ELIGIBLE</v>
      </c>
      <c r="AM34" s="29" t="str">
        <f t="shared" si="16"/>
        <v>NOT ELIGIBLE</v>
      </c>
      <c r="AN34" s="29" t="str">
        <f>_xlfn.XLOOKUP(A34,'3 month performance'!A:A,'3 month performance'!H:H)</f>
        <v>ELIGIBLE</v>
      </c>
      <c r="AO34" s="29" t="str">
        <f t="shared" si="17"/>
        <v>ELIGIBLE</v>
      </c>
      <c r="AP34" s="29" t="str">
        <f t="shared" si="18"/>
        <v>NOT ELIGIBLE</v>
      </c>
    </row>
    <row r="35" spans="1:42" ht="27" customHeight="1" x14ac:dyDescent="0.25">
      <c r="A35" s="102" t="str">
        <v>abhishek.k@nexora.live</v>
      </c>
      <c r="B35" s="103" t="str">
        <f>_xlfn.XLOOKUP(A35,Attendance!F:F,Attendance!B:B)</f>
        <v>E-1266</v>
      </c>
      <c r="C35" s="103" t="str">
        <f>_xlfn.XLOOKUP(A35,Attendance!F:F,Attendance!K:K)</f>
        <v>Rehan</v>
      </c>
      <c r="D35" s="103" t="str">
        <f>_xlfn.XLOOKUP(A35,Attendance!F:F,Attendance!J:J)</f>
        <v>Meta</v>
      </c>
      <c r="E35" s="103">
        <f>_xlfn.XLOOKUP(A35,Attendance!F:F,Attendance!BM:BM)</f>
        <v>45</v>
      </c>
      <c r="F35" s="103">
        <f>_xlfn.XLOOKUP(A35,Attendance!F:F,Attendance!BO:BO)</f>
        <v>36</v>
      </c>
      <c r="G35" s="103">
        <f>_xlfn.XLOOKUP(A35,Attendance!F:F,Attendance!BP:BP)</f>
        <v>12</v>
      </c>
      <c r="H35" s="103">
        <f>COUNTIF('Realised Conversions'!C:C,Report!A35)</f>
        <v>30</v>
      </c>
      <c r="I35" s="103">
        <f>COUNTIFS('Realised Conversions'!C:C,Report!A35,'Realised Conversions'!F:F,"Referral (HOT)")</f>
        <v>1</v>
      </c>
      <c r="J35" s="100" t="str" cm="1">
        <f t="array" ref="J35">_xlfn.LET(_xlpm.own,TRIM('Realised Conversions'!$C$2:$C$5000),_xlpm.ls,TRIM('Realised Conversions'!$F$2:$F$5000),_xlpm.src,_xlfn._xlws.FILTER(_xlpm.ls,(_xlpm.own=TRIM(A35))*(_xlpm.ls&lt;&gt;""),""),IF(INDEX(_xlpm.src,1)="","",_xlfn.LET(_xlpm.u,_xlfn.UNIQUE(_xlpm.src),_xlpm.c,MMULT(--(_xlpm.u=TRANSPOSE(_xlpm.src)),_xlfn.SEQUENCE(ROWS(_xlpm.src),1,1,0)),_xlfn.TEXTJOIN(", ",TRUE,_xlfn.SORTBY(_xlpm.u&amp;": "&amp;_xlpm.c,_xlpm.c,-1)))))</f>
        <v>Meta6: 16, Telegram ads: 5, MAIN WEBSITE (HOT): 2, Telegram: 2, META3: 1, Meta Crypto: 1, Meta-Saudi: 1, APPLICATION: 1, Referral (HOT): 1</v>
      </c>
      <c r="K35" s="103">
        <f>COUNTIFS('Realised Conversions'!C:C, Report!A35, 'Realised Conversions'!G:G, "&gt;10000")</f>
        <v>0</v>
      </c>
      <c r="L35" s="103">
        <f>COUNTIFS('Realised Conversions'!C:C,Report!A35,'Realised Conversions'!G:G,"&gt;15000")</f>
        <v>0</v>
      </c>
      <c r="M35" s="104">
        <f>SUMIFS('Realised Conversions'!G:G,'Realised Conversions'!C:C,Report!A35,'Realised Conversions'!G:G,"&gt;10000")</f>
        <v>0</v>
      </c>
      <c r="N35" s="104">
        <f>SUMIFS('Realised Conversions'!G:G,'Realised Conversions'!C:C,Report!A35,'Realised Conversions'!G:G,"&gt;15000")</f>
        <v>0</v>
      </c>
      <c r="O35" s="103">
        <f>SUMIF('Realised Conversions'!C:C,Report!A35,'Realised Conversions'!H:H)</f>
        <v>45</v>
      </c>
      <c r="P35" s="104">
        <f t="shared" si="0"/>
        <v>0</v>
      </c>
      <c r="Q35" s="104">
        <f>SUMIF('Realised Conversions'!N:N,Report!A35,'Realised Conversions'!R:R)</f>
        <v>400</v>
      </c>
      <c r="R35" s="105">
        <f t="shared" si="1"/>
        <v>4800</v>
      </c>
      <c r="S35" s="101">
        <f t="shared" si="6"/>
        <v>0.66666666666666663</v>
      </c>
      <c r="T35" s="101">
        <f t="shared" si="2"/>
        <v>0</v>
      </c>
      <c r="U35" s="101">
        <f>_xlfn.XLOOKUP(A35,QA!A:A,QA!D:D)</f>
        <v>0.72058823529411764</v>
      </c>
      <c r="V35" s="101">
        <f>_xlfn.XLOOKUP(A35,'Call Tagging'!A:A,'Call Tagging'!F:F,"No Entry")</f>
        <v>0.9211822660098522</v>
      </c>
      <c r="W35" s="106">
        <f>_xlfn.XLOOKUP(A35,'Avg Dials'!A:A,'Avg Dials'!B:B)</f>
        <v>254.89</v>
      </c>
      <c r="X35" s="106">
        <f>_xlfn.XLOOKUP(A35,'Avg Dials'!A:A,'Avg Dials'!C:C)</f>
        <v>177.48</v>
      </c>
      <c r="Y35" s="107">
        <f t="shared" si="7"/>
        <v>0</v>
      </c>
      <c r="Z35" s="107">
        <f t="shared" si="8"/>
        <v>0</v>
      </c>
      <c r="AA35" s="107">
        <f t="shared" si="9"/>
        <v>40</v>
      </c>
      <c r="AB35" s="107">
        <f t="shared" si="10"/>
        <v>0</v>
      </c>
      <c r="AC35" s="107">
        <f t="shared" si="3"/>
        <v>45</v>
      </c>
      <c r="AD35" s="107">
        <f t="shared" si="4"/>
        <v>10</v>
      </c>
      <c r="AE35" s="107">
        <f t="shared" si="5"/>
        <v>15</v>
      </c>
      <c r="AF35" s="108">
        <f t="shared" si="11"/>
        <v>110</v>
      </c>
      <c r="AG35" s="104">
        <f t="shared" si="12"/>
        <v>5280</v>
      </c>
      <c r="AH35" s="109">
        <f>_xlfn.XLOOKUP(A35,SOP!A:A,SOP!D:D,0)</f>
        <v>3750</v>
      </c>
      <c r="AI35" s="99">
        <f t="shared" si="13"/>
        <v>1530</v>
      </c>
      <c r="AJ35" s="111">
        <f>_xlfn.XLOOKUP(A35,Attendance!F:F,Attendance!BQ:BQ)</f>
        <v>0</v>
      </c>
      <c r="AK35" s="29" t="str">
        <f t="shared" si="14"/>
        <v>NOT ELIGIBLE</v>
      </c>
      <c r="AL35" s="29" t="str">
        <f t="shared" si="15"/>
        <v>NOT ELIGIBLE</v>
      </c>
      <c r="AM35" s="29" t="str">
        <f t="shared" si="16"/>
        <v>NOT ELIGIBLE</v>
      </c>
      <c r="AN35" s="29" t="str">
        <f>_xlfn.XLOOKUP(A35,'3 month performance'!A:A,'3 month performance'!H:H)</f>
        <v>NOT ELIGIBLE</v>
      </c>
      <c r="AO35" s="29" t="str">
        <f t="shared" si="17"/>
        <v>ELIGIBLE</v>
      </c>
      <c r="AP35" s="29" t="str">
        <f t="shared" si="18"/>
        <v>NOT ELIGIBLE</v>
      </c>
    </row>
    <row r="36" spans="1:42" ht="27" customHeight="1" x14ac:dyDescent="0.25">
      <c r="A36" s="102" t="str">
        <v>deepa.negi@nexora.live</v>
      </c>
      <c r="B36" s="103" t="str">
        <f>_xlfn.XLOOKUP(A36,Attendance!F:F,Attendance!B:B)</f>
        <v>E-1443</v>
      </c>
      <c r="C36" s="103" t="str">
        <f>_xlfn.XLOOKUP(A36,Attendance!F:F,Attendance!K:K)</f>
        <v>Rehan</v>
      </c>
      <c r="D36" s="103" t="str">
        <f>_xlfn.XLOOKUP(A36,Attendance!F:F,Attendance!J:J)</f>
        <v>Meta</v>
      </c>
      <c r="E36" s="103">
        <f>_xlfn.XLOOKUP(A36,Attendance!F:F,Attendance!BM:BM)</f>
        <v>45</v>
      </c>
      <c r="F36" s="103">
        <f>_xlfn.XLOOKUP(A36,Attendance!F:F,Attendance!BO:BO)</f>
        <v>36</v>
      </c>
      <c r="G36" s="103">
        <f>_xlfn.XLOOKUP(A36,Attendance!F:F,Attendance!BP:BP)</f>
        <v>12</v>
      </c>
      <c r="H36" s="103">
        <f>COUNTIF('Realised Conversions'!C:C,Report!A36)</f>
        <v>34</v>
      </c>
      <c r="I36" s="103">
        <f>COUNTIFS('Realised Conversions'!C:C,Report!A36,'Realised Conversions'!F:F,"Referral (HOT)")</f>
        <v>7</v>
      </c>
      <c r="J36" s="100" t="str" cm="1">
        <f t="array" ref="J36">_xlfn.LET(_xlpm.own,TRIM('Realised Conversions'!$C$2:$C$5000),_xlpm.ls,TRIM('Realised Conversions'!$F$2:$F$5000),_xlpm.src,_xlfn._xlws.FILTER(_xlpm.ls,(_xlpm.own=TRIM(A36))*(_xlpm.ls&lt;&gt;""),""),IF(INDEX(_xlpm.src,1)="","",_xlfn.LET(_xlpm.u,_xlfn.UNIQUE(_xlpm.src),_xlpm.c,MMULT(--(_xlpm.u=TRANSPOSE(_xlpm.src)),_xlfn.SEQUENCE(ROWS(_xlpm.src),1,1,0)),_xlfn.TEXTJOIN(", ",TRUE,_xlfn.SORTBY(_xlpm.u&amp;": "&amp;_xlpm.c,_xlpm.c,-1)))))</f>
        <v>META6: 13, Referral (HOT): 7, MAIN WEBSITE (HOT): 6, META3: 2, MAIN WEBSITE (HOT) 1: 1, Instagram: 1, Telegram: 1, RCS 3: 1</v>
      </c>
      <c r="K36" s="103">
        <f>COUNTIFS('Realised Conversions'!C:C, Report!A36, 'Realised Conversions'!G:G, "&gt;10000")</f>
        <v>1</v>
      </c>
      <c r="L36" s="103">
        <f>COUNTIFS('Realised Conversions'!C:C,Report!A36,'Realised Conversions'!G:G,"&gt;15000")</f>
        <v>1</v>
      </c>
      <c r="M36" s="104">
        <f>SUMIFS('Realised Conversions'!G:G,'Realised Conversions'!C:C,Report!A36,'Realised Conversions'!G:G,"&gt;10000")</f>
        <v>25000</v>
      </c>
      <c r="N36" s="104">
        <f>SUMIFS('Realised Conversions'!G:G,'Realised Conversions'!C:C,Report!A36,'Realised Conversions'!G:G,"&gt;15000")</f>
        <v>25000</v>
      </c>
      <c r="O36" s="103">
        <f>SUMIF('Realised Conversions'!C:C,Report!A36,'Realised Conversions'!H:H)</f>
        <v>57</v>
      </c>
      <c r="P36" s="104">
        <f t="shared" si="0"/>
        <v>375</v>
      </c>
      <c r="Q36" s="104">
        <f>SUMIF('Realised Conversions'!N:N,Report!A36,'Realised Conversions'!R:R)</f>
        <v>800</v>
      </c>
      <c r="R36" s="105">
        <f t="shared" si="1"/>
        <v>6055</v>
      </c>
      <c r="S36" s="101">
        <f t="shared" si="6"/>
        <v>0.75555555555555554</v>
      </c>
      <c r="T36" s="101">
        <f t="shared" si="2"/>
        <v>2.9411764705882353E-2</v>
      </c>
      <c r="U36" s="101">
        <f>_xlfn.XLOOKUP(A36,QA!A:A,QA!D:D)</f>
        <v>0.98428571428571432</v>
      </c>
      <c r="V36" s="101" t="str">
        <f>_xlfn.XLOOKUP(A36,'Call Tagging'!A:A,'Call Tagging'!F:F,"No Entry")</f>
        <v>No Entry</v>
      </c>
      <c r="W36" s="106">
        <f>_xlfn.XLOOKUP(A36,'Avg Dials'!A:A,'Avg Dials'!B:B)</f>
        <v>207.78</v>
      </c>
      <c r="X36" s="106">
        <f>_xlfn.XLOOKUP(A36,'Avg Dials'!A:A,'Avg Dials'!C:C)</f>
        <v>151.63</v>
      </c>
      <c r="Y36" s="107">
        <f t="shared" si="7"/>
        <v>0</v>
      </c>
      <c r="Z36" s="107">
        <f t="shared" si="8"/>
        <v>0</v>
      </c>
      <c r="AA36" s="107">
        <f t="shared" si="9"/>
        <v>40</v>
      </c>
      <c r="AB36" s="107">
        <f t="shared" si="10"/>
        <v>0</v>
      </c>
      <c r="AC36" s="107">
        <f t="shared" si="3"/>
        <v>45</v>
      </c>
      <c r="AD36" s="107">
        <f t="shared" si="4"/>
        <v>15</v>
      </c>
      <c r="AE36" s="107">
        <f t="shared" si="5"/>
        <v>15</v>
      </c>
      <c r="AF36" s="108">
        <f t="shared" si="11"/>
        <v>115</v>
      </c>
      <c r="AG36" s="104">
        <f t="shared" si="12"/>
        <v>6963.25</v>
      </c>
      <c r="AH36" s="109">
        <f>_xlfn.XLOOKUP(A36,SOP!A:A,SOP!D:D,0)</f>
        <v>0</v>
      </c>
      <c r="AI36" s="99">
        <f t="shared" si="13"/>
        <v>6963.25</v>
      </c>
      <c r="AJ36" s="111">
        <f>_xlfn.XLOOKUP(A36,Attendance!F:F,Attendance!BQ:BQ)</f>
        <v>1</v>
      </c>
      <c r="AK36" s="29" t="str">
        <f t="shared" si="14"/>
        <v>ELIGIBLE</v>
      </c>
      <c r="AL36" s="29" t="str">
        <f t="shared" si="15"/>
        <v>NOT ELIGIBLE</v>
      </c>
      <c r="AM36" s="29" t="str">
        <f t="shared" si="16"/>
        <v>NOT ELIGIBLE</v>
      </c>
      <c r="AN36" s="29" t="str">
        <f>_xlfn.XLOOKUP(A36,'3 month performance'!A:A,'3 month performance'!H:H)</f>
        <v>NOT ELIGIBLE</v>
      </c>
      <c r="AO36" s="29" t="str">
        <f t="shared" si="17"/>
        <v>ELIGIBLE</v>
      </c>
      <c r="AP36" s="29" t="str">
        <f t="shared" si="18"/>
        <v>NOT ELIGIBLE</v>
      </c>
    </row>
    <row r="37" spans="1:42" ht="27" customHeight="1" x14ac:dyDescent="0.25">
      <c r="A37" s="102" t="str">
        <v>ankita@nexora.live</v>
      </c>
      <c r="B37" s="103" t="str">
        <f>_xlfn.XLOOKUP(A37,Attendance!F:F,Attendance!B:B)</f>
        <v>E-1678</v>
      </c>
      <c r="C37" s="103" t="str">
        <f>_xlfn.XLOOKUP(A37,Attendance!F:F,Attendance!K:K)</f>
        <v>Rehan</v>
      </c>
      <c r="D37" s="103" t="str">
        <f>_xlfn.XLOOKUP(A37,Attendance!F:F,Attendance!J:J)</f>
        <v>Meta</v>
      </c>
      <c r="E37" s="103">
        <f>_xlfn.XLOOKUP(A37,Attendance!F:F,Attendance!BM:BM)</f>
        <v>45</v>
      </c>
      <c r="F37" s="103">
        <f>_xlfn.XLOOKUP(A37,Attendance!F:F,Attendance!BO:BO)</f>
        <v>36</v>
      </c>
      <c r="G37" s="103">
        <f>_xlfn.XLOOKUP(A37,Attendance!F:F,Attendance!BP:BP)</f>
        <v>12</v>
      </c>
      <c r="H37" s="103">
        <f>COUNTIF('Realised Conversions'!C:C,Report!A37)</f>
        <v>34</v>
      </c>
      <c r="I37" s="103">
        <f>COUNTIFS('Realised Conversions'!C:C,Report!A37,'Realised Conversions'!F:F,"Referral (HOT)")</f>
        <v>5</v>
      </c>
      <c r="J37" s="100" t="str" cm="1">
        <f t="array" ref="J37">_xlfn.LET(_xlpm.own,TRIM('Realised Conversions'!$C$2:$C$5000),_xlpm.ls,TRIM('Realised Conversions'!$F$2:$F$5000),_xlpm.src,_xlfn._xlws.FILTER(_xlpm.ls,(_xlpm.own=TRIM(A37))*(_xlpm.ls&lt;&gt;""),""),IF(INDEX(_xlpm.src,1)="","",_xlfn.LET(_xlpm.u,_xlfn.UNIQUE(_xlpm.src),_xlpm.c,MMULT(--(_xlpm.u=TRANSPOSE(_xlpm.src)),_xlfn.SEQUENCE(ROWS(_xlpm.src),1,1,0)),_xlfn.TEXTJOIN(", ",TRUE,_xlfn.SORTBY(_xlpm.u&amp;": "&amp;_xlpm.c,_xlpm.c,-1)))))</f>
        <v>Meta6: 13, MAIN WEBSITE (HOT): 8, Referral (HOT): 5, MAIN WEBSITE (HOT) 1: 2, STOCKMEME: 1, APPLICATION: 1, Telegram ads (redirect): 1, META3: 1, Telegram ads: 1, Meta Crypto: 1</v>
      </c>
      <c r="K37" s="103">
        <f>COUNTIFS('Realised Conversions'!C:C, Report!A37, 'Realised Conversions'!G:G, "&gt;10000")</f>
        <v>5</v>
      </c>
      <c r="L37" s="103">
        <f>COUNTIFS('Realised Conversions'!C:C,Report!A37,'Realised Conversions'!G:G,"&gt;15000")</f>
        <v>4</v>
      </c>
      <c r="M37" s="104">
        <f>SUMIFS('Realised Conversions'!G:G,'Realised Conversions'!C:C,Report!A37,'Realised Conversions'!G:G,"&gt;10000")</f>
        <v>107000</v>
      </c>
      <c r="N37" s="104">
        <f>SUMIFS('Realised Conversions'!G:G,'Realised Conversions'!C:C,Report!A37,'Realised Conversions'!G:G,"&gt;15000")</f>
        <v>96000</v>
      </c>
      <c r="O37" s="103">
        <f>SUMIF('Realised Conversions'!C:C,Report!A37,'Realised Conversions'!H:H)</f>
        <v>51</v>
      </c>
      <c r="P37" s="104">
        <f t="shared" si="0"/>
        <v>1605</v>
      </c>
      <c r="Q37" s="104">
        <f>SUMIF('Realised Conversions'!N:N,Report!A37,'Realised Conversions'!R:R)</f>
        <v>400</v>
      </c>
      <c r="R37" s="105">
        <f t="shared" si="1"/>
        <v>6525</v>
      </c>
      <c r="S37" s="101">
        <f t="shared" si="6"/>
        <v>0.75555555555555554</v>
      </c>
      <c r="T37" s="101">
        <f t="shared" si="2"/>
        <v>0.14705882352941177</v>
      </c>
      <c r="U37" s="101">
        <f>_xlfn.XLOOKUP(A37,QA!A:A,QA!D:D)</f>
        <v>0.95</v>
      </c>
      <c r="V37" s="101">
        <f>_xlfn.XLOOKUP(A37,'Call Tagging'!A:A,'Call Tagging'!F:F,"No Entry")</f>
        <v>0.85217391304347823</v>
      </c>
      <c r="W37" s="106">
        <f>_xlfn.XLOOKUP(A37,'Avg Dials'!A:A,'Avg Dials'!B:B)</f>
        <v>271.81</v>
      </c>
      <c r="X37" s="106">
        <f>_xlfn.XLOOKUP(A37,'Avg Dials'!A:A,'Avg Dials'!C:C)</f>
        <v>164.08</v>
      </c>
      <c r="Y37" s="107">
        <f t="shared" si="7"/>
        <v>0</v>
      </c>
      <c r="Z37" s="107">
        <f t="shared" si="8"/>
        <v>0</v>
      </c>
      <c r="AA37" s="107">
        <f t="shared" si="9"/>
        <v>40</v>
      </c>
      <c r="AB37" s="107">
        <f t="shared" si="10"/>
        <v>0</v>
      </c>
      <c r="AC37" s="107">
        <f t="shared" si="3"/>
        <v>45</v>
      </c>
      <c r="AD37" s="107">
        <f t="shared" si="4"/>
        <v>15</v>
      </c>
      <c r="AE37" s="107">
        <f t="shared" si="5"/>
        <v>10</v>
      </c>
      <c r="AF37" s="108">
        <f t="shared" si="11"/>
        <v>110</v>
      </c>
      <c r="AG37" s="104">
        <f t="shared" si="12"/>
        <v>7177.5</v>
      </c>
      <c r="AH37" s="109">
        <f>_xlfn.XLOOKUP(A37,SOP!A:A,SOP!D:D,0)</f>
        <v>750</v>
      </c>
      <c r="AI37" s="99">
        <f t="shared" si="13"/>
        <v>6427.5</v>
      </c>
      <c r="AJ37" s="111">
        <f>_xlfn.XLOOKUP(A37,Attendance!F:F,Attendance!BQ:BQ)</f>
        <v>0.5</v>
      </c>
      <c r="AK37" s="29" t="str">
        <f t="shared" si="14"/>
        <v>NOT ELIGIBLE</v>
      </c>
      <c r="AL37" s="29" t="str">
        <f t="shared" si="15"/>
        <v>NOT ELIGIBLE</v>
      </c>
      <c r="AM37" s="29" t="str">
        <f t="shared" si="16"/>
        <v>NOT ELIGIBLE</v>
      </c>
      <c r="AN37" s="29" t="str">
        <f>_xlfn.XLOOKUP(A37,'3 month performance'!A:A,'3 month performance'!H:H)</f>
        <v>NOT ELIGIBLE</v>
      </c>
      <c r="AO37" s="29" t="str">
        <f t="shared" si="17"/>
        <v>ELIGIBLE</v>
      </c>
      <c r="AP37" s="29" t="str">
        <f t="shared" si="18"/>
        <v>NOT ELIGIBLE</v>
      </c>
    </row>
    <row r="38" spans="1:42" ht="27" customHeight="1" x14ac:dyDescent="0.25">
      <c r="A38" s="102" t="str">
        <v>haresh@nexora.live</v>
      </c>
      <c r="B38" s="103" t="str">
        <f>_xlfn.XLOOKUP(A38,Attendance!F:F,Attendance!B:B)</f>
        <v>E-2116</v>
      </c>
      <c r="C38" s="103" t="str">
        <f>_xlfn.XLOOKUP(A38,Attendance!F:F,Attendance!K:K)</f>
        <v>Rehan</v>
      </c>
      <c r="D38" s="103" t="str">
        <f>_xlfn.XLOOKUP(A38,Attendance!F:F,Attendance!J:J)</f>
        <v>Meta</v>
      </c>
      <c r="E38" s="103">
        <f>_xlfn.XLOOKUP(A38,Attendance!F:F,Attendance!BM:BM)</f>
        <v>45</v>
      </c>
      <c r="F38" s="103">
        <f>_xlfn.XLOOKUP(A38,Attendance!F:F,Attendance!BO:BO)</f>
        <v>36</v>
      </c>
      <c r="G38" s="103">
        <f>_xlfn.XLOOKUP(A38,Attendance!F:F,Attendance!BP:BP)</f>
        <v>12</v>
      </c>
      <c r="H38" s="103">
        <f>COUNTIF('Realised Conversions'!C:C,Report!A38)</f>
        <v>58</v>
      </c>
      <c r="I38" s="103">
        <f>COUNTIFS('Realised Conversions'!C:C,Report!A38,'Realised Conversions'!F:F,"Referral (HOT)")</f>
        <v>20</v>
      </c>
      <c r="J38" s="100" t="str" cm="1">
        <f t="array" ref="J38">_xlfn.LET(_xlpm.own,TRIM('Realised Conversions'!$C$2:$C$5000),_xlpm.ls,TRIM('Realised Conversions'!$F$2:$F$5000),_xlpm.src,_xlfn._xlws.FILTER(_xlpm.ls,(_xlpm.own=TRIM(A38))*(_xlpm.ls&lt;&gt;""),""),IF(INDEX(_xlpm.src,1)="","",_xlfn.LET(_xlpm.u,_xlfn.UNIQUE(_xlpm.src),_xlpm.c,MMULT(--(_xlpm.u=TRANSPOSE(_xlpm.src)),_xlfn.SEQUENCE(ROWS(_xlpm.src),1,1,0)),_xlfn.TEXTJOIN(", ",TRUE,_xlfn.SORTBY(_xlpm.u&amp;": "&amp;_xlpm.c,_xlpm.c,-1)))))</f>
        <v>Referral (HOT): 20, Meta6: 14, MAIN WEBSITE (HOT): 8, Telegram ads: 5, MAIN WEBSITE (HOT) 1: 2, Telegram ads (digi): 2, APPLICATION: 2, META2: 1, Meta Crypto: 1, STOCKMEME: 1, META3: 1</v>
      </c>
      <c r="K38" s="103">
        <f>COUNTIFS('Realised Conversions'!C:C, Report!A38, 'Realised Conversions'!G:G, "&gt;10000")</f>
        <v>2</v>
      </c>
      <c r="L38" s="103">
        <f>COUNTIFS('Realised Conversions'!C:C,Report!A38,'Realised Conversions'!G:G,"&gt;15000")</f>
        <v>1</v>
      </c>
      <c r="M38" s="104">
        <f>SUMIFS('Realised Conversions'!G:G,'Realised Conversions'!C:C,Report!A38,'Realised Conversions'!G:G,"&gt;10000")</f>
        <v>49300</v>
      </c>
      <c r="N38" s="104">
        <f>SUMIFS('Realised Conversions'!G:G,'Realised Conversions'!C:C,Report!A38,'Realised Conversions'!G:G,"&gt;15000")</f>
        <v>35000</v>
      </c>
      <c r="O38" s="103">
        <f>SUMIF('Realised Conversions'!C:C,Report!A38,'Realised Conversions'!H:H)</f>
        <v>113</v>
      </c>
      <c r="P38" s="104">
        <f t="shared" si="0"/>
        <v>739.5</v>
      </c>
      <c r="Q38" s="104">
        <f>SUMIF('Realised Conversions'!N:N,Report!A38,'Realised Conversions'!R:R)</f>
        <v>3000</v>
      </c>
      <c r="R38" s="105">
        <f t="shared" si="1"/>
        <v>10539.5</v>
      </c>
      <c r="S38" s="101">
        <f t="shared" si="6"/>
        <v>1.288888888888889</v>
      </c>
      <c r="T38" s="101">
        <f t="shared" si="2"/>
        <v>3.4482758620689655E-2</v>
      </c>
      <c r="U38" s="101">
        <f>_xlfn.XLOOKUP(A38,QA!A:A,QA!D:D)</f>
        <v>0.96249999999999991</v>
      </c>
      <c r="V38" s="101" t="str">
        <f>_xlfn.XLOOKUP(A38,'Call Tagging'!A:A,'Call Tagging'!F:F,"No Entry")</f>
        <v>No Entry</v>
      </c>
      <c r="W38" s="106">
        <f>_xlfn.XLOOKUP(A38,'Avg Dials'!A:A,'Avg Dials'!B:B)</f>
        <v>156</v>
      </c>
      <c r="X38" s="106">
        <f>_xlfn.XLOOKUP(A38,'Avg Dials'!A:A,'Avg Dials'!C:C)</f>
        <v>102.55</v>
      </c>
      <c r="Y38" s="107">
        <f t="shared" si="7"/>
        <v>40</v>
      </c>
      <c r="Z38" s="107">
        <f t="shared" si="8"/>
        <v>40</v>
      </c>
      <c r="AA38" s="107">
        <f t="shared" si="9"/>
        <v>15</v>
      </c>
      <c r="AB38" s="107">
        <f t="shared" si="10"/>
        <v>0</v>
      </c>
      <c r="AC38" s="107">
        <f t="shared" si="3"/>
        <v>45</v>
      </c>
      <c r="AD38" s="107">
        <f t="shared" si="4"/>
        <v>15</v>
      </c>
      <c r="AE38" s="107">
        <f t="shared" si="5"/>
        <v>15</v>
      </c>
      <c r="AF38" s="108">
        <f t="shared" si="11"/>
        <v>170</v>
      </c>
      <c r="AG38" s="104">
        <f t="shared" si="12"/>
        <v>17917.150000000001</v>
      </c>
      <c r="AH38" s="109">
        <f>_xlfn.XLOOKUP(A38,SOP!A:A,SOP!D:D,0)</f>
        <v>0</v>
      </c>
      <c r="AI38" s="99">
        <f t="shared" si="13"/>
        <v>17917.150000000001</v>
      </c>
      <c r="AJ38" s="111">
        <f>_xlfn.XLOOKUP(A38,Attendance!F:F,Attendance!BQ:BQ)</f>
        <v>0</v>
      </c>
      <c r="AK38" s="29" t="str">
        <f t="shared" si="14"/>
        <v>ELIGIBLE</v>
      </c>
      <c r="AL38" s="29" t="str">
        <f>IF(H38&gt;=F38,"ELIGIBLE","NOT ELIGIBLE")</f>
        <v>ELIGIBLE</v>
      </c>
      <c r="AM38" s="29" t="str">
        <f t="shared" si="16"/>
        <v>ELIGIBLE</v>
      </c>
      <c r="AN38" s="29" t="str">
        <f>_xlfn.XLOOKUP(A38,'3 month performance'!A:A,'3 month performance'!H:H)</f>
        <v>ELIGIBLE</v>
      </c>
      <c r="AO38" s="29" t="str">
        <f t="shared" si="17"/>
        <v>ELIGIBLE</v>
      </c>
      <c r="AP38" s="29" t="str">
        <f t="shared" si="18"/>
        <v>ELIGIBLE</v>
      </c>
    </row>
    <row r="39" spans="1:42" ht="27" customHeight="1" x14ac:dyDescent="0.25">
      <c r="A39" s="102" t="str">
        <v>irfan@nexora.live</v>
      </c>
      <c r="B39" s="103" t="str">
        <f>_xlfn.XLOOKUP(A39,Attendance!F:F,Attendance!B:B)</f>
        <v>E-1656</v>
      </c>
      <c r="C39" s="103" t="str">
        <f>_xlfn.XLOOKUP(A39,Attendance!F:F,Attendance!K:K)</f>
        <v>Rehan</v>
      </c>
      <c r="D39" s="103" t="str">
        <f>_xlfn.XLOOKUP(A39,Attendance!F:F,Attendance!J:J)</f>
        <v>Meta</v>
      </c>
      <c r="E39" s="103">
        <f>_xlfn.XLOOKUP(A39,Attendance!F:F,Attendance!BM:BM)</f>
        <v>45</v>
      </c>
      <c r="F39" s="103">
        <f>_xlfn.XLOOKUP(A39,Attendance!F:F,Attendance!BO:BO)</f>
        <v>36</v>
      </c>
      <c r="G39" s="103">
        <f>_xlfn.XLOOKUP(A39,Attendance!F:F,Attendance!BP:BP)</f>
        <v>12</v>
      </c>
      <c r="H39" s="103">
        <f>COUNTIF('Realised Conversions'!C:C,Report!A39)</f>
        <v>35</v>
      </c>
      <c r="I39" s="103">
        <f>COUNTIFS('Realised Conversions'!C:C,Report!A39,'Realised Conversions'!F:F,"Referral (HOT)")</f>
        <v>10</v>
      </c>
      <c r="J39" s="100" t="str" cm="1">
        <f t="array" ref="J39">_xlfn.LET(_xlpm.own,TRIM('Realised Conversions'!$C$2:$C$5000),_xlpm.ls,TRIM('Realised Conversions'!$F$2:$F$5000),_xlpm.src,_xlfn._xlws.FILTER(_xlpm.ls,(_xlpm.own=TRIM(A39))*(_xlpm.ls&lt;&gt;""),""),IF(INDEX(_xlpm.src,1)="","",_xlfn.LET(_xlpm.u,_xlfn.UNIQUE(_xlpm.src),_xlpm.c,MMULT(--(_xlpm.u=TRANSPOSE(_xlpm.src)),_xlfn.SEQUENCE(ROWS(_xlpm.src),1,1,0)),_xlfn.TEXTJOIN(", ",TRUE,_xlfn.SORTBY(_xlpm.u&amp;": "&amp;_xlpm.c,_xlpm.c,-1)))))</f>
        <v>META6: 16, Referral (HOT): 10, MAIN WEBSITE (HOT): 3, MAIN WEBSITE (HOT) 1: 2, META3: 2, RCS 3: 1, META2: 1</v>
      </c>
      <c r="K39" s="103">
        <f>COUNTIFS('Realised Conversions'!C:C, Report!A39, 'Realised Conversions'!G:G, "&gt;10000")</f>
        <v>3</v>
      </c>
      <c r="L39" s="103">
        <f>COUNTIFS('Realised Conversions'!C:C,Report!A39,'Realised Conversions'!G:G,"&gt;15000")</f>
        <v>2</v>
      </c>
      <c r="M39" s="104">
        <f>SUMIFS('Realised Conversions'!G:G,'Realised Conversions'!C:C,Report!A39,'Realised Conversions'!G:G,"&gt;10000")</f>
        <v>44000</v>
      </c>
      <c r="N39" s="104">
        <f>SUMIFS('Realised Conversions'!G:G,'Realised Conversions'!C:C,Report!A39,'Realised Conversions'!G:G,"&gt;15000")</f>
        <v>32000</v>
      </c>
      <c r="O39" s="103">
        <f>SUMIF('Realised Conversions'!C:C,Report!A39,'Realised Conversions'!H:H)</f>
        <v>62</v>
      </c>
      <c r="P39" s="104">
        <f t="shared" si="0"/>
        <v>660</v>
      </c>
      <c r="Q39" s="104">
        <f>SUMIF('Realised Conversions'!N:N,Report!A39,'Realised Conversions'!R:R)</f>
        <v>800</v>
      </c>
      <c r="R39" s="105">
        <f t="shared" si="1"/>
        <v>6580</v>
      </c>
      <c r="S39" s="101">
        <f t="shared" si="6"/>
        <v>0.77777777777777779</v>
      </c>
      <c r="T39" s="101">
        <f t="shared" si="2"/>
        <v>8.5714285714285715E-2</v>
      </c>
      <c r="U39" s="101">
        <f>_xlfn.XLOOKUP(A39,QA!A:A,QA!D:D)</f>
        <v>0.99705882352941178</v>
      </c>
      <c r="V39" s="101">
        <f>_xlfn.XLOOKUP(A39,'Call Tagging'!A:A,'Call Tagging'!F:F,"No Entry")</f>
        <v>0.91818181818181821</v>
      </c>
      <c r="W39" s="106">
        <f>_xlfn.XLOOKUP(A39,'Avg Dials'!A:A,'Avg Dials'!B:B)</f>
        <v>177.4</v>
      </c>
      <c r="X39" s="106">
        <f>_xlfn.XLOOKUP(A39,'Avg Dials'!A:A,'Avg Dials'!C:C)</f>
        <v>152.08000000000001</v>
      </c>
      <c r="Y39" s="107">
        <f t="shared" si="7"/>
        <v>0</v>
      </c>
      <c r="Z39" s="107">
        <f t="shared" si="8"/>
        <v>20</v>
      </c>
      <c r="AA39" s="107">
        <f t="shared" si="9"/>
        <v>40</v>
      </c>
      <c r="AB39" s="107">
        <f t="shared" si="10"/>
        <v>0</v>
      </c>
      <c r="AC39" s="107">
        <f t="shared" si="3"/>
        <v>45</v>
      </c>
      <c r="AD39" s="107">
        <f t="shared" si="4"/>
        <v>15</v>
      </c>
      <c r="AE39" s="107">
        <f t="shared" si="5"/>
        <v>15</v>
      </c>
      <c r="AF39" s="108">
        <f t="shared" si="11"/>
        <v>135</v>
      </c>
      <c r="AG39" s="104">
        <f t="shared" si="12"/>
        <v>8883</v>
      </c>
      <c r="AH39" s="109">
        <f>_xlfn.XLOOKUP(A39,SOP!A:A,SOP!D:D,0)</f>
        <v>450</v>
      </c>
      <c r="AI39" s="99">
        <f t="shared" si="13"/>
        <v>8433</v>
      </c>
      <c r="AJ39" s="111">
        <f>_xlfn.XLOOKUP(A39,Attendance!F:F,Attendance!BQ:BQ)</f>
        <v>1</v>
      </c>
      <c r="AK39" s="29" t="str">
        <f t="shared" si="14"/>
        <v>ELIGIBLE</v>
      </c>
      <c r="AL39" s="29" t="str">
        <f t="shared" si="15"/>
        <v>NOT ELIGIBLE</v>
      </c>
      <c r="AM39" s="29" t="str">
        <f t="shared" si="16"/>
        <v>NOT ELIGIBLE</v>
      </c>
      <c r="AN39" s="29" t="str">
        <f>_xlfn.XLOOKUP(A39,'3 month performance'!A:A,'3 month performance'!H:H)</f>
        <v>NOT ELIGIBLE</v>
      </c>
      <c r="AO39" s="29" t="str">
        <f t="shared" si="17"/>
        <v>ELIGIBLE</v>
      </c>
      <c r="AP39" s="29" t="str">
        <f t="shared" si="18"/>
        <v>NOT ELIGIBLE</v>
      </c>
    </row>
    <row r="40" spans="1:42" ht="27" customHeight="1" x14ac:dyDescent="0.25">
      <c r="A40" s="102" t="str">
        <v>anjali@nexora.live</v>
      </c>
      <c r="B40" s="103" t="str">
        <f>_xlfn.XLOOKUP(A40,Attendance!F:F,Attendance!B:B)</f>
        <v>E-1673</v>
      </c>
      <c r="C40" s="103" t="str">
        <f>_xlfn.XLOOKUP(A40,Attendance!F:F,Attendance!K:K)</f>
        <v>Rehan</v>
      </c>
      <c r="D40" s="103" t="str">
        <f>_xlfn.XLOOKUP(A40,Attendance!F:F,Attendance!J:J)</f>
        <v>Meta</v>
      </c>
      <c r="E40" s="103">
        <f>_xlfn.XLOOKUP(A40,Attendance!F:F,Attendance!BM:BM)</f>
        <v>45</v>
      </c>
      <c r="F40" s="103">
        <f>_xlfn.XLOOKUP(A40,Attendance!F:F,Attendance!BO:BO)</f>
        <v>36</v>
      </c>
      <c r="G40" s="103">
        <f>_xlfn.XLOOKUP(A40,Attendance!F:F,Attendance!BP:BP)</f>
        <v>12</v>
      </c>
      <c r="H40" s="103">
        <f>COUNTIF('Realised Conversions'!C:C,Report!A40)</f>
        <v>36</v>
      </c>
      <c r="I40" s="103">
        <f>COUNTIFS('Realised Conversions'!C:C,Report!A40,'Realised Conversions'!F:F,"Referral (HOT)")</f>
        <v>4</v>
      </c>
      <c r="J40" s="100" t="str" cm="1">
        <f t="array" ref="J40">_xlfn.LET(_xlpm.own,TRIM('Realised Conversions'!$C$2:$C$5000),_xlpm.ls,TRIM('Realised Conversions'!$F$2:$F$5000),_xlpm.src,_xlfn._xlws.FILTER(_xlpm.ls,(_xlpm.own=TRIM(A40))*(_xlpm.ls&lt;&gt;""),""),IF(INDEX(_xlpm.src,1)="","",_xlfn.LET(_xlpm.u,_xlfn.UNIQUE(_xlpm.src),_xlpm.c,MMULT(--(_xlpm.u=TRANSPOSE(_xlpm.src)),_xlfn.SEQUENCE(ROWS(_xlpm.src),1,1,0)),_xlfn.TEXTJOIN(", ",TRUE,_xlfn.SORTBY(_xlpm.u&amp;": "&amp;_xlpm.c,_xlpm.c,-1)))))</f>
        <v>MAIN WEBSITE (HOT): 14, Meta6: 12, Referral (HOT): 4, MAIN WEBSITE (HOT) 1: 2, META3: 2, RCS: 1</v>
      </c>
      <c r="K40" s="103">
        <f>COUNTIFS('Realised Conversions'!C:C, Report!A40, 'Realised Conversions'!G:G, "&gt;10000")</f>
        <v>2</v>
      </c>
      <c r="L40" s="103">
        <f>COUNTIFS('Realised Conversions'!C:C,Report!A40,'Realised Conversions'!G:G,"&gt;15000")</f>
        <v>2</v>
      </c>
      <c r="M40" s="104">
        <f>SUMIFS('Realised Conversions'!G:G,'Realised Conversions'!C:C,Report!A40,'Realised Conversions'!G:G,"&gt;10000")</f>
        <v>65000</v>
      </c>
      <c r="N40" s="104">
        <f>SUMIFS('Realised Conversions'!G:G,'Realised Conversions'!C:C,Report!A40,'Realised Conversions'!G:G,"&gt;15000")</f>
        <v>65000</v>
      </c>
      <c r="O40" s="103">
        <f>SUMIF('Realised Conversions'!C:C,Report!A40,'Realised Conversions'!H:H)</f>
        <v>50</v>
      </c>
      <c r="P40" s="104">
        <f t="shared" si="0"/>
        <v>975</v>
      </c>
      <c r="Q40" s="104">
        <f>SUMIF('Realised Conversions'!N:N,Report!A40,'Realised Conversions'!R:R)</f>
        <v>400</v>
      </c>
      <c r="R40" s="105">
        <f t="shared" si="1"/>
        <v>5715</v>
      </c>
      <c r="S40" s="101">
        <f t="shared" si="6"/>
        <v>0.8</v>
      </c>
      <c r="T40" s="101">
        <f t="shared" si="2"/>
        <v>5.5555555555555552E-2</v>
      </c>
      <c r="U40" s="101">
        <f>_xlfn.XLOOKUP(A40,QA!A:A,QA!D:D)</f>
        <v>0.8970588235294118</v>
      </c>
      <c r="V40" s="101">
        <f>_xlfn.XLOOKUP(A40,'Call Tagging'!A:A,'Call Tagging'!F:F,"No Entry")</f>
        <v>0.93893129770992367</v>
      </c>
      <c r="W40" s="106">
        <f>_xlfn.XLOOKUP(A40,'Avg Dials'!A:A,'Avg Dials'!B:B)</f>
        <v>264.04000000000002</v>
      </c>
      <c r="X40" s="106">
        <f>_xlfn.XLOOKUP(A40,'Avg Dials'!A:A,'Avg Dials'!C:C)</f>
        <v>207.92</v>
      </c>
      <c r="Y40" s="107">
        <f t="shared" si="7"/>
        <v>20</v>
      </c>
      <c r="Z40" s="107">
        <f t="shared" si="8"/>
        <v>0</v>
      </c>
      <c r="AA40" s="107">
        <f t="shared" si="9"/>
        <v>40</v>
      </c>
      <c r="AB40" s="107">
        <f t="shared" si="10"/>
        <v>0</v>
      </c>
      <c r="AC40" s="107">
        <f t="shared" si="3"/>
        <v>45</v>
      </c>
      <c r="AD40" s="107">
        <f t="shared" si="4"/>
        <v>10</v>
      </c>
      <c r="AE40" s="107">
        <f t="shared" si="5"/>
        <v>15</v>
      </c>
      <c r="AF40" s="108">
        <f t="shared" si="11"/>
        <v>130</v>
      </c>
      <c r="AG40" s="104">
        <f t="shared" si="12"/>
        <v>7429.5</v>
      </c>
      <c r="AH40" s="109">
        <f>_xlfn.XLOOKUP(A40,SOP!A:A,SOP!D:D,0)</f>
        <v>150</v>
      </c>
      <c r="AI40" s="99">
        <f t="shared" si="13"/>
        <v>7279.5</v>
      </c>
      <c r="AJ40" s="111">
        <f>_xlfn.XLOOKUP(A40,Attendance!F:F,Attendance!BQ:BQ)</f>
        <v>0</v>
      </c>
      <c r="AK40" s="29" t="str">
        <f t="shared" si="14"/>
        <v>ELIGIBLE</v>
      </c>
      <c r="AL40" s="29" t="str">
        <f t="shared" si="15"/>
        <v>ELIGIBLE</v>
      </c>
      <c r="AM40" s="29" t="str">
        <f t="shared" si="16"/>
        <v>NOT ELIGIBLE</v>
      </c>
      <c r="AN40" s="29" t="str">
        <f>_xlfn.XLOOKUP(A40,'3 month performance'!A:A,'3 month performance'!H:H)</f>
        <v>ELIGIBLE</v>
      </c>
      <c r="AO40" s="29" t="str">
        <f t="shared" si="17"/>
        <v>ELIGIBLE</v>
      </c>
      <c r="AP40" s="29" t="str">
        <f t="shared" si="18"/>
        <v>NOT ELIGIBLE</v>
      </c>
    </row>
    <row r="41" spans="1:42" ht="27" customHeight="1" x14ac:dyDescent="0.25">
      <c r="A41" s="102" t="str">
        <v>kawaljit.k@nexora.live</v>
      </c>
      <c r="B41" s="103" t="str">
        <f>_xlfn.XLOOKUP(A41,Attendance!F:F,Attendance!B:B)</f>
        <v>E- 1237</v>
      </c>
      <c r="C41" s="103" t="str">
        <f>_xlfn.XLOOKUP(A41,Attendance!F:F,Attendance!K:K)</f>
        <v>Rehan</v>
      </c>
      <c r="D41" s="103" t="str">
        <f>_xlfn.XLOOKUP(A41,Attendance!F:F,Attendance!J:J)</f>
        <v>Meta</v>
      </c>
      <c r="E41" s="103">
        <f>_xlfn.XLOOKUP(A41,Attendance!F:F,Attendance!BM:BM)</f>
        <v>45</v>
      </c>
      <c r="F41" s="103">
        <f>_xlfn.XLOOKUP(A41,Attendance!F:F,Attendance!BO:BO)</f>
        <v>36</v>
      </c>
      <c r="G41" s="103">
        <f>_xlfn.XLOOKUP(A41,Attendance!F:F,Attendance!BP:BP)</f>
        <v>12</v>
      </c>
      <c r="H41" s="103">
        <f>COUNTIF('Realised Conversions'!C:C,Report!A41)</f>
        <v>51</v>
      </c>
      <c r="I41" s="103">
        <f>COUNTIFS('Realised Conversions'!C:C,Report!A41,'Realised Conversions'!F:F,"Referral (HOT)")</f>
        <v>15</v>
      </c>
      <c r="J41" s="100" t="str" cm="1">
        <f t="array" ref="J41">_xlfn.LET(_xlpm.own,TRIM('Realised Conversions'!$C$2:$C$5000),_xlpm.ls,TRIM('Realised Conversions'!$F$2:$F$5000),_xlpm.src,_xlfn._xlws.FILTER(_xlpm.ls,(_xlpm.own=TRIM(A41))*(_xlpm.ls&lt;&gt;""),""),IF(INDEX(_xlpm.src,1)="","",_xlfn.LET(_xlpm.u,_xlfn.UNIQUE(_xlpm.src),_xlpm.c,MMULT(--(_xlpm.u=TRANSPOSE(_xlpm.src)),_xlfn.SEQUENCE(ROWS(_xlpm.src),1,1,0)),_xlfn.TEXTJOIN(", ",TRUE,_xlfn.SORTBY(_xlpm.u&amp;": "&amp;_xlpm.c,_xlpm.c,-1)))))</f>
        <v>Referral (HOT): 15, Meta6: 10, MAIN WEBSITE (HOT): 6, Telegram ads: 6, Telegram ads (digi): 5, MAIN WEBSITE (HOT) 1: 2, META2: 2, MAIN WEBSITE (HOT) C: 1, Whatsapp: 1, META3: 1, RCS 3: 1</v>
      </c>
      <c r="K41" s="103">
        <f>COUNTIFS('Realised Conversions'!C:C, Report!A41, 'Realised Conversions'!G:G, "&gt;10000")</f>
        <v>3</v>
      </c>
      <c r="L41" s="103">
        <f>COUNTIFS('Realised Conversions'!C:C,Report!A41,'Realised Conversions'!G:G,"&gt;15000")</f>
        <v>1</v>
      </c>
      <c r="M41" s="104">
        <f>SUMIFS('Realised Conversions'!G:G,'Realised Conversions'!C:C,Report!A41,'Realised Conversions'!G:G,"&gt;10000")</f>
        <v>42504</v>
      </c>
      <c r="N41" s="104">
        <f>SUMIFS('Realised Conversions'!G:G,'Realised Conversions'!C:C,Report!A41,'Realised Conversions'!G:G,"&gt;15000")</f>
        <v>19000</v>
      </c>
      <c r="O41" s="103">
        <f>SUMIF('Realised Conversions'!C:C,Report!A41,'Realised Conversions'!H:H)</f>
        <v>101</v>
      </c>
      <c r="P41" s="104">
        <f t="shared" si="0"/>
        <v>637.55999999999995</v>
      </c>
      <c r="Q41" s="104">
        <f>SUMIF('Realised Conversions'!N:N,Report!A41,'Realised Conversions'!R:R)</f>
        <v>1200</v>
      </c>
      <c r="R41" s="105">
        <f t="shared" si="1"/>
        <v>8337.56</v>
      </c>
      <c r="S41" s="101">
        <f t="shared" si="6"/>
        <v>1.1333333333333333</v>
      </c>
      <c r="T41" s="101">
        <f t="shared" si="2"/>
        <v>5.8823529411764705E-2</v>
      </c>
      <c r="U41" s="101">
        <f>_xlfn.XLOOKUP(A41,QA!A:A,QA!D:D)</f>
        <v>0.98088235294117654</v>
      </c>
      <c r="V41" s="101" t="str">
        <f>_xlfn.XLOOKUP(A41,'Call Tagging'!A:A,'Call Tagging'!F:F,"No Entry")</f>
        <v>No Entry</v>
      </c>
      <c r="W41" s="106">
        <f>_xlfn.XLOOKUP(A41,'Avg Dials'!A:A,'Avg Dials'!B:B)</f>
        <v>201.44</v>
      </c>
      <c r="X41" s="106">
        <f>_xlfn.XLOOKUP(A41,'Avg Dials'!A:A,'Avg Dials'!C:C)</f>
        <v>150.91999999999999</v>
      </c>
      <c r="Y41" s="107">
        <f t="shared" si="7"/>
        <v>40</v>
      </c>
      <c r="Z41" s="107">
        <f t="shared" si="8"/>
        <v>40</v>
      </c>
      <c r="AA41" s="107">
        <f t="shared" si="9"/>
        <v>40</v>
      </c>
      <c r="AB41" s="107">
        <f t="shared" si="10"/>
        <v>0</v>
      </c>
      <c r="AC41" s="107">
        <f t="shared" si="3"/>
        <v>45</v>
      </c>
      <c r="AD41" s="107">
        <f t="shared" si="4"/>
        <v>15</v>
      </c>
      <c r="AE41" s="107">
        <f t="shared" si="5"/>
        <v>15</v>
      </c>
      <c r="AF41" s="108">
        <f t="shared" si="11"/>
        <v>195</v>
      </c>
      <c r="AG41" s="104">
        <f t="shared" si="12"/>
        <v>16258.242</v>
      </c>
      <c r="AH41" s="109">
        <f>_xlfn.XLOOKUP(A41,SOP!A:A,SOP!D:D,0)</f>
        <v>150</v>
      </c>
      <c r="AI41" s="99">
        <f t="shared" si="13"/>
        <v>16108.242</v>
      </c>
      <c r="AJ41" s="111">
        <f>_xlfn.XLOOKUP(A41,Attendance!F:F,Attendance!BQ:BQ)</f>
        <v>0</v>
      </c>
      <c r="AK41" s="29" t="str">
        <f t="shared" si="14"/>
        <v>ELIGIBLE</v>
      </c>
      <c r="AL41" s="29" t="str">
        <f t="shared" si="15"/>
        <v>ELIGIBLE</v>
      </c>
      <c r="AM41" s="29" t="str">
        <f t="shared" si="16"/>
        <v>ELIGIBLE</v>
      </c>
      <c r="AN41" s="29" t="str">
        <f>_xlfn.XLOOKUP(A41,'3 month performance'!A:A,'3 month performance'!H:H)</f>
        <v>ELIGIBLE</v>
      </c>
      <c r="AO41" s="29" t="str">
        <f t="shared" si="17"/>
        <v>ELIGIBLE</v>
      </c>
      <c r="AP41" s="29" t="str">
        <f t="shared" si="18"/>
        <v>ELIGIBLE</v>
      </c>
    </row>
    <row r="42" spans="1:42" ht="27" customHeight="1" x14ac:dyDescent="0.25">
      <c r="A42" s="102" t="str">
        <v>fahrukh@nexora.live</v>
      </c>
      <c r="B42" s="103" t="str">
        <f>_xlfn.XLOOKUP(A42,Attendance!F:F,Attendance!B:B)</f>
        <v>E-1689</v>
      </c>
      <c r="C42" s="103" t="str">
        <f>_xlfn.XLOOKUP(A42,Attendance!F:F,Attendance!K:K)</f>
        <v>Rehan</v>
      </c>
      <c r="D42" s="103" t="str">
        <f>_xlfn.XLOOKUP(A42,Attendance!F:F,Attendance!J:J)</f>
        <v>Meta</v>
      </c>
      <c r="E42" s="103">
        <f>_xlfn.XLOOKUP(A42,Attendance!F:F,Attendance!BM:BM)</f>
        <v>45</v>
      </c>
      <c r="F42" s="103">
        <f>_xlfn.XLOOKUP(A42,Attendance!F:F,Attendance!BO:BO)</f>
        <v>36</v>
      </c>
      <c r="G42" s="103">
        <f>_xlfn.XLOOKUP(A42,Attendance!F:F,Attendance!BP:BP)</f>
        <v>12</v>
      </c>
      <c r="H42" s="103">
        <f>COUNTIF('Realised Conversions'!C:C,Report!A42)</f>
        <v>32</v>
      </c>
      <c r="I42" s="103">
        <f>COUNTIFS('Realised Conversions'!C:C,Report!A42,'Realised Conversions'!F:F,"Referral (HOT)")</f>
        <v>3</v>
      </c>
      <c r="J42" s="100" t="str" cm="1">
        <f t="array" ref="J42">_xlfn.LET(_xlpm.own,TRIM('Realised Conversions'!$C$2:$C$5000),_xlpm.ls,TRIM('Realised Conversions'!$F$2:$F$5000),_xlpm.src,_xlfn._xlws.FILTER(_xlpm.ls,(_xlpm.own=TRIM(A42))*(_xlpm.ls&lt;&gt;""),""),IF(INDEX(_xlpm.src,1)="","",_xlfn.LET(_xlpm.u,_xlfn.UNIQUE(_xlpm.src),_xlpm.c,MMULT(--(_xlpm.u=TRANSPOSE(_xlpm.src)),_xlfn.SEQUENCE(ROWS(_xlpm.src),1,1,0)),_xlfn.TEXTJOIN(", ",TRUE,_xlfn.SORTBY(_xlpm.u&amp;": "&amp;_xlpm.c,_xlpm.c,-1)))))</f>
        <v>Meta6: 18, Telegram ads: 4, MAIN WEBSITE (HOT) 1: 3, Referral (HOT): 3, MAIN WEBSITE (HOT): 2, Telegram: 1, Telegram ads (digi): 1</v>
      </c>
      <c r="K42" s="103">
        <f>COUNTIFS('Realised Conversions'!C:C, Report!A42, 'Realised Conversions'!G:G, "&gt;10000")</f>
        <v>1</v>
      </c>
      <c r="L42" s="103">
        <f>COUNTIFS('Realised Conversions'!C:C,Report!A42,'Realised Conversions'!G:G,"&gt;15000")</f>
        <v>1</v>
      </c>
      <c r="M42" s="104">
        <f>SUMIFS('Realised Conversions'!G:G,'Realised Conversions'!C:C,Report!A42,'Realised Conversions'!G:G,"&gt;10000")</f>
        <v>40000</v>
      </c>
      <c r="N42" s="104">
        <f>SUMIFS('Realised Conversions'!G:G,'Realised Conversions'!C:C,Report!A42,'Realised Conversions'!G:G,"&gt;15000")</f>
        <v>40000</v>
      </c>
      <c r="O42" s="103">
        <f>SUMIF('Realised Conversions'!C:C,Report!A42,'Realised Conversions'!H:H)</f>
        <v>44</v>
      </c>
      <c r="P42" s="104">
        <f t="shared" si="0"/>
        <v>600</v>
      </c>
      <c r="Q42" s="104">
        <f>SUMIF('Realised Conversions'!N:N,Report!A42,'Realised Conversions'!R:R)</f>
        <v>0</v>
      </c>
      <c r="R42" s="105">
        <f t="shared" si="1"/>
        <v>4820</v>
      </c>
      <c r="S42" s="101">
        <f t="shared" si="6"/>
        <v>0.71111111111111114</v>
      </c>
      <c r="T42" s="101">
        <f t="shared" si="2"/>
        <v>3.125E-2</v>
      </c>
      <c r="U42" s="101">
        <f>_xlfn.XLOOKUP(A42,QA!A:A,QA!D:D)</f>
        <v>0.83823529411764708</v>
      </c>
      <c r="V42" s="101">
        <f>_xlfn.XLOOKUP(A42,'Call Tagging'!A:A,'Call Tagging'!F:F,"No Entry")</f>
        <v>0.93145161290322576</v>
      </c>
      <c r="W42" s="106">
        <f>_xlfn.XLOOKUP(A42,'Avg Dials'!A:A,'Avg Dials'!B:B)</f>
        <v>192.3</v>
      </c>
      <c r="X42" s="106">
        <f>_xlfn.XLOOKUP(A42,'Avg Dials'!A:A,'Avg Dials'!C:C)</f>
        <v>137.85</v>
      </c>
      <c r="Y42" s="107">
        <f t="shared" si="7"/>
        <v>0</v>
      </c>
      <c r="Z42" s="107">
        <f t="shared" si="8"/>
        <v>0</v>
      </c>
      <c r="AA42" s="107">
        <f t="shared" si="9"/>
        <v>30</v>
      </c>
      <c r="AB42" s="107">
        <f t="shared" si="10"/>
        <v>0</v>
      </c>
      <c r="AC42" s="107">
        <f t="shared" si="3"/>
        <v>0</v>
      </c>
      <c r="AD42" s="107">
        <f t="shared" si="4"/>
        <v>10</v>
      </c>
      <c r="AE42" s="107">
        <f t="shared" si="5"/>
        <v>15</v>
      </c>
      <c r="AF42" s="108">
        <f t="shared" si="11"/>
        <v>55</v>
      </c>
      <c r="AG42" s="104">
        <f t="shared" si="12"/>
        <v>2651</v>
      </c>
      <c r="AH42" s="109">
        <f>_xlfn.XLOOKUP(A42,SOP!A:A,SOP!D:D,0)</f>
        <v>2250</v>
      </c>
      <c r="AI42" s="99">
        <f t="shared" si="13"/>
        <v>401</v>
      </c>
      <c r="AJ42" s="111">
        <f>_xlfn.XLOOKUP(A42,Attendance!F:F,Attendance!BQ:BQ)</f>
        <v>0</v>
      </c>
      <c r="AK42" s="29" t="str">
        <f t="shared" si="14"/>
        <v>NOT ELIGIBLE</v>
      </c>
      <c r="AL42" s="29" t="str">
        <f t="shared" si="15"/>
        <v>NOT ELIGIBLE</v>
      </c>
      <c r="AM42" s="29" t="str">
        <f t="shared" si="16"/>
        <v>NOT ELIGIBLE</v>
      </c>
      <c r="AN42" s="29" t="str">
        <f>_xlfn.XLOOKUP(A42,'3 month performance'!A:A,'3 month performance'!H:H)</f>
        <v>NOT ELIGIBLE</v>
      </c>
      <c r="AO42" s="29" t="str">
        <f t="shared" si="17"/>
        <v>ELIGIBLE</v>
      </c>
      <c r="AP42" s="29" t="str">
        <f t="shared" si="18"/>
        <v>NOT ELIGIBLE</v>
      </c>
    </row>
    <row r="43" spans="1:42" ht="27" customHeight="1" x14ac:dyDescent="0.25">
      <c r="A43" s="102" t="str">
        <v>saurabh.s@nexora.live</v>
      </c>
      <c r="B43" s="103" t="str">
        <f>_xlfn.XLOOKUP(A43,Attendance!F:F,Attendance!B:B)</f>
        <v>E-1817</v>
      </c>
      <c r="C43" s="103" t="str">
        <f>_xlfn.XLOOKUP(A43,Attendance!F:F,Attendance!K:K)</f>
        <v>Rehan</v>
      </c>
      <c r="D43" s="103" t="str">
        <f>_xlfn.XLOOKUP(A43,Attendance!F:F,Attendance!J:J)</f>
        <v>Meta</v>
      </c>
      <c r="E43" s="103">
        <f>_xlfn.XLOOKUP(A43,Attendance!F:F,Attendance!BM:BM)</f>
        <v>45</v>
      </c>
      <c r="F43" s="103">
        <f>_xlfn.XLOOKUP(A43,Attendance!F:F,Attendance!BO:BO)</f>
        <v>36</v>
      </c>
      <c r="G43" s="103">
        <f>_xlfn.XLOOKUP(A43,Attendance!F:F,Attendance!BP:BP)</f>
        <v>12</v>
      </c>
      <c r="H43" s="103">
        <f>COUNTIF('Realised Conversions'!C:C,Report!A43)</f>
        <v>21</v>
      </c>
      <c r="I43" s="103">
        <f>COUNTIFS('Realised Conversions'!C:C,Report!A43,'Realised Conversions'!F:F,"Referral (HOT)")</f>
        <v>6</v>
      </c>
      <c r="J43" s="100" t="str" cm="1">
        <f t="array" ref="J43">_xlfn.LET(_xlpm.own,TRIM('Realised Conversions'!$C$2:$C$5000),_xlpm.ls,TRIM('Realised Conversions'!$F$2:$F$5000),_xlpm.src,_xlfn._xlws.FILTER(_xlpm.ls,(_xlpm.own=TRIM(A43))*(_xlpm.ls&lt;&gt;""),""),IF(INDEX(_xlpm.src,1)="","",_xlfn.LET(_xlpm.u,_xlfn.UNIQUE(_xlpm.src),_xlpm.c,MMULT(--(_xlpm.u=TRANSPOSE(_xlpm.src)),_xlfn.SEQUENCE(ROWS(_xlpm.src),1,1,0)),_xlfn.TEXTJOIN(", ",TRUE,_xlfn.SORTBY(_xlpm.u&amp;": "&amp;_xlpm.c,_xlpm.c,-1)))))</f>
        <v>Referral (HOT): 6, MAIN WEBSITE (HOT): 3, MAIN WEBSITE (HOT) 1: 3, META6: 3, Telegram ads (redirect): 1, Telegram ads (digi): 1, Direct (HOT): 1, Meta Crypto: 1, Telegram ads: 1, Meta-T: 1</v>
      </c>
      <c r="K43" s="103">
        <f>COUNTIFS('Realised Conversions'!C:C, Report!A43, 'Realised Conversions'!G:G, "&gt;10000")</f>
        <v>2</v>
      </c>
      <c r="L43" s="103">
        <f>COUNTIFS('Realised Conversions'!C:C,Report!A43,'Realised Conversions'!G:G,"&gt;15000")</f>
        <v>2</v>
      </c>
      <c r="M43" s="104">
        <f>SUMIFS('Realised Conversions'!G:G,'Realised Conversions'!C:C,Report!A43,'Realised Conversions'!G:G,"&gt;10000")</f>
        <v>59000</v>
      </c>
      <c r="N43" s="104">
        <f>SUMIFS('Realised Conversions'!G:G,'Realised Conversions'!C:C,Report!A43,'Realised Conversions'!G:G,"&gt;15000")</f>
        <v>59000</v>
      </c>
      <c r="O43" s="103">
        <f>SUMIF('Realised Conversions'!C:C,Report!A43,'Realised Conversions'!H:H)</f>
        <v>40</v>
      </c>
      <c r="P43" s="104">
        <f t="shared" si="0"/>
        <v>885</v>
      </c>
      <c r="Q43" s="104">
        <f>SUMIF('Realised Conversions'!N:N,Report!A43,'Realised Conversions'!R:R)</f>
        <v>0</v>
      </c>
      <c r="R43" s="105">
        <f t="shared" si="1"/>
        <v>5525</v>
      </c>
      <c r="S43" s="101">
        <f t="shared" si="6"/>
        <v>0.46666666666666667</v>
      </c>
      <c r="T43" s="101">
        <f t="shared" si="2"/>
        <v>9.5238095238095233E-2</v>
      </c>
      <c r="U43" s="101">
        <f>_xlfn.XLOOKUP(A43,QA!A:A,QA!D:D)</f>
        <v>0.89827586206896559</v>
      </c>
      <c r="V43" s="101">
        <f>_xlfn.XLOOKUP(A43,'Call Tagging'!A:A,'Call Tagging'!F:F,"No Entry")</f>
        <v>0.96363636363636362</v>
      </c>
      <c r="W43" s="106">
        <f>_xlfn.XLOOKUP(A43,'Avg Dials'!A:A,'Avg Dials'!B:B)</f>
        <v>147.63999999999999</v>
      </c>
      <c r="X43" s="106">
        <f>_xlfn.XLOOKUP(A43,'Avg Dials'!A:A,'Avg Dials'!C:C)</f>
        <v>107.68</v>
      </c>
      <c r="Y43" s="107">
        <f t="shared" si="7"/>
        <v>0</v>
      </c>
      <c r="Z43" s="107">
        <f t="shared" si="8"/>
        <v>0</v>
      </c>
      <c r="AA43" s="107">
        <f t="shared" si="9"/>
        <v>15</v>
      </c>
      <c r="AB43" s="107">
        <f t="shared" si="10"/>
        <v>0</v>
      </c>
      <c r="AC43" s="107">
        <f t="shared" si="3"/>
        <v>0</v>
      </c>
      <c r="AD43" s="107">
        <f t="shared" si="4"/>
        <v>10</v>
      </c>
      <c r="AE43" s="107">
        <f t="shared" si="5"/>
        <v>20</v>
      </c>
      <c r="AF43" s="108">
        <f t="shared" si="11"/>
        <v>45</v>
      </c>
      <c r="AG43" s="104">
        <f t="shared" si="12"/>
        <v>2486.25</v>
      </c>
      <c r="AH43" s="109">
        <f>_xlfn.XLOOKUP(A43,SOP!A:A,SOP!D:D,0)</f>
        <v>1350</v>
      </c>
      <c r="AI43" s="99">
        <f t="shared" si="13"/>
        <v>1136.25</v>
      </c>
      <c r="AJ43" s="111">
        <f>_xlfn.XLOOKUP(A43,Attendance!F:F,Attendance!BQ:BQ)</f>
        <v>0.5</v>
      </c>
      <c r="AK43" s="29" t="str">
        <f t="shared" si="14"/>
        <v>NOT ELIGIBLE</v>
      </c>
      <c r="AL43" s="29" t="str">
        <f t="shared" si="15"/>
        <v>NOT ELIGIBLE</v>
      </c>
      <c r="AM43" s="29" t="str">
        <f t="shared" si="16"/>
        <v>NOT ELIGIBLE</v>
      </c>
      <c r="AN43" s="29" t="str">
        <f>_xlfn.XLOOKUP(A43,'3 month performance'!A:A,'3 month performance'!H:H)</f>
        <v>NOT ELIGIBLE</v>
      </c>
      <c r="AO43" s="29" t="str">
        <f t="shared" si="17"/>
        <v>ELIGIBLE</v>
      </c>
      <c r="AP43" s="29" t="str">
        <f t="shared" si="18"/>
        <v>NOT ELIGIBLE</v>
      </c>
    </row>
    <row r="44" spans="1:42" ht="27" customHeight="1" x14ac:dyDescent="0.25">
      <c r="A44" s="102" t="str">
        <v>shambu@nexora.live</v>
      </c>
      <c r="B44" s="103" t="str">
        <f>_xlfn.XLOOKUP(A44,Attendance!F:F,Attendance!B:B)</f>
        <v>E-1913</v>
      </c>
      <c r="C44" s="103" t="str">
        <f>_xlfn.XLOOKUP(A44,Attendance!F:F,Attendance!K:K)</f>
        <v>Rehan</v>
      </c>
      <c r="D44" s="103" t="str">
        <f>_xlfn.XLOOKUP(A44,Attendance!F:F,Attendance!J:J)</f>
        <v>Telegram</v>
      </c>
      <c r="E44" s="103">
        <f>_xlfn.XLOOKUP(A44,Attendance!F:F,Attendance!BM:BM)</f>
        <v>45</v>
      </c>
      <c r="F44" s="103">
        <f>_xlfn.XLOOKUP(A44,Attendance!F:F,Attendance!BO:BO)</f>
        <v>36</v>
      </c>
      <c r="G44" s="103">
        <f>_xlfn.XLOOKUP(A44,Attendance!F:F,Attendance!BP:BP)</f>
        <v>12</v>
      </c>
      <c r="H44" s="103">
        <f>COUNTIF('Realised Conversions'!C:C,Report!A44)</f>
        <v>29</v>
      </c>
      <c r="I44" s="103">
        <f>COUNTIFS('Realised Conversions'!C:C,Report!A44,'Realised Conversions'!F:F,"Referral (HOT)")</f>
        <v>4</v>
      </c>
      <c r="J44" s="100" t="str" cm="1">
        <f t="array" ref="J44">_xlfn.LET(_xlpm.own,TRIM('Realised Conversions'!$C$2:$C$5000),_xlpm.ls,TRIM('Realised Conversions'!$F$2:$F$5000),_xlpm.src,_xlfn._xlws.FILTER(_xlpm.ls,(_xlpm.own=TRIM(A44))*(_xlpm.ls&lt;&gt;""),""),IF(INDEX(_xlpm.src,1)="","",_xlfn.LET(_xlpm.u,_xlfn.UNIQUE(_xlpm.src),_xlpm.c,MMULT(--(_xlpm.u=TRANSPOSE(_xlpm.src)),_xlfn.SEQUENCE(ROWS(_xlpm.src),1,1,0)),_xlfn.TEXTJOIN(", ",TRUE,_xlfn.SORTBY(_xlpm.u&amp;": "&amp;_xlpm.c,_xlpm.c,-1)))))</f>
        <v>Meta6: 10, MAIN WEBSITE (HOT): 6, Referral (HOT): 4, Telegram ads: 3, META3: 2, Telegram ads (digi): 1, DV1: 1, META2: 1, Telegram: 1</v>
      </c>
      <c r="K44" s="103">
        <f>COUNTIFS('Realised Conversions'!C:C, Report!A44, 'Realised Conversions'!G:G, "&gt;10000")</f>
        <v>2</v>
      </c>
      <c r="L44" s="103">
        <f>COUNTIFS('Realised Conversions'!C:C,Report!A44,'Realised Conversions'!G:G,"&gt;15000")</f>
        <v>1</v>
      </c>
      <c r="M44" s="104">
        <f>SUMIFS('Realised Conversions'!G:G,'Realised Conversions'!C:C,Report!A44,'Realised Conversions'!G:G,"&gt;10000")</f>
        <v>32000</v>
      </c>
      <c r="N44" s="104">
        <f>SUMIFS('Realised Conversions'!G:G,'Realised Conversions'!C:C,Report!A44,'Realised Conversions'!G:G,"&gt;15000")</f>
        <v>20000</v>
      </c>
      <c r="O44" s="103">
        <f>SUMIF('Realised Conversions'!C:C,Report!A44,'Realised Conversions'!H:H)</f>
        <v>49</v>
      </c>
      <c r="P44" s="104">
        <f t="shared" si="0"/>
        <v>480</v>
      </c>
      <c r="Q44" s="104">
        <f>SUMIF('Realised Conversions'!N:N,Report!A44,'Realised Conversions'!R:R)</f>
        <v>2000</v>
      </c>
      <c r="R44" s="105">
        <f t="shared" si="1"/>
        <v>7180</v>
      </c>
      <c r="S44" s="101">
        <f t="shared" si="6"/>
        <v>0.64444444444444449</v>
      </c>
      <c r="T44" s="101">
        <f t="shared" si="2"/>
        <v>6.8965517241379309E-2</v>
      </c>
      <c r="U44" s="101">
        <f>_xlfn.XLOOKUP(A44,QA!A:A,QA!D:D)</f>
        <v>0.99687499999999996</v>
      </c>
      <c r="V44" s="101">
        <f>_xlfn.XLOOKUP(A44,'Call Tagging'!A:A,'Call Tagging'!F:F,"No Entry")</f>
        <v>0.81944444444444442</v>
      </c>
      <c r="W44" s="106">
        <f>_xlfn.XLOOKUP(A44,'Avg Dials'!A:A,'Avg Dials'!B:B)</f>
        <v>255.22</v>
      </c>
      <c r="X44" s="106">
        <f>_xlfn.XLOOKUP(A44,'Avg Dials'!A:A,'Avg Dials'!C:C)</f>
        <v>164.37</v>
      </c>
      <c r="Y44" s="107">
        <f t="shared" si="7"/>
        <v>0</v>
      </c>
      <c r="Z44" s="107">
        <f t="shared" si="8"/>
        <v>0</v>
      </c>
      <c r="AA44" s="107">
        <f t="shared" si="9"/>
        <v>40</v>
      </c>
      <c r="AB44" s="107">
        <f t="shared" si="10"/>
        <v>0</v>
      </c>
      <c r="AC44" s="107">
        <f t="shared" si="3"/>
        <v>45</v>
      </c>
      <c r="AD44" s="107">
        <f t="shared" si="4"/>
        <v>15</v>
      </c>
      <c r="AE44" s="107">
        <f t="shared" si="5"/>
        <v>0</v>
      </c>
      <c r="AF44" s="108">
        <f t="shared" si="11"/>
        <v>100</v>
      </c>
      <c r="AG44" s="104">
        <f t="shared" si="12"/>
        <v>7180</v>
      </c>
      <c r="AH44" s="109">
        <f>_xlfn.XLOOKUP(A44,SOP!A:A,SOP!D:D,0)</f>
        <v>300</v>
      </c>
      <c r="AI44" s="99">
        <f t="shared" si="13"/>
        <v>6880</v>
      </c>
      <c r="AJ44" s="111">
        <f>_xlfn.XLOOKUP(A44,Attendance!F:F,Attendance!BQ:BQ)</f>
        <v>0</v>
      </c>
      <c r="AK44" s="29" t="str">
        <f t="shared" si="14"/>
        <v>NOT ELIGIBLE</v>
      </c>
      <c r="AL44" s="29" t="str">
        <f t="shared" si="15"/>
        <v>NOT ELIGIBLE</v>
      </c>
      <c r="AM44" s="29" t="str">
        <f t="shared" si="16"/>
        <v>NOT ELIGIBLE</v>
      </c>
      <c r="AN44" s="29" t="str">
        <f>_xlfn.XLOOKUP(A44,'3 month performance'!A:A,'3 month performance'!H:H)</f>
        <v>NOT ELIGIBLE</v>
      </c>
      <c r="AO44" s="29" t="str">
        <f t="shared" si="17"/>
        <v>ELIGIBLE</v>
      </c>
      <c r="AP44" s="29" t="str">
        <f t="shared" si="18"/>
        <v>NOT ELIGIBLE</v>
      </c>
    </row>
    <row r="45" spans="1:42" ht="27" customHeight="1" x14ac:dyDescent="0.25">
      <c r="A45" s="102" t="str">
        <v>mitali@nexora.live</v>
      </c>
      <c r="B45" s="103" t="str">
        <f>_xlfn.XLOOKUP(A45,Attendance!F:F,Attendance!B:B)</f>
        <v>E-1717</v>
      </c>
      <c r="C45" s="103" t="str">
        <f>_xlfn.XLOOKUP(A45,Attendance!F:F,Attendance!K:K)</f>
        <v>Rehan</v>
      </c>
      <c r="D45" s="103" t="str">
        <f>_xlfn.XLOOKUP(A45,Attendance!F:F,Attendance!J:J)</f>
        <v>Telegram</v>
      </c>
      <c r="E45" s="103">
        <f>_xlfn.XLOOKUP(A45,Attendance!F:F,Attendance!BM:BM)</f>
        <v>45</v>
      </c>
      <c r="F45" s="103">
        <f>_xlfn.XLOOKUP(A45,Attendance!F:F,Attendance!BO:BO)</f>
        <v>36</v>
      </c>
      <c r="G45" s="103">
        <f>_xlfn.XLOOKUP(A45,Attendance!F:F,Attendance!BP:BP)</f>
        <v>12</v>
      </c>
      <c r="H45" s="103">
        <f>COUNTIF('Realised Conversions'!C:C,Report!A45)</f>
        <v>40</v>
      </c>
      <c r="I45" s="103">
        <f>COUNTIFS('Realised Conversions'!C:C,Report!A45,'Realised Conversions'!F:F,"Referral (HOT)")</f>
        <v>7</v>
      </c>
      <c r="J45" s="100" t="str" cm="1">
        <f t="array" ref="J45">_xlfn.LET(_xlpm.own,TRIM('Realised Conversions'!$C$2:$C$5000),_xlpm.ls,TRIM('Realised Conversions'!$F$2:$F$5000),_xlpm.src,_xlfn._xlws.FILTER(_xlpm.ls,(_xlpm.own=TRIM(A45))*(_xlpm.ls&lt;&gt;""),""),IF(INDEX(_xlpm.src,1)="","",_xlfn.LET(_xlpm.u,_xlfn.UNIQUE(_xlpm.src),_xlpm.c,MMULT(--(_xlpm.u=TRANSPOSE(_xlpm.src)),_xlfn.SEQUENCE(ROWS(_xlpm.src),1,1,0)),_xlfn.TEXTJOIN(", ",TRUE,_xlfn.SORTBY(_xlpm.u&amp;": "&amp;_xlpm.c,_xlpm.c,-1)))))</f>
        <v>Meta6: 12, MAIN WEBSITE (HOT): 12, Referral (HOT): 7, META3: 3, SUNIL: 1, META2: 1, PRS: 1, Dabba: 1, Direct (HOT): 1, Telegram ads: 1</v>
      </c>
      <c r="K45" s="103">
        <f>COUNTIFS('Realised Conversions'!C:C, Report!A45, 'Realised Conversions'!G:G, "&gt;10000")</f>
        <v>2</v>
      </c>
      <c r="L45" s="103">
        <f>COUNTIFS('Realised Conversions'!C:C,Report!A45,'Realised Conversions'!G:G,"&gt;15000")</f>
        <v>2</v>
      </c>
      <c r="M45" s="104">
        <f>SUMIFS('Realised Conversions'!G:G,'Realised Conversions'!C:C,Report!A45,'Realised Conversions'!G:G,"&gt;10000")</f>
        <v>78500</v>
      </c>
      <c r="N45" s="104">
        <f>SUMIFS('Realised Conversions'!G:G,'Realised Conversions'!C:C,Report!A45,'Realised Conversions'!G:G,"&gt;15000")</f>
        <v>78500</v>
      </c>
      <c r="O45" s="103">
        <f>SUMIF('Realised Conversions'!C:C,Report!A45,'Realised Conversions'!H:H)</f>
        <v>64</v>
      </c>
      <c r="P45" s="104">
        <f t="shared" si="0"/>
        <v>1177.5</v>
      </c>
      <c r="Q45" s="104">
        <f>SUMIF('Realised Conversions'!N:N,Report!A45,'Realised Conversions'!R:R)</f>
        <v>3500</v>
      </c>
      <c r="R45" s="105">
        <f t="shared" si="1"/>
        <v>9617.5</v>
      </c>
      <c r="S45" s="101">
        <f t="shared" si="6"/>
        <v>0.88888888888888884</v>
      </c>
      <c r="T45" s="101">
        <f t="shared" si="2"/>
        <v>0.05</v>
      </c>
      <c r="U45" s="101">
        <f>_xlfn.XLOOKUP(A45,QA!A:A,QA!D:D)</f>
        <v>0.95588235294117652</v>
      </c>
      <c r="V45" s="101">
        <f>_xlfn.XLOOKUP(A45,'Call Tagging'!A:A,'Call Tagging'!F:F,"No Entry")</f>
        <v>0.86904761904761907</v>
      </c>
      <c r="W45" s="106">
        <f>_xlfn.XLOOKUP(A45,'Avg Dials'!A:A,'Avg Dials'!B:B)</f>
        <v>221.97</v>
      </c>
      <c r="X45" s="106">
        <f>_xlfn.XLOOKUP(A45,'Avg Dials'!A:A,'Avg Dials'!C:C)</f>
        <v>195.63</v>
      </c>
      <c r="Y45" s="107">
        <f t="shared" si="7"/>
        <v>35</v>
      </c>
      <c r="Z45" s="107">
        <f t="shared" si="8"/>
        <v>0</v>
      </c>
      <c r="AA45" s="107">
        <f t="shared" si="9"/>
        <v>40</v>
      </c>
      <c r="AB45" s="107">
        <f t="shared" si="10"/>
        <v>0</v>
      </c>
      <c r="AC45" s="107">
        <f t="shared" si="3"/>
        <v>45</v>
      </c>
      <c r="AD45" s="107">
        <f t="shared" si="4"/>
        <v>15</v>
      </c>
      <c r="AE45" s="107">
        <f t="shared" si="5"/>
        <v>10</v>
      </c>
      <c r="AF45" s="108">
        <f t="shared" si="11"/>
        <v>145</v>
      </c>
      <c r="AG45" s="104">
        <f t="shared" si="12"/>
        <v>13945.375</v>
      </c>
      <c r="AH45" s="109">
        <f>_xlfn.XLOOKUP(A45,SOP!A:A,SOP!D:D,0)</f>
        <v>600</v>
      </c>
      <c r="AI45" s="99">
        <f t="shared" si="13"/>
        <v>13345.375</v>
      </c>
      <c r="AJ45" s="111">
        <f>_xlfn.XLOOKUP(A45,Attendance!F:F,Attendance!BQ:BQ)</f>
        <v>0</v>
      </c>
      <c r="AK45" s="29" t="str">
        <f t="shared" si="14"/>
        <v>ELIGIBLE</v>
      </c>
      <c r="AL45" s="29" t="str">
        <f t="shared" si="15"/>
        <v>ELIGIBLE</v>
      </c>
      <c r="AM45" s="29" t="str">
        <f t="shared" si="16"/>
        <v>NOT ELIGIBLE</v>
      </c>
      <c r="AN45" s="29" t="str">
        <f>_xlfn.XLOOKUP(A45,'3 month performance'!A:A,'3 month performance'!H:H)</f>
        <v>NOT ELIGIBLE</v>
      </c>
      <c r="AO45" s="29" t="str">
        <f t="shared" si="17"/>
        <v>ELIGIBLE</v>
      </c>
      <c r="AP45" s="29" t="str">
        <f t="shared" si="18"/>
        <v>NOT ELIGIBLE</v>
      </c>
    </row>
    <row r="46" spans="1:42" ht="27" customHeight="1" x14ac:dyDescent="0.25">
      <c r="A46" s="102" t="str">
        <v>adharv@nexora.live</v>
      </c>
      <c r="B46" s="103" t="str">
        <f>_xlfn.XLOOKUP(A46,Attendance!F:F,Attendance!B:B)</f>
        <v>E-1460</v>
      </c>
      <c r="C46" s="103" t="str">
        <f>_xlfn.XLOOKUP(A46,Attendance!F:F,Attendance!K:K)</f>
        <v>Rehan</v>
      </c>
      <c r="D46" s="103" t="str">
        <f>_xlfn.XLOOKUP(A46,Attendance!F:F,Attendance!J:J)</f>
        <v>Telegram</v>
      </c>
      <c r="E46" s="103">
        <f>_xlfn.XLOOKUP(A46,Attendance!F:F,Attendance!BM:BM)</f>
        <v>45</v>
      </c>
      <c r="F46" s="103">
        <f>_xlfn.XLOOKUP(A46,Attendance!F:F,Attendance!BO:BO)</f>
        <v>36</v>
      </c>
      <c r="G46" s="103">
        <f>_xlfn.XLOOKUP(A46,Attendance!F:F,Attendance!BP:BP)</f>
        <v>12</v>
      </c>
      <c r="H46" s="103">
        <f>COUNTIF('Realised Conversions'!C:C,Report!A46)</f>
        <v>20</v>
      </c>
      <c r="I46" s="103">
        <f>COUNTIFS('Realised Conversions'!C:C,Report!A46,'Realised Conversions'!F:F,"Referral (HOT)")</f>
        <v>3</v>
      </c>
      <c r="J46" s="100" t="str" cm="1">
        <f t="array" ref="J46">_xlfn.LET(_xlpm.own,TRIM('Realised Conversions'!$C$2:$C$5000),_xlpm.ls,TRIM('Realised Conversions'!$F$2:$F$5000),_xlpm.src,_xlfn._xlws.FILTER(_xlpm.ls,(_xlpm.own=TRIM(A46))*(_xlpm.ls&lt;&gt;""),""),IF(INDEX(_xlpm.src,1)="","",_xlfn.LET(_xlpm.u,_xlfn.UNIQUE(_xlpm.src),_xlpm.c,MMULT(--(_xlpm.u=TRANSPOSE(_xlpm.src)),_xlfn.SEQUENCE(ROWS(_xlpm.src),1,1,0)),_xlfn.TEXTJOIN(", ",TRUE,_xlfn.SORTBY(_xlpm.u&amp;": "&amp;_xlpm.c,_xlpm.c,-1)))))</f>
        <v>MAIN WEBSITE (HOT): 7, Referral (HOT): 3, MAIN WEBSITE (HOT) 1: 3, Telegram ads: 3, Telegram: 1, Telegram ads (redirect): 1, Instagram: 1, STOCKMEME: 1</v>
      </c>
      <c r="K46" s="103">
        <f>COUNTIFS('Realised Conversions'!C:C, Report!A46, 'Realised Conversions'!G:G, "&gt;10000")</f>
        <v>1</v>
      </c>
      <c r="L46" s="103">
        <f>COUNTIFS('Realised Conversions'!C:C,Report!A46,'Realised Conversions'!G:G,"&gt;15000")</f>
        <v>1</v>
      </c>
      <c r="M46" s="104">
        <f>SUMIFS('Realised Conversions'!G:G,'Realised Conversions'!C:C,Report!A46,'Realised Conversions'!G:G,"&gt;10000")</f>
        <v>25000</v>
      </c>
      <c r="N46" s="104">
        <f>SUMIFS('Realised Conversions'!G:G,'Realised Conversions'!C:C,Report!A46,'Realised Conversions'!G:G,"&gt;15000")</f>
        <v>25000</v>
      </c>
      <c r="O46" s="103">
        <f>SUMIF('Realised Conversions'!C:C,Report!A46,'Realised Conversions'!H:H)</f>
        <v>33</v>
      </c>
      <c r="P46" s="104">
        <f t="shared" si="0"/>
        <v>375</v>
      </c>
      <c r="Q46" s="104">
        <f>SUMIF('Realised Conversions'!N:N,Report!A46,'Realised Conversions'!R:R)</f>
        <v>500</v>
      </c>
      <c r="R46" s="105">
        <f t="shared" si="1"/>
        <v>5155</v>
      </c>
      <c r="S46" s="101">
        <f t="shared" si="6"/>
        <v>0.44444444444444442</v>
      </c>
      <c r="T46" s="101">
        <f t="shared" si="2"/>
        <v>0.05</v>
      </c>
      <c r="U46" s="101">
        <f>_xlfn.XLOOKUP(A46,QA!A:A,QA!D:D)</f>
        <v>0.88970588235294124</v>
      </c>
      <c r="V46" s="101">
        <f>_xlfn.XLOOKUP(A46,'Call Tagging'!A:A,'Call Tagging'!F:F,"No Entry")</f>
        <v>0.94054054054054048</v>
      </c>
      <c r="W46" s="106">
        <f>_xlfn.XLOOKUP(A46,'Avg Dials'!A:A,'Avg Dials'!B:B)</f>
        <v>237.22</v>
      </c>
      <c r="X46" s="106">
        <f>_xlfn.XLOOKUP(A46,'Avg Dials'!A:A,'Avg Dials'!C:C)</f>
        <v>136.85</v>
      </c>
      <c r="Y46" s="107">
        <f t="shared" si="7"/>
        <v>0</v>
      </c>
      <c r="Z46" s="107">
        <f t="shared" si="8"/>
        <v>0</v>
      </c>
      <c r="AA46" s="107">
        <f t="shared" si="9"/>
        <v>30</v>
      </c>
      <c r="AB46" s="107">
        <f t="shared" si="10"/>
        <v>0</v>
      </c>
      <c r="AC46" s="107">
        <f t="shared" si="3"/>
        <v>45</v>
      </c>
      <c r="AD46" s="107">
        <f t="shared" si="4"/>
        <v>10</v>
      </c>
      <c r="AE46" s="107">
        <f t="shared" si="5"/>
        <v>15</v>
      </c>
      <c r="AF46" s="108">
        <f t="shared" si="11"/>
        <v>100</v>
      </c>
      <c r="AG46" s="104">
        <f t="shared" si="12"/>
        <v>5155</v>
      </c>
      <c r="AH46" s="109">
        <f>_xlfn.XLOOKUP(A46,SOP!A:A,SOP!D:D,0)</f>
        <v>450</v>
      </c>
      <c r="AI46" s="99">
        <f t="shared" si="13"/>
        <v>4705</v>
      </c>
      <c r="AJ46" s="111">
        <f>_xlfn.XLOOKUP(A46,Attendance!F:F,Attendance!BQ:BQ)</f>
        <v>0</v>
      </c>
      <c r="AK46" s="29" t="str">
        <f t="shared" si="14"/>
        <v>NOT ELIGIBLE</v>
      </c>
      <c r="AL46" s="29" t="str">
        <f t="shared" si="15"/>
        <v>NOT ELIGIBLE</v>
      </c>
      <c r="AM46" s="29" t="str">
        <f t="shared" si="16"/>
        <v>NOT ELIGIBLE</v>
      </c>
      <c r="AN46" s="29" t="str">
        <f>_xlfn.XLOOKUP(A46,'3 month performance'!A:A,'3 month performance'!H:H)</f>
        <v>NOT ELIGIBLE</v>
      </c>
      <c r="AO46" s="29" t="str">
        <f t="shared" si="17"/>
        <v>ELIGIBLE</v>
      </c>
      <c r="AP46" s="29" t="str">
        <f t="shared" si="18"/>
        <v>NOT ELIGIBLE</v>
      </c>
    </row>
    <row r="47" spans="1:42" ht="27" customHeight="1" x14ac:dyDescent="0.25">
      <c r="A47" s="102" t="str">
        <v>alina@nexora.live</v>
      </c>
      <c r="B47" s="103" t="str">
        <f>_xlfn.XLOOKUP(A47,Attendance!F:F,Attendance!B:B)</f>
        <v>E-2135</v>
      </c>
      <c r="C47" s="103" t="str">
        <f>_xlfn.XLOOKUP(A47,Attendance!F:F,Attendance!K:K)</f>
        <v>Rehan</v>
      </c>
      <c r="D47" s="103" t="str">
        <f>_xlfn.XLOOKUP(A47,Attendance!F:F,Attendance!J:J)</f>
        <v>Telegram</v>
      </c>
      <c r="E47" s="103">
        <f>_xlfn.XLOOKUP(A47,Attendance!F:F,Attendance!BM:BM)</f>
        <v>45</v>
      </c>
      <c r="F47" s="103">
        <f>_xlfn.XLOOKUP(A47,Attendance!F:F,Attendance!BO:BO)</f>
        <v>36</v>
      </c>
      <c r="G47" s="103">
        <f>_xlfn.XLOOKUP(A47,Attendance!F:F,Attendance!BP:BP)</f>
        <v>12</v>
      </c>
      <c r="H47" s="103">
        <f>COUNTIF('Realised Conversions'!C:C,Report!A47)</f>
        <v>17</v>
      </c>
      <c r="I47" s="103">
        <f>COUNTIFS('Realised Conversions'!C:C,Report!A47,'Realised Conversions'!F:F,"Referral (HOT)")</f>
        <v>2</v>
      </c>
      <c r="J47" s="100" t="str" cm="1">
        <f t="array" ref="J47">_xlfn.LET(_xlpm.own,TRIM('Realised Conversions'!$C$2:$C$5000),_xlpm.ls,TRIM('Realised Conversions'!$F$2:$F$5000),_xlpm.src,_xlfn._xlws.FILTER(_xlpm.ls,(_xlpm.own=TRIM(A47))*(_xlpm.ls&lt;&gt;""),""),IF(INDEX(_xlpm.src,1)="","",_xlfn.LET(_xlpm.u,_xlfn.UNIQUE(_xlpm.src),_xlpm.c,MMULT(--(_xlpm.u=TRANSPOSE(_xlpm.src)),_xlfn.SEQUENCE(ROWS(_xlpm.src),1,1,0)),_xlfn.TEXTJOIN(", ",TRUE,_xlfn.SORTBY(_xlpm.u&amp;": "&amp;_xlpm.c,_xlpm.c,-1)))))</f>
        <v>MAIN WEBSITE (HOT): 5, MAIN WEBSITE (HOT) 1: 3, Telegram ads: 2, Referral (HOT): 2, Meta6: 2, STOCKMEME: 1, META-E: 1, META3: 1</v>
      </c>
      <c r="K47" s="103">
        <f>COUNTIFS('Realised Conversions'!C:C, Report!A47, 'Realised Conversions'!G:G, "&gt;10000")</f>
        <v>0</v>
      </c>
      <c r="L47" s="103">
        <f>COUNTIFS('Realised Conversions'!C:C,Report!A47,'Realised Conversions'!G:G,"&gt;15000")</f>
        <v>0</v>
      </c>
      <c r="M47" s="104">
        <f>SUMIFS('Realised Conversions'!G:G,'Realised Conversions'!C:C,Report!A47,'Realised Conversions'!G:G,"&gt;10000")</f>
        <v>0</v>
      </c>
      <c r="N47" s="104">
        <f>SUMIFS('Realised Conversions'!G:G,'Realised Conversions'!C:C,Report!A47,'Realised Conversions'!G:G,"&gt;15000")</f>
        <v>0</v>
      </c>
      <c r="O47" s="103">
        <f>SUMIF('Realised Conversions'!C:C,Report!A47,'Realised Conversions'!H:H)</f>
        <v>28</v>
      </c>
      <c r="P47" s="104">
        <f t="shared" si="0"/>
        <v>0</v>
      </c>
      <c r="Q47" s="104">
        <f>SUMIF('Realised Conversions'!N:N,Report!A47,'Realised Conversions'!R:R)</f>
        <v>500</v>
      </c>
      <c r="R47" s="105">
        <f t="shared" si="1"/>
        <v>4660</v>
      </c>
      <c r="S47" s="101">
        <f t="shared" si="6"/>
        <v>0.37777777777777777</v>
      </c>
      <c r="T47" s="101">
        <f t="shared" si="2"/>
        <v>0</v>
      </c>
      <c r="U47" s="101">
        <f>_xlfn.XLOOKUP(A47,QA!A:A,QA!D:D)</f>
        <v>0.95</v>
      </c>
      <c r="V47" s="101" t="str">
        <f>_xlfn.XLOOKUP(A47,'Call Tagging'!A:A,'Call Tagging'!F:F,"No Entry")</f>
        <v>No Entry</v>
      </c>
      <c r="W47" s="106">
        <f>_xlfn.XLOOKUP(A47,'Avg Dials'!A:A,'Avg Dials'!B:B)</f>
        <v>205.14</v>
      </c>
      <c r="X47" s="106">
        <f>_xlfn.XLOOKUP(A47,'Avg Dials'!A:A,'Avg Dials'!C:C)</f>
        <v>162.9</v>
      </c>
      <c r="Y47" s="107">
        <f t="shared" si="7"/>
        <v>0</v>
      </c>
      <c r="Z47" s="107">
        <f t="shared" si="8"/>
        <v>0</v>
      </c>
      <c r="AA47" s="107">
        <f t="shared" si="9"/>
        <v>40</v>
      </c>
      <c r="AB47" s="107">
        <f t="shared" si="10"/>
        <v>0</v>
      </c>
      <c r="AC47" s="107">
        <f t="shared" si="3"/>
        <v>45</v>
      </c>
      <c r="AD47" s="107">
        <f t="shared" si="4"/>
        <v>15</v>
      </c>
      <c r="AE47" s="107">
        <f t="shared" si="5"/>
        <v>15</v>
      </c>
      <c r="AF47" s="108">
        <f t="shared" si="11"/>
        <v>115</v>
      </c>
      <c r="AG47" s="104">
        <f t="shared" si="12"/>
        <v>5359</v>
      </c>
      <c r="AH47" s="109">
        <f>_xlfn.XLOOKUP(A47,SOP!A:A,SOP!D:D,0)</f>
        <v>150</v>
      </c>
      <c r="AI47" s="99">
        <f t="shared" si="13"/>
        <v>5209</v>
      </c>
      <c r="AJ47" s="111">
        <f>_xlfn.XLOOKUP(A47,Attendance!F:F,Attendance!BQ:BQ)</f>
        <v>0</v>
      </c>
      <c r="AK47" s="29" t="str">
        <f t="shared" si="14"/>
        <v>ELIGIBLE</v>
      </c>
      <c r="AL47" s="29" t="str">
        <f t="shared" si="15"/>
        <v>NOT ELIGIBLE</v>
      </c>
      <c r="AM47" s="29" t="str">
        <f t="shared" si="16"/>
        <v>NOT ELIGIBLE</v>
      </c>
      <c r="AN47" s="29" t="str">
        <f>_xlfn.XLOOKUP(A47,'3 month performance'!A:A,'3 month performance'!H:H)</f>
        <v>ELIGIBLE</v>
      </c>
      <c r="AO47" s="29" t="str">
        <f t="shared" si="17"/>
        <v>ELIGIBLE</v>
      </c>
      <c r="AP47" s="29" t="str">
        <f t="shared" si="18"/>
        <v>NOT ELIGIBLE</v>
      </c>
    </row>
    <row r="48" spans="1:42" ht="27" customHeight="1" x14ac:dyDescent="0.25">
      <c r="A48" s="102" t="str">
        <v>ritesh@nexora.live</v>
      </c>
      <c r="B48" s="103" t="str">
        <f>_xlfn.XLOOKUP(A48,Attendance!F:F,Attendance!B:B)</f>
        <v>E-1832</v>
      </c>
      <c r="C48" s="103" t="str">
        <f>_xlfn.XLOOKUP(A48,Attendance!F:F,Attendance!K:K)</f>
        <v>Rehan</v>
      </c>
      <c r="D48" s="103" t="str">
        <f>_xlfn.XLOOKUP(A48,Attendance!F:F,Attendance!J:J)</f>
        <v>Telegram</v>
      </c>
      <c r="E48" s="103">
        <f>_xlfn.XLOOKUP(A48,Attendance!F:F,Attendance!BM:BM)</f>
        <v>45</v>
      </c>
      <c r="F48" s="103">
        <f>_xlfn.XLOOKUP(A48,Attendance!F:F,Attendance!BO:BO)</f>
        <v>36</v>
      </c>
      <c r="G48" s="103">
        <f>_xlfn.XLOOKUP(A48,Attendance!F:F,Attendance!BP:BP)</f>
        <v>12</v>
      </c>
      <c r="H48" s="103">
        <f>COUNTIF('Realised Conversions'!C:C,Report!A48)</f>
        <v>12</v>
      </c>
      <c r="I48" s="103">
        <f>COUNTIFS('Realised Conversions'!C:C,Report!A48,'Realised Conversions'!F:F,"Referral (HOT)")</f>
        <v>1</v>
      </c>
      <c r="J48" s="100" t="str" cm="1">
        <f t="array" ref="J48">_xlfn.LET(_xlpm.own,TRIM('Realised Conversions'!$C$2:$C$5000),_xlpm.ls,TRIM('Realised Conversions'!$F$2:$F$5000),_xlpm.src,_xlfn._xlws.FILTER(_xlpm.ls,(_xlpm.own=TRIM(A48))*(_xlpm.ls&lt;&gt;""),""),IF(INDEX(_xlpm.src,1)="","",_xlfn.LET(_xlpm.u,_xlfn.UNIQUE(_xlpm.src),_xlpm.c,MMULT(--(_xlpm.u=TRANSPOSE(_xlpm.src)),_xlfn.SEQUENCE(ROWS(_xlpm.src),1,1,0)),_xlfn.TEXTJOIN(", ",TRUE,_xlfn.SORTBY(_xlpm.u&amp;": "&amp;_xlpm.c,_xlpm.c,-1)))))</f>
        <v>Meta6: 3, Telegram ads (digi): 2, MAIN WEBSITE (HOT): 2, Telegram: 2, Telegram ads: 1, Referral (HOT): 1, MAIN WEBSITE (HOT) 1: 1</v>
      </c>
      <c r="K48" s="103">
        <f>COUNTIFS('Realised Conversions'!C:C, Report!A48, 'Realised Conversions'!G:G, "&gt;10000")</f>
        <v>0</v>
      </c>
      <c r="L48" s="103">
        <f>COUNTIFS('Realised Conversions'!C:C,Report!A48,'Realised Conversions'!G:G,"&gt;15000")</f>
        <v>0</v>
      </c>
      <c r="M48" s="104">
        <f>SUMIFS('Realised Conversions'!G:G,'Realised Conversions'!C:C,Report!A48,'Realised Conversions'!G:G,"&gt;10000")</f>
        <v>0</v>
      </c>
      <c r="N48" s="104">
        <f>SUMIFS('Realised Conversions'!G:G,'Realised Conversions'!C:C,Report!A48,'Realised Conversions'!G:G,"&gt;15000")</f>
        <v>0</v>
      </c>
      <c r="O48" s="103">
        <f>SUMIF('Realised Conversions'!C:C,Report!A48,'Realised Conversions'!H:H)</f>
        <v>19</v>
      </c>
      <c r="P48" s="104">
        <f t="shared" si="0"/>
        <v>0</v>
      </c>
      <c r="Q48" s="104">
        <f>SUMIF('Realised Conversions'!N:N,Report!A48,'Realised Conversions'!R:R)</f>
        <v>500</v>
      </c>
      <c r="R48" s="105">
        <f t="shared" si="1"/>
        <v>4420</v>
      </c>
      <c r="S48" s="101">
        <f t="shared" si="6"/>
        <v>0.26666666666666666</v>
      </c>
      <c r="T48" s="101">
        <f t="shared" si="2"/>
        <v>0</v>
      </c>
      <c r="U48" s="101">
        <f>_xlfn.XLOOKUP(A48,QA!A:A,QA!D:D)</f>
        <v>0.98620689655172422</v>
      </c>
      <c r="V48" s="101">
        <f>_xlfn.XLOOKUP(A48,'Call Tagging'!A:A,'Call Tagging'!F:F,"No Entry")</f>
        <v>0.93233082706766912</v>
      </c>
      <c r="W48" s="106">
        <f>_xlfn.XLOOKUP(A48,'Avg Dials'!A:A,'Avg Dials'!B:B)</f>
        <v>197.62</v>
      </c>
      <c r="X48" s="106">
        <f>_xlfn.XLOOKUP(A48,'Avg Dials'!A:A,'Avg Dials'!C:C)</f>
        <v>152.52000000000001</v>
      </c>
      <c r="Y48" s="107">
        <f t="shared" si="7"/>
        <v>0</v>
      </c>
      <c r="Z48" s="107">
        <f t="shared" si="8"/>
        <v>0</v>
      </c>
      <c r="AA48" s="107">
        <f t="shared" si="9"/>
        <v>40</v>
      </c>
      <c r="AB48" s="107">
        <f t="shared" si="10"/>
        <v>0</v>
      </c>
      <c r="AC48" s="107">
        <f t="shared" si="3"/>
        <v>45</v>
      </c>
      <c r="AD48" s="107">
        <f t="shared" si="4"/>
        <v>15</v>
      </c>
      <c r="AE48" s="107">
        <f t="shared" si="5"/>
        <v>15</v>
      </c>
      <c r="AF48" s="108">
        <f t="shared" si="11"/>
        <v>115</v>
      </c>
      <c r="AG48" s="104">
        <f t="shared" si="12"/>
        <v>5083</v>
      </c>
      <c r="AH48" s="109">
        <f>_xlfn.XLOOKUP(A48,SOP!A:A,SOP!D:D,0)</f>
        <v>900</v>
      </c>
      <c r="AI48" s="99">
        <f t="shared" si="13"/>
        <v>4183</v>
      </c>
      <c r="AJ48" s="111">
        <f>_xlfn.XLOOKUP(A48,Attendance!F:F,Attendance!BQ:BQ)</f>
        <v>0</v>
      </c>
      <c r="AK48" s="29" t="str">
        <f t="shared" si="14"/>
        <v>ELIGIBLE</v>
      </c>
      <c r="AL48" s="29" t="str">
        <f t="shared" si="15"/>
        <v>NOT ELIGIBLE</v>
      </c>
      <c r="AM48" s="29" t="str">
        <f t="shared" si="16"/>
        <v>NOT ELIGIBLE</v>
      </c>
      <c r="AN48" s="29" t="str">
        <f>_xlfn.XLOOKUP(A48,'3 month performance'!A:A,'3 month performance'!H:H)</f>
        <v>NOT ELIGIBLE</v>
      </c>
      <c r="AO48" s="29" t="str">
        <f t="shared" si="17"/>
        <v>ELIGIBLE</v>
      </c>
      <c r="AP48" s="29" t="str">
        <f t="shared" si="18"/>
        <v>NOT ELIGIBLE</v>
      </c>
    </row>
    <row r="49" spans="1:42" ht="27" customHeight="1" x14ac:dyDescent="0.25">
      <c r="A49" s="102" t="str">
        <v>riddhi@nexora.live</v>
      </c>
      <c r="B49" s="103" t="str">
        <f>_xlfn.XLOOKUP(A49,Attendance!F:F,Attendance!B:B)</f>
        <v>E-1821</v>
      </c>
      <c r="C49" s="103" t="str">
        <f>_xlfn.XLOOKUP(A49,Attendance!F:F,Attendance!K:K)</f>
        <v>Rehan</v>
      </c>
      <c r="D49" s="103" t="str">
        <f>_xlfn.XLOOKUP(A49,Attendance!F:F,Attendance!J:J)</f>
        <v>Telegram</v>
      </c>
      <c r="E49" s="103">
        <f>_xlfn.XLOOKUP(A49,Attendance!F:F,Attendance!BM:BM)</f>
        <v>45</v>
      </c>
      <c r="F49" s="103">
        <f>_xlfn.XLOOKUP(A49,Attendance!F:F,Attendance!BO:BO)</f>
        <v>36</v>
      </c>
      <c r="G49" s="103">
        <f>_xlfn.XLOOKUP(A49,Attendance!F:F,Attendance!BP:BP)</f>
        <v>12</v>
      </c>
      <c r="H49" s="103">
        <f>COUNTIF('Realised Conversions'!C:C,Report!A49)</f>
        <v>19</v>
      </c>
      <c r="I49" s="103">
        <f>COUNTIFS('Realised Conversions'!C:C,Report!A49,'Realised Conversions'!F:F,"Referral (HOT)")</f>
        <v>4</v>
      </c>
      <c r="J49" s="100" t="str" cm="1">
        <f t="array" ref="J49">_xlfn.LET(_xlpm.own,TRIM('Realised Conversions'!$C$2:$C$5000),_xlpm.ls,TRIM('Realised Conversions'!$F$2:$F$5000),_xlpm.src,_xlfn._xlws.FILTER(_xlpm.ls,(_xlpm.own=TRIM(A49))*(_xlpm.ls&lt;&gt;""),""),IF(INDEX(_xlpm.src,1)="","",_xlfn.LET(_xlpm.u,_xlfn.UNIQUE(_xlpm.src),_xlpm.c,MMULT(--(_xlpm.u=TRANSPOSE(_xlpm.src)),_xlfn.SEQUENCE(ROWS(_xlpm.src),1,1,0)),_xlfn.TEXTJOIN(", ",TRUE,_xlfn.SORTBY(_xlpm.u&amp;": "&amp;_xlpm.c,_xlpm.c,-1)))))</f>
        <v>Referral (HOT): 4, Telegram ads: 4, Meta6: 3, MAIN WEBSITE (HOT): 2, Telegram: 1, APPLICATION: 1, Meta (Murtaza): 1, Instagram: 1, Meta(Murtaza-E): 1, META3: 1</v>
      </c>
      <c r="K49" s="103">
        <f>COUNTIFS('Realised Conversions'!C:C, Report!A49, 'Realised Conversions'!G:G, "&gt;10000")</f>
        <v>3</v>
      </c>
      <c r="L49" s="103">
        <f>COUNTIFS('Realised Conversions'!C:C,Report!A49,'Realised Conversions'!G:G,"&gt;15000")</f>
        <v>3</v>
      </c>
      <c r="M49" s="104">
        <f>SUMIFS('Realised Conversions'!G:G,'Realised Conversions'!C:C,Report!A49,'Realised Conversions'!G:G,"&gt;10000")</f>
        <v>75000</v>
      </c>
      <c r="N49" s="104">
        <f>SUMIFS('Realised Conversions'!G:G,'Realised Conversions'!C:C,Report!A49,'Realised Conversions'!G:G,"&gt;15000")</f>
        <v>75000</v>
      </c>
      <c r="O49" s="103">
        <f>SUMIF('Realised Conversions'!C:C,Report!A49,'Realised Conversions'!H:H)</f>
        <v>39</v>
      </c>
      <c r="P49" s="104">
        <f t="shared" si="0"/>
        <v>1125</v>
      </c>
      <c r="Q49" s="104">
        <f>SUMIF('Realised Conversions'!N:N,Report!A49,'Realised Conversions'!R:R)</f>
        <v>1000</v>
      </c>
      <c r="R49" s="105">
        <f t="shared" si="1"/>
        <v>6825</v>
      </c>
      <c r="S49" s="101">
        <f t="shared" si="6"/>
        <v>0.42222222222222222</v>
      </c>
      <c r="T49" s="101">
        <f t="shared" si="2"/>
        <v>0.15789473684210525</v>
      </c>
      <c r="U49" s="101">
        <f>_xlfn.XLOOKUP(A49,QA!A:A,QA!D:D)</f>
        <v>0.92656249999999996</v>
      </c>
      <c r="V49" s="101">
        <f>_xlfn.XLOOKUP(A49,'Call Tagging'!A:A,'Call Tagging'!F:F,"No Entry")</f>
        <v>0.93157894736842106</v>
      </c>
      <c r="W49" s="106">
        <f>_xlfn.XLOOKUP(A49,'Avg Dials'!A:A,'Avg Dials'!B:B)</f>
        <v>226.38</v>
      </c>
      <c r="X49" s="106">
        <f>_xlfn.XLOOKUP(A49,'Avg Dials'!A:A,'Avg Dials'!C:C)</f>
        <v>176.23</v>
      </c>
      <c r="Y49" s="107">
        <f t="shared" si="7"/>
        <v>0</v>
      </c>
      <c r="Z49" s="107">
        <f t="shared" si="8"/>
        <v>0</v>
      </c>
      <c r="AA49" s="107">
        <f t="shared" si="9"/>
        <v>40</v>
      </c>
      <c r="AB49" s="107">
        <f t="shared" si="10"/>
        <v>0</v>
      </c>
      <c r="AC49" s="107">
        <f t="shared" si="3"/>
        <v>45</v>
      </c>
      <c r="AD49" s="107">
        <f t="shared" si="4"/>
        <v>15</v>
      </c>
      <c r="AE49" s="107">
        <f t="shared" si="5"/>
        <v>15</v>
      </c>
      <c r="AF49" s="108">
        <f t="shared" si="11"/>
        <v>115</v>
      </c>
      <c r="AG49" s="104">
        <f t="shared" si="12"/>
        <v>7848.75</v>
      </c>
      <c r="AH49" s="109">
        <f>_xlfn.XLOOKUP(A49,SOP!A:A,SOP!D:D,0)</f>
        <v>1650</v>
      </c>
      <c r="AI49" s="99">
        <f t="shared" si="13"/>
        <v>6198.75</v>
      </c>
      <c r="AJ49" s="111">
        <f>_xlfn.XLOOKUP(A49,Attendance!F:F,Attendance!BQ:BQ)</f>
        <v>0</v>
      </c>
      <c r="AK49" s="29" t="str">
        <f t="shared" si="14"/>
        <v>ELIGIBLE</v>
      </c>
      <c r="AL49" s="29" t="str">
        <f t="shared" si="15"/>
        <v>NOT ELIGIBLE</v>
      </c>
      <c r="AM49" s="29" t="str">
        <f t="shared" si="16"/>
        <v>NOT ELIGIBLE</v>
      </c>
      <c r="AN49" s="29" t="str">
        <f>_xlfn.XLOOKUP(A49,'3 month performance'!A:A,'3 month performance'!H:H)</f>
        <v>NOT ELIGIBLE</v>
      </c>
      <c r="AO49" s="29" t="str">
        <f t="shared" si="17"/>
        <v>ELIGIBLE</v>
      </c>
      <c r="AP49" s="29" t="str">
        <f t="shared" si="18"/>
        <v>NOT ELIGIBLE</v>
      </c>
    </row>
  </sheetData>
  <mergeCells count="8">
    <mergeCell ref="AK1:AP1"/>
    <mergeCell ref="AG1:AI1"/>
    <mergeCell ref="A1:E1"/>
    <mergeCell ref="F1:I1"/>
    <mergeCell ref="J1:O1"/>
    <mergeCell ref="P1:R1"/>
    <mergeCell ref="S1:X1"/>
    <mergeCell ref="Y1:AF1"/>
  </mergeCells>
  <conditionalFormatting sqref="A3:R48 T3:U48 AG3:AG48 W3:AE48 AI3:AJ3 AI4:AI48 AJ4:AJ49">
    <cfRule type="expression" dxfId="1" priority="1">
      <formula>$C3&lt;&gt;$C4</formula>
    </cfRule>
  </conditionalFormatting>
  <printOptions horizontalCentered="1"/>
  <pageMargins left="0.25" right="0.25" top="0.5" bottom="0.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Realised Conversions</vt:lpstr>
      <vt:lpstr>Calendar</vt:lpstr>
      <vt:lpstr>Holidays</vt:lpstr>
      <vt:lpstr>FTD</vt:lpstr>
      <vt:lpstr>Attendance</vt:lpstr>
      <vt:lpstr>QA</vt:lpstr>
      <vt:lpstr>Call Tagging</vt:lpstr>
      <vt:lpstr>Avg Dials</vt:lpstr>
      <vt:lpstr>SOP</vt:lpstr>
      <vt:lpstr>3 month performance</vt:lpstr>
      <vt:lpstr>June Incentive</vt:lpstr>
      <vt:lpstr>May Incentive</vt:lpstr>
      <vt:lpstr>Report</vt:lpstr>
      <vt:lpstr>Report!Print_Titles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2026-10-13T06:02:07Z</dcterms:created>
  <dcterms:modified xsi:type="dcterms:W3CDTF">2026-10-14T13:36:19Z</dcterms:modified>
</cp:coreProperties>
</file>